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commentsmeta2"/>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V Coop LLP Primary Alloc" sheetId="1" r:id="rId4"/>
    <sheet state="visible" name="CV Secondary &amp; PSC Alloc" sheetId="2" r:id="rId5"/>
    <sheet state="visible" name="TAC Sector Allocations" sheetId="3" r:id="rId6"/>
    <sheet state="visible" name="CV Coop Sector Alloc" sheetId="4" r:id="rId7"/>
    <sheet state="visible" name="Alloc by Sector" sheetId="5" r:id="rId8"/>
    <sheet state="visible" name="Exhibit B Harvest Schedule" sheetId="6" r:id="rId9"/>
    <sheet state="visible" name="Process Agmt 3.2" sheetId="7" r:id="rId10"/>
    <sheet state="visible" name="TAC Diff Tables for Doc" sheetId="8" r:id="rId11"/>
    <sheet state="visible" name="CP Coop Sector Alloc" sheetId="9" r:id="rId12"/>
    <sheet state="visible" name="CP Primary Allocations by LLP" sheetId="10" r:id="rId13"/>
    <sheet state="visible" name="CP Secondary and PSC Alloc" sheetId="11" r:id="rId14"/>
    <sheet state="visible" name="NMFS vs AGDB Check" sheetId="12" r:id="rId15"/>
  </sheets>
  <definedNames/>
  <calcPr/>
  <extLst>
    <ext uri="GoogleSheetsCustomDataVersion2">
      <go:sheetsCustomData xmlns:go="http://customooxmlschemas.google.com/" r:id="rId16" roundtripDataChecksum="M+g5h8HPZ/LTWXL4EVzvFXTYgvWnE/8B24yEYLYEvEU="/>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6">
      <text>
        <t xml:space="preserve">======
ID#AAABxUmvrXY
    (2026-01-02 23:29:07)
In order for sheet to balance E6 and F6 should be sums and *NOT* match the totals in the main tab like the others. idk why. i don't make the rules</t>
      </text>
    </comment>
  </commentList>
  <extLst>
    <ext uri="GoogleSheetsCustomDataVersion2">
      <go:sheetsCustomData xmlns:go="http://customooxmlschemas.google.com/" r:id="rId1" roundtripDataSignature="AMtx7mjdrRpww6xyiFsJIwd8QG9Xi9vrRA=="/>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H91">
      <text>
        <t xml:space="preserve">======
ID#AAABxUmvrXc
    (2026-01-02 23:29:07)
Should equal the CV Sector total lbs for each species (cells B13:B16)</t>
      </text>
    </comment>
  </commentList>
  <extLst>
    <ext uri="GoogleSheetsCustomDataVersion2">
      <go:sheetsCustomData xmlns:go="http://customooxmlschemas.google.com/" r:id="rId1" roundtripDataSignature="AMtx7mjuKAdUJxDV2ahitdErpXG/9gozIA=="/>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I4">
      <text>
        <t xml:space="preserve">======
ID#AAABxUmvrXU
    (2026-01-02 23:29:07)
This is the % of the Total QS given to the sector from the 2012 published RP quota shares. This does not change either without Council action.</t>
      </text>
    </comment>
    <comment authorId="0" ref="H4">
      <text>
        <t xml:space="preserve">======
ID#AAABxUmvrXQ
    (2026-01-02 23:29:07)
Published Denominators from the 2012 Rockfish Program Quota Share. This does not change without Council Action.
AKA QS POOL</t>
      </text>
    </comment>
  </commentList>
  <extLst>
    <ext uri="GoogleSheetsCustomDataVersion2">
      <go:sheetsCustomData xmlns:go="http://customooxmlschemas.google.com/" r:id="rId1" roundtripDataSignature="AMtx7mjnItKrg7BGY8byq1adBZbb7DSAtA=="/>
    </ext>
  </extLst>
</comments>
</file>

<file path=xl/sharedStrings.xml><?xml version="1.0" encoding="utf-8"?>
<sst xmlns="http://schemas.openxmlformats.org/spreadsheetml/2006/main" count="1250" uniqueCount="405">
  <si>
    <t>CV COOP PRIMARY SPECIES ALLOCATIONS by LLP</t>
  </si>
  <si>
    <t>Updated for 2026</t>
  </si>
  <si>
    <t>CV TAC (mt)</t>
  </si>
  <si>
    <t>CV QS POOL</t>
  </si>
  <si>
    <t>CV TAC (lbs)</t>
  </si>
  <si>
    <t>POP</t>
  </si>
  <si>
    <t>NR</t>
  </si>
  <si>
    <t>40% Processing Cap for Primary Rockfish</t>
  </si>
  <si>
    <t>Dusky</t>
  </si>
  <si>
    <t>8% POP only Harvest Cap</t>
  </si>
  <si>
    <t>TOTAL</t>
  </si>
  <si>
    <t>Silver Bay Seafoods</t>
  </si>
  <si>
    <t>QS UNITS</t>
  </si>
  <si>
    <t>2026 TAC - METRIC TONS</t>
  </si>
  <si>
    <t>2026 TAC - POUNDS</t>
  </si>
  <si>
    <t xml:space="preserve">% CV Pool Harvest Allocation for Exhibit B </t>
  </si>
  <si>
    <t>LLP</t>
  </si>
  <si>
    <t>Vessel</t>
  </si>
  <si>
    <t>DUSKY</t>
  </si>
  <si>
    <t xml:space="preserve">POP </t>
  </si>
  <si>
    <t>MAR PACIFICO</t>
  </si>
  <si>
    <t>CHELLISSA</t>
  </si>
  <si>
    <t>DAWN</t>
  </si>
  <si>
    <t>MAR DEL NORTE</t>
  </si>
  <si>
    <t>PK FISH HOLDINGS</t>
  </si>
  <si>
    <t>EVIE GRACE</t>
  </si>
  <si>
    <t>MiRoCo</t>
  </si>
  <si>
    <t>LAURA</t>
  </si>
  <si>
    <t>HICKORY WIND</t>
  </si>
  <si>
    <t>AMERICAN EAGLE</t>
  </si>
  <si>
    <t>VANGUARD</t>
  </si>
  <si>
    <t>ENTERPRISE</t>
  </si>
  <si>
    <t>Moved from NP to SBS for 2026</t>
  </si>
  <si>
    <t xml:space="preserve">check: </t>
  </si>
  <si>
    <t>NORTH PACIFIC</t>
  </si>
  <si>
    <t>NICHOLE</t>
  </si>
  <si>
    <t>probably moving to SBS</t>
  </si>
  <si>
    <t>SEA MAC - MAGIC</t>
  </si>
  <si>
    <t xml:space="preserve">SEA MAC </t>
  </si>
  <si>
    <t>SEA MAC 2653</t>
  </si>
  <si>
    <t>CARAVELLE</t>
  </si>
  <si>
    <t>TOPAZ</t>
  </si>
  <si>
    <t>ALASKA BEAUTY</t>
  </si>
  <si>
    <t>CAPT'N ART</t>
  </si>
  <si>
    <t>ALASKAN</t>
  </si>
  <si>
    <t>LESLIE LEE</t>
  </si>
  <si>
    <t>check:</t>
  </si>
  <si>
    <t>OBSI</t>
  </si>
  <si>
    <t>DOMINION</t>
  </si>
  <si>
    <t>NEW LIFE</t>
  </si>
  <si>
    <t>MARATHON</t>
  </si>
  <si>
    <t>BAY ISLANDER</t>
  </si>
  <si>
    <t>PACIFIC STAR</t>
  </si>
  <si>
    <t>TAASINGE</t>
  </si>
  <si>
    <t>STELLA</t>
  </si>
  <si>
    <t>GREEN HOPE</t>
  </si>
  <si>
    <t>OCEAN HOPE 3</t>
  </si>
  <si>
    <t>STAR OF KODIAK</t>
  </si>
  <si>
    <t>OCEAN STORM</t>
  </si>
  <si>
    <t>ROSELLA</t>
  </si>
  <si>
    <t>EXCALIBUR II</t>
  </si>
  <si>
    <t>ARCTIC RAM</t>
  </si>
  <si>
    <t>MARCY J</t>
  </si>
  <si>
    <t>CAPE KIWANDA</t>
  </si>
  <si>
    <t>PACIFIC RAM</t>
  </si>
  <si>
    <t>TRAVELER</t>
  </si>
  <si>
    <t>ARCTIC WIND</t>
  </si>
  <si>
    <t>MICHELLE RENEE</t>
  </si>
  <si>
    <t>PACIFIC STORM</t>
  </si>
  <si>
    <t>WALTER N</t>
  </si>
  <si>
    <t>ELIZABETH F</t>
  </si>
  <si>
    <t>GOLD RUSH</t>
  </si>
  <si>
    <t>COLLIER BROTHERS</t>
  </si>
  <si>
    <t>TOTAL LLPs</t>
  </si>
  <si>
    <t>Secondary Species + Halibut PSC Allocations</t>
  </si>
  <si>
    <t>updated for 2026</t>
  </si>
  <si>
    <t>Issued QS Aggregate Total</t>
  </si>
  <si>
    <t>TOT % CV Pool column is used for the secondary species percentage for each vessel in the Exhibit B Harvest Schedule 
(% CV Pool Harvest Allocations)</t>
  </si>
  <si>
    <t>Tables above are linked from CV Coop Sector Alloc tab to calculate the allocations for each Coop LLP</t>
  </si>
  <si>
    <t>CV Cooperative Allocations by LLP</t>
  </si>
  <si>
    <t>SILVER BAY</t>
  </si>
  <si>
    <t>TOT % CV POOL</t>
  </si>
  <si>
    <t>Secondary Species + Halibut in pounds</t>
  </si>
  <si>
    <t>Sablefish</t>
  </si>
  <si>
    <t>Pcod</t>
  </si>
  <si>
    <t>Thornyhd</t>
  </si>
  <si>
    <t>Halibut</t>
  </si>
  <si>
    <t>moving to sbs</t>
  </si>
  <si>
    <t>probably moving to sbs</t>
  </si>
  <si>
    <t>SOK</t>
  </si>
  <si>
    <t>sable</t>
  </si>
  <si>
    <t>cod</t>
  </si>
  <si>
    <t>thorny</t>
  </si>
  <si>
    <t>halibut</t>
  </si>
  <si>
    <t>Totals</t>
  </si>
  <si>
    <t>checks:</t>
  </si>
  <si>
    <t>CGOA ROCKFISH SECTOR ALLOCATIONS</t>
  </si>
  <si>
    <t>Updated with Council Dec Specs Motion</t>
  </si>
  <si>
    <t>Instructions</t>
  </si>
  <si>
    <t>PRIMARY ROCKFISH ICA HISTORY</t>
  </si>
  <si>
    <t>Species</t>
  </si>
  <si>
    <t>TAC</t>
  </si>
  <si>
    <t>ICA</t>
  </si>
  <si>
    <t>TAC - ICA</t>
  </si>
  <si>
    <t>Entry Level (FG)</t>
  </si>
  <si>
    <t>TAC for Coop CQ</t>
  </si>
  <si>
    <t>Sector</t>
  </si>
  <si>
    <t>QS units in that sector</t>
  </si>
  <si>
    <t>% QS pool to sector</t>
  </si>
  <si>
    <t>TAC to sector</t>
  </si>
  <si>
    <r>
      <rPr>
        <rFont val="Calibri"/>
        <sz val="9.0"/>
      </rPr>
      <t xml:space="preserve">1. When you copy/paste the new Table 10 from the GOA specs in the </t>
    </r>
    <r>
      <rPr>
        <rFont val="Calibri"/>
        <color rgb="FF1155CC"/>
        <sz val="9.0"/>
        <u/>
      </rPr>
      <t>GOA Other Allocations tab of the Specs and Allocations spreadsheet</t>
    </r>
    <r>
      <rPr>
        <rFont val="Calibri"/>
        <sz val="9.0"/>
      </rPr>
      <t xml:space="preserve">, if you keep the cell references in tact the new TAC, ICA, TAC minus ICA, and Entry Level allocations (brownish cells) will autofill in this sheet.  Double check. Also update the Primary Rockfish ICA history table to the right. </t>
    </r>
  </si>
  <si>
    <t>ICA's</t>
  </si>
  <si>
    <t>2. Make sure your green "TAC for CQ" cells also match the "Allocation to the Rockfish Cooperpatives" column in Table 10 of the GOA Specs.</t>
  </si>
  <si>
    <t>CV</t>
  </si>
  <si>
    <t xml:space="preserve">3. The "QS units in sector and % QS pool to sector" columns never change and are protected cells so they can't be edited. </t>
  </si>
  <si>
    <t>CP</t>
  </si>
  <si>
    <t xml:space="preserve">4. The light yellow column "TAC to Sector" is "TAC for CQ" multipled by the "% QS Pool to sector"  for each species and sector. It should automatically update when you put in the new TAC/ICA/Entry allocations but make sure. The green cells in that column are also a data check and should match the "TAC for CQ" for that species (if your formulas are working properly). </t>
  </si>
  <si>
    <t>Total</t>
  </si>
  <si>
    <t xml:space="preserve">5. Allocations of secondary species should also automatically update when new Table 12 is put into Specs. The CGOA TAC is multipled by the % of TAC to that sector. These percentages only change if the Council takes action. The percentages are included in Table 12. Doublecheck everything with Table 12. </t>
  </si>
  <si>
    <r>
      <rPr>
        <rFont val="Calibri"/>
        <sz val="9.0"/>
      </rPr>
      <t xml:space="preserve">6. The pink "TAC to Sector" cell for cod should match the calculation in the </t>
    </r>
    <r>
      <rPr>
        <rFont val="Calibri"/>
        <color rgb="FF1155CC"/>
        <sz val="9.0"/>
        <u/>
      </rPr>
      <t>2023 GOA Fed Cod Allocations</t>
    </r>
    <r>
      <rPr>
        <rFont val="Calibri"/>
        <sz val="9.0"/>
      </rPr>
      <t xml:space="preserve"> tab table for RP cod (cell D7). However, you need to use the ROUND CGOA TAC mt with no decimals. Each year when the new CGOA TACs pull into the spreadsheet, round the whole mt CGOA TAC number and multiply it by the percentage cell for that sector and species.  The pink column should have decimal places that should be correct.  </t>
    </r>
  </si>
  <si>
    <t xml:space="preserve">7. Allocation of Halibut PSC by sector also doesn't normally change so make sure it still matches. If it does change, you need to multiple the Halibut PSC by %PSC to sector by hand and then put "PSC to Sector" in the dark purple cells with just one decimal place. Don't make it a calculation and don't use extra decimals or the numbers won't match. </t>
  </si>
  <si>
    <t>Total QS</t>
  </si>
  <si>
    <t>Allocation of Secondary Rockfish Species TAC by Sector</t>
  </si>
  <si>
    <t>CGOA TAC</t>
  </si>
  <si>
    <t>% of CGOA TAC to Sector</t>
  </si>
  <si>
    <t>Pacific Cod</t>
  </si>
  <si>
    <t>CV (only)</t>
  </si>
  <si>
    <t>Shortraker</t>
  </si>
  <si>
    <t>CP (only)</t>
  </si>
  <si>
    <t>Rougheye</t>
  </si>
  <si>
    <t>Thornyhead</t>
  </si>
  <si>
    <t xml:space="preserve">Notes: Only CVs receieve allocations of P. Cod and it is allocated from the CGOA B Season P. Cod TAC. Only CPs receive allocations of Shortraker and Rougheye. </t>
  </si>
  <si>
    <t>Allocation of Halibut PSC by Sector</t>
  </si>
  <si>
    <t>Halibut PSC</t>
  </si>
  <si>
    <t>% of PSC to Sector</t>
  </si>
  <si>
    <t>PSC to Sector</t>
  </si>
  <si>
    <t xml:space="preserve">Note: Halibut PSC limits for RP do not change. Set in Regulation. </t>
  </si>
  <si>
    <t>CV  Coop Sector Allocations</t>
  </si>
  <si>
    <t>NOT UPDATED FOR 2023</t>
  </si>
  <si>
    <t>Needs to be updated for 2026</t>
  </si>
  <si>
    <t>Rockfish QS Units</t>
  </si>
  <si>
    <t>2025 Allocations (mt)</t>
  </si>
  <si>
    <t>CV SECTOR</t>
  </si>
  <si>
    <t>SABLE</t>
  </si>
  <si>
    <t>COD</t>
  </si>
  <si>
    <t>THORNY</t>
  </si>
  <si>
    <t>HALIBUT</t>
  </si>
  <si>
    <t>CV Co-op</t>
  </si>
  <si>
    <t>POP (mt)</t>
  </si>
  <si>
    <t>POP 
(% of Total)</t>
  </si>
  <si>
    <t>NR (mt)</t>
  </si>
  <si>
    <t>NR
(% of Total)</t>
  </si>
  <si>
    <t>Dusky (mt)</t>
  </si>
  <si>
    <t>Dusky
(% of Total)</t>
  </si>
  <si>
    <t>Total 2025  Rockfish (mt)</t>
  </si>
  <si>
    <t>% of Total</t>
  </si>
  <si>
    <t>Silver Bay</t>
  </si>
  <si>
    <t>SBS</t>
  </si>
  <si>
    <t>North Pacific</t>
  </si>
  <si>
    <t>Pacific</t>
  </si>
  <si>
    <t>Table 6. In Allocations Doc:</t>
  </si>
  <si>
    <t>SBS CV Cooperative</t>
  </si>
  <si>
    <t>2025 Allocations (lbs)</t>
  </si>
  <si>
    <t>DATA CHECK WITH NMFS</t>
  </si>
  <si>
    <t>SPECIES</t>
  </si>
  <si>
    <t>CV sector TAC</t>
  </si>
  <si>
    <t>SBS QS</t>
  </si>
  <si>
    <t>TOTAL QS POOL</t>
  </si>
  <si>
    <t>% OF TAC</t>
  </si>
  <si>
    <t>MT</t>
  </si>
  <si>
    <t>LBS</t>
  </si>
  <si>
    <t>NMFS</t>
  </si>
  <si>
    <t>AGDB</t>
  </si>
  <si>
    <t>Diff</t>
  </si>
  <si>
    <t>Northern</t>
  </si>
  <si>
    <t>NP CV Cooperative</t>
  </si>
  <si>
    <t>NP QS</t>
  </si>
  <si>
    <t>40% Processing Cap</t>
  </si>
  <si>
    <t>Grand Total</t>
  </si>
  <si>
    <t xml:space="preserve">Numbers get plugged into NMFS column once we have them from Steve Whitney to match to ours. </t>
  </si>
  <si>
    <t>RF</t>
  </si>
  <si>
    <t>Sable</t>
  </si>
  <si>
    <t>Cod</t>
  </si>
  <si>
    <t>8% POP Vessel Harvest Cap</t>
  </si>
  <si>
    <t>OBI CV Cooperative</t>
  </si>
  <si>
    <t>OBI QS</t>
  </si>
  <si>
    <t>SOK CV Cooperative</t>
  </si>
  <si>
    <t>SOK QS</t>
  </si>
  <si>
    <t>Pacific CV coop</t>
  </si>
  <si>
    <t>Pacific QS</t>
  </si>
  <si>
    <t>Pacific CV Coop rows hidden</t>
  </si>
  <si>
    <t>Secondary Species + Halibut PSC - Metric Tons</t>
  </si>
  <si>
    <t>CV sector</t>
  </si>
  <si>
    <t>NP</t>
  </si>
  <si>
    <t>Secondary Species + Halibut PSC - Pounds</t>
  </si>
  <si>
    <t>*these two tables link to top of CV secondary and PSC Alloc tab for easy reference. edit here for changes to be reflected on that tab</t>
  </si>
  <si>
    <t>ALLOCATION TO SECTOR</t>
  </si>
  <si>
    <t>This tab doesn't get updated; it stays the same unless there is a regulatory change.</t>
  </si>
  <si>
    <t>PRIMARY RF</t>
  </si>
  <si>
    <t>SECTOR</t>
  </si>
  <si>
    <t>TOTAL UNITS</t>
  </si>
  <si>
    <t>% BY SECTOR</t>
  </si>
  <si>
    <t>NMFS 4-11-12</t>
  </si>
  <si>
    <t>Sum of Quota Share</t>
  </si>
  <si>
    <t>Northern Rockfish</t>
  </si>
  <si>
    <t>Pacific Ocean Perch</t>
  </si>
  <si>
    <t>Pelagic Shelf Rockfish</t>
  </si>
  <si>
    <t>Category</t>
  </si>
  <si>
    <t>% CV</t>
  </si>
  <si>
    <t>% CP</t>
  </si>
  <si>
    <t>QS pool denominators</t>
  </si>
  <si>
    <t>Issued QS aggregate total</t>
  </si>
  <si>
    <t>Link to Table at top of CV Coop LLP Primary Allocations (CV QS Pool)</t>
  </si>
  <si>
    <t>POP Revised April 2, 2012</t>
  </si>
  <si>
    <t>Difference</t>
  </si>
  <si>
    <t>Exhibit B - Harvest Schedules</t>
  </si>
  <si>
    <t>These tables are compiled via links from combined sections of tables in the CV Coop LLP Primary Alloc and the CV Secondary &amp; PSC Alloc tabs. They should automatically update each year after LLP movements between coops are made. This is the source for Exhibit B - Harvest Schedule of each coop's membership agreement, which are included in each coop's CQ Permit Allocation each March. Note Member column is hand typed, refer to Membership Sheet but they are not necessarily listed in same order. Leave order the same in this spreadsheet. Everything should be double checked each year to make sure it's still linking to current spreadsheet and that members are still lined up with the appropriate vessel, LLP No and % of CV pool)</t>
  </si>
  <si>
    <t>Updated and proofed for 2025 on 2/20</t>
  </si>
  <si>
    <t>MEMBER INFORMATION</t>
  </si>
  <si>
    <t>HARVEST ALLOCATIONS (% of CV POOL)</t>
  </si>
  <si>
    <t xml:space="preserve">Member  </t>
  </si>
  <si>
    <t xml:space="preserve">LLP No. </t>
  </si>
  <si>
    <t xml:space="preserve">Sablefish </t>
  </si>
  <si>
    <t>MAR PACIFICO, INC</t>
  </si>
  <si>
    <t>CHELLISSA FISHERIES, LLC</t>
  </si>
  <si>
    <t>DAWN FISHERIES LLC</t>
  </si>
  <si>
    <t>NORTH SEA FISHERIES, LLC</t>
  </si>
  <si>
    <t>PK FISHERIES HOLDINGS, LLC</t>
  </si>
  <si>
    <t>LAURA FISHERIES JOINT VENTURE</t>
  </si>
  <si>
    <t>MiRoCo LLC</t>
  </si>
  <si>
    <t>DAVID DAHL</t>
  </si>
  <si>
    <t>BERING NORTH, LLC</t>
  </si>
  <si>
    <t>VANGUARD FISHERIES LLC</t>
  </si>
  <si>
    <t>Total LLPs</t>
  </si>
  <si>
    <t>NICOLE FISHERIES LLC</t>
  </si>
  <si>
    <t xml:space="preserve">MAGIC FISH CO. </t>
  </si>
  <si>
    <t xml:space="preserve">SEA MAC SEAFOODS, LLC </t>
  </si>
  <si>
    <t>ALASKA DAWN SEAFOODS LLC</t>
  </si>
  <si>
    <t xml:space="preserve">GOLDEN WEST FISHERIES, INC. </t>
  </si>
  <si>
    <t xml:space="preserve">CHANDLER FISHERIES, INC. </t>
  </si>
  <si>
    <t>ANTHEM SEAFOODS LLC</t>
  </si>
  <si>
    <t>THOMAS TORMALA</t>
  </si>
  <si>
    <t xml:space="preserve">ENTERPRISE FISHERIES, LLC </t>
  </si>
  <si>
    <t>3THIRTY3 LLC</t>
  </si>
  <si>
    <t xml:space="preserve">LESLIE LEE, INC </t>
  </si>
  <si>
    <t>OBI</t>
  </si>
  <si>
    <t xml:space="preserve">NEW LIFE FISHERIES, INC </t>
  </si>
  <si>
    <t xml:space="preserve">MARATHON FISHERIES, INC. </t>
  </si>
  <si>
    <t xml:space="preserve">BAY ISLANDER, INC. </t>
  </si>
  <si>
    <t xml:space="preserve">PAC STAR, INC. </t>
  </si>
  <si>
    <t xml:space="preserve">DEFIANT FISHERIES, INC. </t>
  </si>
  <si>
    <t xml:space="preserve">LOUGHBEG FISHERIES, INC </t>
  </si>
  <si>
    <t xml:space="preserve">GREEN HOPE LLC </t>
  </si>
  <si>
    <t>MARTIN FISHERIES, INC</t>
  </si>
  <si>
    <t xml:space="preserve">OCEAN STORM FISHERIES, INC. </t>
  </si>
  <si>
    <t xml:space="preserve">ROSELLA INC </t>
  </si>
  <si>
    <t xml:space="preserve">EXCALIBUR II, LLC </t>
  </si>
  <si>
    <t xml:space="preserve">TRIDENT SEAFOODS CORP. </t>
  </si>
  <si>
    <t xml:space="preserve">JJL FISHERIES LLC  </t>
  </si>
  <si>
    <t xml:space="preserve">ROYAL VIKING, INC. </t>
  </si>
  <si>
    <t xml:space="preserve">TRAVELER FISHERIES LLC </t>
  </si>
  <si>
    <t xml:space="preserve">B &amp; N FISHERIES COMPANY </t>
  </si>
  <si>
    <t xml:space="preserve">BLACK SEA FISHERIES, INC. </t>
  </si>
  <si>
    <t xml:space="preserve">PACIFIC STORM FISHERIES, LLC. </t>
  </si>
  <si>
    <t xml:space="preserve">ELIZABETH F, INC. </t>
  </si>
  <si>
    <t xml:space="preserve">F/V GOLD RUSH FISHERIES LLC </t>
  </si>
  <si>
    <t>COLLIER BROTHERS  LLC</t>
  </si>
  <si>
    <t>Processor Agreement Schedule 3.2</t>
  </si>
  <si>
    <t xml:space="preserve">These tables are compiled via links from combined sections of tables in the CV Coop LLP Primary Alloc and the CV Secondary &amp; PSC Alloc tabs. They should automatically update each year after LLP movements between coops are made. This is the source for Schedule 3.2 of each coop's Processor Agreement, which must be signed prior to the season start. Note Member column is hand typed, refer to Membership Sheet but they are not necessarily listed in same order. Leave order the same in this spreadsheet. Everything should be double checked each year to make sure it's still linking to current spreadsheet and that members are still lined up with the appropriate vessel, LLP No and TAC. </t>
  </si>
  <si>
    <t>QUOTA ALLOCATIONS IN POUNDS</t>
  </si>
  <si>
    <t>Updated for 2025 on 2/12/25</t>
  </si>
  <si>
    <t>P. Cod</t>
  </si>
  <si>
    <t>Thorny</t>
  </si>
  <si>
    <t>PK FISH HOLDINGS, LLC</t>
  </si>
  <si>
    <t>Coop</t>
  </si>
  <si>
    <t>% of whole</t>
  </si>
  <si>
    <t>RP Primary and Secondary Species TAC's Comparison between 2025 and 2024 in Metric tons</t>
  </si>
  <si>
    <t>Table 1. Primary and secondary species TAC 25 vs 24 in metric tons</t>
  </si>
  <si>
    <t>% Change 25 vs 24</t>
  </si>
  <si>
    <t>Total Rockfish</t>
  </si>
  <si>
    <t>P cod</t>
  </si>
  <si>
    <t>Thornyheads</t>
  </si>
  <si>
    <t>Table 2. 2025 TAC’s and Allocations of Rockfish Program (RP) CQ Species by Sector</t>
  </si>
  <si>
    <t>(TWO PARTS)</t>
  </si>
  <si>
    <t>Rockfish Program TAC</t>
  </si>
  <si>
    <t>% Quota Share</t>
  </si>
  <si>
    <t>2025 Sector TAC (mt)</t>
  </si>
  <si>
    <t>2025 Sector TAC (lbs)</t>
  </si>
  <si>
    <t>2024 Sector TAC (lbs)</t>
  </si>
  <si>
    <t>Change from 2024 (lbs)</t>
  </si>
  <si>
    <t>% Change from 2024</t>
  </si>
  <si>
    <t>The CV and CP sector % changes for each sector should match</t>
  </si>
  <si>
    <t>Fiddle with rounding numbers until they do!</t>
  </si>
  <si>
    <t>Primary Rockfish</t>
  </si>
  <si>
    <t>Total Primary Rockfish CQ:</t>
  </si>
  <si>
    <t xml:space="preserve">*Just like in TAC Sector Allocations, in column E in you need to multiply by hand each year the round CGOA TAC number times the %quota share. </t>
  </si>
  <si>
    <t>Table 3. Central GOA ICA's for RP rockfish species by year (mt)</t>
  </si>
  <si>
    <r>
      <rPr>
        <rFont val="Roboto"/>
        <sz val="8.0"/>
      </rPr>
      <t xml:space="preserve">This table is the simplified version of the table above that goes in the last weekly update before the RP opens each year. It autofills from above, then is directly linked to the right handside of the </t>
    </r>
    <r>
      <rPr>
        <rFont val="Roboto"/>
        <color rgb="FF1155CC"/>
        <sz val="8.0"/>
        <u/>
      </rPr>
      <t>GOA weekly update</t>
    </r>
    <r>
      <rPr>
        <rFont val="Roboto"/>
        <sz val="8.0"/>
      </rPr>
      <t xml:space="preserve"> tab next to the RP stuff. </t>
    </r>
  </si>
  <si>
    <t>Table X. CGOA RP CV and CP Quotas Current Year vs Previous Year (mt)</t>
  </si>
  <si>
    <t>CV Coop</t>
  </si>
  <si>
    <t>2025 Quota</t>
  </si>
  <si>
    <t>2024 Quota</t>
  </si>
  <si>
    <t>% Difference</t>
  </si>
  <si>
    <t>CP Coop</t>
  </si>
  <si>
    <t xml:space="preserve">Table 4. POP Catch Towards ICA </t>
  </si>
  <si>
    <t>YEAR</t>
  </si>
  <si>
    <t>POP ICA</t>
  </si>
  <si>
    <t>Catch</t>
  </si>
  <si>
    <t>Remaining</t>
  </si>
  <si>
    <t>n/a</t>
  </si>
  <si>
    <t>Average 2017-2024</t>
  </si>
  <si>
    <t>CP Sector Allocations</t>
  </si>
  <si>
    <t>Updated and proofed for 2025 on 2/26</t>
  </si>
  <si>
    <t>Rockfish QS</t>
  </si>
  <si>
    <t>2025 CP Allocations (mt) AGDB</t>
  </si>
  <si>
    <t>CP SECTOR</t>
  </si>
  <si>
    <t>BUC</t>
  </si>
  <si>
    <t>BUC Co-op</t>
  </si>
  <si>
    <t>OH/OP</t>
  </si>
  <si>
    <t>BUC CP coop</t>
  </si>
  <si>
    <t>CP sector TAC</t>
  </si>
  <si>
    <t>BUC QS</t>
  </si>
  <si>
    <t>Ohara/Ocean Peace CP coop</t>
  </si>
  <si>
    <t>OH/OP QS</t>
  </si>
  <si>
    <t>CP Primary Allocations by LLP</t>
  </si>
  <si>
    <t>BUC Rockfish Cooperative</t>
  </si>
  <si>
    <t>25 CP TAC</t>
  </si>
  <si>
    <t>QS POOL</t>
  </si>
  <si>
    <t>CP TAC lbs</t>
  </si>
  <si>
    <t xml:space="preserve">Coop Vessel </t>
  </si>
  <si>
    <t>2025 TAC - METRIC TONS</t>
  </si>
  <si>
    <t>2025 TAC - POUNDS</t>
  </si>
  <si>
    <t>SEAFISHER</t>
  </si>
  <si>
    <t>FORUM STAR</t>
  </si>
  <si>
    <t>ALASKA SPIRIT</t>
  </si>
  <si>
    <t>ALASKA VICTORY</t>
  </si>
  <si>
    <t>ARAHO</t>
  </si>
  <si>
    <t>LEGACY</t>
  </si>
  <si>
    <t>AMERICA'S FINEST</t>
  </si>
  <si>
    <t>CAPE FLATTERY</t>
  </si>
  <si>
    <t>UNIMAK</t>
  </si>
  <si>
    <t>US INTREPID</t>
  </si>
  <si>
    <t>2018 Vessel</t>
  </si>
  <si>
    <t>LICENSE</t>
  </si>
  <si>
    <t>LICENSEE NAME</t>
  </si>
  <si>
    <t>ADDRESS_1</t>
  </si>
  <si>
    <t>%</t>
  </si>
  <si>
    <t>Seafisher</t>
  </si>
  <si>
    <t>LLG2080</t>
  </si>
  <si>
    <t>AK VICTORY INC.</t>
  </si>
  <si>
    <t>4201 21ST AVE WEST</t>
  </si>
  <si>
    <t>Ohara</t>
  </si>
  <si>
    <t>-</t>
  </si>
  <si>
    <t>LLG2905</t>
  </si>
  <si>
    <t>ALASKA LEGACY LLC</t>
  </si>
  <si>
    <t>1801 FAIRVIEW AVENUE EAST STE 100</t>
  </si>
  <si>
    <t>US Seafoods</t>
  </si>
  <si>
    <t>Alaska Spirit</t>
  </si>
  <si>
    <t>LLG2028</t>
  </si>
  <si>
    <t>FV AMERICAS FINEST</t>
  </si>
  <si>
    <t>AMERICA'S FINEST FISHING LLC</t>
  </si>
  <si>
    <t>570 KIRKLAND WAY SUITE 200</t>
  </si>
  <si>
    <t>Fishermens finest</t>
  </si>
  <si>
    <t>Alaska Victory</t>
  </si>
  <si>
    <t>LLG3838</t>
  </si>
  <si>
    <t>AMERICAN SEAFOODS CO LLC.</t>
  </si>
  <si>
    <t>2025 1ST AVE STE 900</t>
  </si>
  <si>
    <t>AM Seafoods</t>
  </si>
  <si>
    <t>Araho</t>
  </si>
  <si>
    <t>LLG4360</t>
  </si>
  <si>
    <t>CAPE FLATTERY WASHINGTON LLC</t>
  </si>
  <si>
    <t>1801 FAIRVIEW AVENUE EAST SUITE 100</t>
  </si>
  <si>
    <t>OP</t>
  </si>
  <si>
    <t>Legacy</t>
  </si>
  <si>
    <t>LLG2014</t>
  </si>
  <si>
    <t>M/V SAVAGE INC.</t>
  </si>
  <si>
    <t>4201 21ST AVENUE WEST</t>
  </si>
  <si>
    <t>Unimak</t>
  </si>
  <si>
    <t>American No. 1</t>
  </si>
  <si>
    <t>LLG3043</t>
  </si>
  <si>
    <t>O'HARA CORPORATION</t>
  </si>
  <si>
    <t>120 TILLSON AVE STE 1</t>
  </si>
  <si>
    <t>LLG2083</t>
  </si>
  <si>
    <t>Seafreeze America</t>
  </si>
  <si>
    <t>Cape Flattery</t>
  </si>
  <si>
    <t>LLG1802</t>
  </si>
  <si>
    <t>SEAFREEZE AMERICA</t>
  </si>
  <si>
    <t>SEAFREEZE AMERICA LLC</t>
  </si>
  <si>
    <t>1801 FAIRVIEW AVENUE EAST #100</t>
  </si>
  <si>
    <t>LLG3662</t>
  </si>
  <si>
    <t>U.S. FISHING L.L.C.</t>
  </si>
  <si>
    <t>570 KIRKLAND WAY STE. 200</t>
  </si>
  <si>
    <t>US Intrepid</t>
  </si>
  <si>
    <t>LLG3957</t>
  </si>
  <si>
    <t>UNIMAK VESSEL LLC</t>
  </si>
  <si>
    <t>2320 WEST COMMADOR WAY STE. 200</t>
  </si>
  <si>
    <t>CP Secondary and PSC allocations by LLP</t>
  </si>
  <si>
    <t>Updated and proofed for 2024 on 4/11</t>
  </si>
  <si>
    <t>CP sector</t>
  </si>
  <si>
    <t xml:space="preserve">Original Vessel </t>
  </si>
  <si>
    <t>TOT % CP POOL</t>
  </si>
  <si>
    <t>2025 NMFS vs AGDB Allocation Match</t>
  </si>
  <si>
    <t xml:space="preserve">1. When Steve Whitney sends Rockfish Allocation spreadsheet in March/April, copy paste the numbers into the tan boxes. 
2. The Difference box will autocalcuate with the AGDB box and show where there may be errors. Communicate with Steve to get them resolved. </t>
  </si>
  <si>
    <t>CP Allocations (mt) AGDB</t>
  </si>
  <si>
    <t>DIFFERENCE</t>
  </si>
</sst>
</file>

<file path=xl/styles.xml><?xml version="1.0" encoding="utf-8"?>
<styleSheet xmlns="http://schemas.openxmlformats.org/spreadsheetml/2006/main" xmlns:x14ac="http://schemas.microsoft.com/office/spreadsheetml/2009/9/ac" xmlns:mc="http://schemas.openxmlformats.org/markup-compatibility/2006">
  <numFmts count="11">
    <numFmt numFmtId="164" formatCode="&quot;$&quot;#,##0.00"/>
    <numFmt numFmtId="165" formatCode="#,##0.0"/>
    <numFmt numFmtId="166" formatCode="0.0"/>
    <numFmt numFmtId="167" formatCode="0.000"/>
    <numFmt numFmtId="168" formatCode="#,##0.000"/>
    <numFmt numFmtId="169" formatCode="_(* #,##0.00_);_(* \(#,##0.00\);_(* &quot;-&quot;??_);_(@_)"/>
    <numFmt numFmtId="170" formatCode="m/d/yy"/>
    <numFmt numFmtId="171" formatCode="&quot;$&quot;#,##0"/>
    <numFmt numFmtId="172" formatCode="0.0%"/>
    <numFmt numFmtId="173" formatCode="#,##0.000_);[Red]\(#,##0.000\)"/>
    <numFmt numFmtId="174" formatCode="#,##0.0_);[Red]\(#,##0.0\)"/>
  </numFmts>
  <fonts count="73">
    <font>
      <sz val="10.0"/>
      <color rgb="FF000000"/>
      <name val="Arial"/>
      <scheme val="minor"/>
    </font>
    <font>
      <b/>
      <sz val="18.0"/>
      <color rgb="FF76923C"/>
      <name val="Calibri"/>
    </font>
    <font>
      <sz val="11.0"/>
      <color theme="1"/>
      <name val="Calibri"/>
    </font>
    <font>
      <b/>
      <sz val="11.0"/>
      <color theme="1"/>
      <name val="Calibri"/>
    </font>
    <font>
      <i/>
      <sz val="11.0"/>
      <color rgb="FF980000"/>
      <name val="Calibri"/>
    </font>
    <font/>
    <font>
      <b/>
      <sz val="12.0"/>
      <color rgb="FF76923C"/>
      <name val="Calibri"/>
    </font>
    <font>
      <b/>
      <sz val="14.0"/>
      <color rgb="FF76923C"/>
      <name val="Calibri"/>
    </font>
    <font>
      <b/>
      <sz val="11.0"/>
      <color rgb="FF000000"/>
      <name val="Calibri"/>
    </font>
    <font>
      <sz val="11.0"/>
      <color rgb="FF000000"/>
      <name val="Calibri"/>
    </font>
    <font>
      <sz val="11.0"/>
      <color rgb="FF333333"/>
      <name val="Calibri"/>
    </font>
    <font>
      <i/>
      <sz val="10.0"/>
      <color theme="1"/>
      <name val="Calibri"/>
    </font>
    <font>
      <i/>
      <sz val="9.0"/>
      <color theme="1"/>
      <name val="Calibri"/>
    </font>
    <font>
      <b/>
      <sz val="24.0"/>
      <color rgb="FF674EA7"/>
      <name val="Calibri"/>
    </font>
    <font>
      <b/>
      <sz val="11.0"/>
      <color rgb="FF9900FF"/>
      <name val="Roboto"/>
    </font>
    <font>
      <sz val="10.0"/>
      <color rgb="FF9900FF"/>
      <name val="Roboto"/>
    </font>
    <font>
      <b/>
      <sz val="12.0"/>
      <color rgb="FF9900FF"/>
      <name val="Arial"/>
    </font>
    <font>
      <b/>
      <sz val="10.0"/>
      <color rgb="FFFF0000"/>
      <name val="Arial"/>
    </font>
    <font>
      <b/>
      <sz val="10.0"/>
      <color theme="1"/>
      <name val="Arial"/>
    </font>
    <font>
      <b/>
      <sz val="14.0"/>
      <color rgb="FF4A86E8"/>
      <name val="Calibri"/>
    </font>
    <font>
      <b/>
      <sz val="12.0"/>
      <color rgb="FF4A86E8"/>
      <name val="Calibri"/>
    </font>
    <font>
      <b/>
      <sz val="12.0"/>
      <color theme="1"/>
      <name val="Calibri"/>
    </font>
    <font>
      <u/>
      <sz val="9.0"/>
      <color rgb="FF0000FF"/>
      <name val="Calibri"/>
    </font>
    <font>
      <sz val="9.0"/>
      <color theme="1"/>
      <name val="Calibri"/>
    </font>
    <font>
      <sz val="10.0"/>
      <color rgb="FF000000"/>
      <name val="Arial"/>
    </font>
    <font>
      <b/>
      <sz val="11.0"/>
      <color rgb="FFFF0000"/>
      <name val="Calibri"/>
    </font>
    <font>
      <sz val="11.0"/>
      <color rgb="FFFF0000"/>
      <name val="Calibri"/>
    </font>
    <font>
      <b/>
      <sz val="14.0"/>
      <color rgb="FFB45F06"/>
      <name val="Calibri"/>
    </font>
    <font>
      <b/>
      <sz val="11.0"/>
      <color rgb="FFFFFFFF"/>
      <name val="Calibri"/>
    </font>
    <font>
      <sz val="10.0"/>
      <color theme="1"/>
      <name val="Arial"/>
    </font>
    <font>
      <b/>
      <sz val="14.0"/>
      <color rgb="FF8E7CC3"/>
      <name val="Calibri"/>
    </font>
    <font>
      <sz val="11.0"/>
      <color rgb="FFFFFFFF"/>
      <name val="Calibri"/>
    </font>
    <font>
      <sz val="11.0"/>
      <color theme="0"/>
      <name val="Calibri"/>
    </font>
    <font>
      <i/>
      <sz val="10.0"/>
      <color rgb="FF674EA7"/>
      <name val="Calibri"/>
    </font>
    <font>
      <b/>
      <sz val="12.0"/>
      <color rgb="FF0000FF"/>
      <name val="Calibri"/>
    </font>
    <font>
      <b/>
      <sz val="12.0"/>
      <color rgb="FF000000"/>
      <name val="Calibri"/>
    </font>
    <font>
      <sz val="12.0"/>
      <color theme="1"/>
      <name val="Calibri"/>
    </font>
    <font>
      <sz val="12.0"/>
      <color rgb="FF000000"/>
      <name val="Calibri"/>
    </font>
    <font>
      <sz val="9.0"/>
      <color theme="1"/>
      <name val="Roboto"/>
    </font>
    <font>
      <i/>
      <sz val="8.0"/>
      <color theme="1"/>
      <name val="Calibri"/>
    </font>
    <font>
      <b/>
      <sz val="18.0"/>
      <color rgb="FF4A86E8"/>
      <name val="Calibri"/>
    </font>
    <font>
      <sz val="10.0"/>
      <color theme="1"/>
      <name val="Calibri"/>
    </font>
    <font>
      <sz val="12.0"/>
      <color rgb="FFFF0000"/>
      <name val="Calibri"/>
    </font>
    <font>
      <b/>
      <i/>
      <sz val="14.0"/>
      <color rgb="FF6AA84F"/>
      <name val="Calibri"/>
    </font>
    <font>
      <b/>
      <sz val="10.0"/>
      <color theme="1"/>
      <name val="Times New Roman"/>
    </font>
    <font>
      <sz val="10.0"/>
      <color theme="1"/>
      <name val="Times New Roman"/>
    </font>
    <font>
      <b/>
      <sz val="10.0"/>
      <color theme="1"/>
      <name val="Calibri"/>
    </font>
    <font>
      <sz val="15.0"/>
      <color rgb="FF9900FF"/>
      <name val="Times New Roman"/>
    </font>
    <font>
      <b/>
      <sz val="10.0"/>
      <color theme="1"/>
      <name val="Roboto"/>
    </font>
    <font>
      <sz val="10.0"/>
      <color theme="1"/>
      <name val="Roboto"/>
    </font>
    <font>
      <b/>
      <i/>
      <sz val="14.0"/>
      <color rgb="FF351C75"/>
      <name val="Roboto"/>
    </font>
    <font>
      <b/>
      <sz val="18.0"/>
      <color rgb="FFFF0000"/>
      <name val="Roboto"/>
    </font>
    <font>
      <sz val="11.0"/>
      <color theme="1"/>
      <name val="Roboto"/>
    </font>
    <font>
      <b/>
      <sz val="11.0"/>
      <color theme="1"/>
      <name val="Roboto"/>
    </font>
    <font>
      <sz val="15.0"/>
      <color rgb="FF9900FF"/>
      <name val="Roboto"/>
    </font>
    <font>
      <sz val="11.0"/>
      <color rgb="FF000000"/>
      <name val="Roboto"/>
    </font>
    <font>
      <b/>
      <sz val="10.0"/>
      <color rgb="FF000000"/>
      <name val="Roboto"/>
    </font>
    <font>
      <b/>
      <sz val="11.0"/>
      <color rgb="FF000000"/>
      <name val="Roboto"/>
    </font>
    <font>
      <b/>
      <i/>
      <sz val="11.0"/>
      <color rgb="FF000000"/>
      <name val="Roboto"/>
    </font>
    <font>
      <b/>
      <sz val="9.0"/>
      <color rgb="FF000000"/>
      <name val="Roboto"/>
    </font>
    <font>
      <u/>
      <sz val="8.0"/>
      <color rgb="FF0000FF"/>
      <name val="Roboto"/>
    </font>
    <font>
      <b/>
      <sz val="18.0"/>
      <color rgb="FF6FA8DC"/>
      <name val="Calibri"/>
    </font>
    <font>
      <sz val="9.0"/>
      <color theme="1"/>
      <name val="Arial"/>
    </font>
    <font>
      <b/>
      <sz val="9.0"/>
      <color theme="1"/>
      <name val="Arial"/>
    </font>
    <font>
      <b/>
      <sz val="18.0"/>
      <color rgb="FF6FA8DC"/>
      <name val="Roboto"/>
    </font>
    <font>
      <i/>
      <sz val="11.0"/>
      <color rgb="FF980000"/>
      <name val="Roboto"/>
    </font>
    <font>
      <b/>
      <sz val="9.0"/>
      <color theme="1"/>
      <name val="Roboto"/>
    </font>
    <font>
      <b/>
      <sz val="18.0"/>
      <color rgb="FF3D85C6"/>
      <name val="Calibri"/>
    </font>
    <font>
      <b/>
      <sz val="14.0"/>
      <color theme="1"/>
      <name val="Calibri"/>
    </font>
    <font>
      <b/>
      <sz val="14.0"/>
      <color rgb="FF6AA84F"/>
      <name val="Calibri"/>
    </font>
    <font>
      <b/>
      <sz val="11.0"/>
      <color rgb="FF3D85C6"/>
      <name val="Calibri"/>
    </font>
    <font>
      <b/>
      <sz val="14.0"/>
      <color rgb="FFCC0000"/>
      <name val="Calibri"/>
    </font>
    <font>
      <sz val="10.0"/>
      <color rgb="FF333333"/>
      <name val="Times New Roman"/>
    </font>
  </fonts>
  <fills count="19">
    <fill>
      <patternFill patternType="none"/>
    </fill>
    <fill>
      <patternFill patternType="lightGray"/>
    </fill>
    <fill>
      <patternFill patternType="solid">
        <fgColor rgb="FFCCCCCC"/>
        <bgColor rgb="FFCCCCCC"/>
      </patternFill>
    </fill>
    <fill>
      <patternFill patternType="solid">
        <fgColor rgb="FFD9D2E9"/>
        <bgColor rgb="FFD9D2E9"/>
      </patternFill>
    </fill>
    <fill>
      <patternFill patternType="solid">
        <fgColor rgb="FFCFE2F3"/>
        <bgColor rgb="FFCFE2F3"/>
      </patternFill>
    </fill>
    <fill>
      <patternFill patternType="solid">
        <fgColor rgb="FFFFF2CC"/>
        <bgColor rgb="FFFFF2CC"/>
      </patternFill>
    </fill>
    <fill>
      <patternFill patternType="solid">
        <fgColor rgb="FFD0E0E3"/>
        <bgColor rgb="FFD0E0E3"/>
      </patternFill>
    </fill>
    <fill>
      <patternFill patternType="solid">
        <fgColor rgb="FFFFFF00"/>
        <bgColor rgb="FFFFFF00"/>
      </patternFill>
    </fill>
    <fill>
      <patternFill patternType="solid">
        <fgColor rgb="FFD9D9D9"/>
        <bgColor rgb="FFD9D9D9"/>
      </patternFill>
    </fill>
    <fill>
      <patternFill patternType="solid">
        <fgColor rgb="FFC9DAF8"/>
        <bgColor rgb="FFC9DAF8"/>
      </patternFill>
    </fill>
    <fill>
      <patternFill patternType="solid">
        <fgColor rgb="FFDCE6F1"/>
        <bgColor rgb="FFDCE6F1"/>
      </patternFill>
    </fill>
    <fill>
      <patternFill patternType="solid">
        <fgColor rgb="FFDDD9C4"/>
        <bgColor rgb="FFDDD9C4"/>
      </patternFill>
    </fill>
    <fill>
      <patternFill patternType="solid">
        <fgColor rgb="FFD9EAD3"/>
        <bgColor rgb="FFD9EAD3"/>
      </patternFill>
    </fill>
    <fill>
      <patternFill patternType="solid">
        <fgColor rgb="FFEFEFEF"/>
        <bgColor rgb="FFEFEFEF"/>
      </patternFill>
    </fill>
    <fill>
      <patternFill patternType="solid">
        <fgColor rgb="FFB45F06"/>
        <bgColor rgb="FFB45F06"/>
      </patternFill>
    </fill>
    <fill>
      <patternFill patternType="solid">
        <fgColor rgb="FFF4CCCC"/>
        <bgColor rgb="FFF4CCCC"/>
      </patternFill>
    </fill>
    <fill>
      <patternFill patternType="solid">
        <fgColor rgb="FF674EA7"/>
        <bgColor rgb="FF674EA7"/>
      </patternFill>
    </fill>
    <fill>
      <patternFill patternType="solid">
        <fgColor rgb="FFDBE5F1"/>
        <bgColor rgb="FFDBE5F1"/>
      </patternFill>
    </fill>
    <fill>
      <patternFill patternType="solid">
        <fgColor theme="0"/>
        <bgColor theme="0"/>
      </patternFill>
    </fill>
  </fills>
  <borders count="87">
    <border/>
    <border>
      <left style="medium">
        <color rgb="FF000000"/>
      </left>
      <right style="medium">
        <color rgb="FF000000"/>
      </right>
      <top style="medium">
        <color rgb="FF000000"/>
      </top>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right style="thin">
        <color rgb="FF000000"/>
      </right>
    </border>
    <border>
      <left style="thin">
        <color rgb="FF000000"/>
      </left>
      <right/>
      <top/>
      <bottom/>
    </border>
    <border>
      <left/>
      <right style="thin">
        <color rgb="FF000000"/>
      </right>
      <top/>
      <bottom/>
    </border>
    <border>
      <left/>
      <right/>
      <top/>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medium">
        <color rgb="FFF9CB9C"/>
      </left>
      <top style="medium">
        <color rgb="FFF9CB9C"/>
      </top>
    </border>
    <border>
      <top style="medium">
        <color rgb="FFF9CB9C"/>
      </top>
    </border>
    <border>
      <left style="medium">
        <color rgb="FFF9CB9C"/>
      </left>
    </border>
    <border>
      <left style="medium">
        <color rgb="FF000000"/>
      </left>
      <right style="thin">
        <color rgb="FF000000"/>
      </right>
      <top style="thin">
        <color rgb="FF000000"/>
      </top>
    </border>
    <border>
      <left/>
      <right style="medium">
        <color rgb="FF000000"/>
      </right>
      <top/>
    </border>
    <border>
      <left style="medium">
        <color rgb="FF000000"/>
      </left>
      <right style="thin">
        <color rgb="FF000000"/>
      </right>
      <bottom style="medium">
        <color rgb="FF000000"/>
      </bottom>
    </border>
    <border>
      <left/>
      <right style="medium">
        <color rgb="FF000000"/>
      </right>
      <bottom style="medium">
        <color rgb="FF000000"/>
      </bottom>
    </border>
    <border>
      <left style="medium">
        <color rgb="FFF9CB9C"/>
      </left>
      <bottom style="medium">
        <color rgb="FFF9CB9C"/>
      </bottom>
    </border>
    <border>
      <bottom style="medium">
        <color rgb="FFF9CB9C"/>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top/>
      <bottom/>
    </border>
    <border>
      <left style="thin">
        <color rgb="FF000000"/>
      </left>
      <right style="thin">
        <color rgb="FF000000"/>
      </right>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style="thin">
        <color rgb="FF000000"/>
      </right>
      <top style="thin">
        <color rgb="FF000000"/>
      </top>
      <bottom/>
    </border>
    <border>
      <left style="thin">
        <color rgb="FF000000"/>
      </left>
      <right/>
      <top style="thin">
        <color rgb="FF000000"/>
      </top>
    </border>
    <border>
      <left/>
      <right/>
      <top style="thin">
        <color rgb="FF000000"/>
      </top>
    </border>
    <border>
      <left/>
      <right style="thin">
        <color rgb="FF000000"/>
      </right>
      <top style="thin">
        <color rgb="FF000000"/>
      </top>
    </border>
    <border>
      <left style="thin">
        <color rgb="FF000000"/>
      </left>
      <right/>
      <bottom style="thin">
        <color rgb="FF000000"/>
      </bottom>
    </border>
    <border>
      <left/>
      <right/>
      <bottom style="thin">
        <color rgb="FF000000"/>
      </bottom>
    </border>
    <border>
      <left/>
      <right style="thin">
        <color rgb="FF000000"/>
      </right>
      <bottom style="thin">
        <color rgb="FF000000"/>
      </bottom>
    </border>
    <border>
      <left style="thin">
        <color rgb="FF000000"/>
      </left>
      <right/>
    </border>
    <border>
      <left/>
      <right/>
    </border>
    <border>
      <left/>
      <right/>
      <top/>
      <bottom style="thin">
        <color rgb="FF000000"/>
      </bottom>
    </border>
    <border>
      <left/>
      <right style="thin">
        <color rgb="FF000000"/>
      </right>
      <top/>
      <bottom style="thin">
        <color rgb="FF000000"/>
      </bottom>
    </border>
    <border>
      <left style="thin">
        <color rgb="FF000000"/>
      </left>
      <right/>
      <top/>
    </border>
    <border>
      <left/>
      <right/>
      <top/>
    </border>
    <border>
      <left style="thin">
        <color rgb="FF000000"/>
      </left>
      <top/>
    </border>
    <border>
      <right/>
      <top/>
    </border>
    <border>
      <right/>
    </border>
    <border>
      <right/>
      <bottom style="thin">
        <color rgb="FF000000"/>
      </bottom>
    </border>
    <border>
      <left/>
      <top style="thin">
        <color rgb="FF000000"/>
      </top>
      <bottom/>
    </border>
    <border>
      <right/>
      <top style="thin">
        <color rgb="FF000000"/>
      </top>
      <bottom/>
    </border>
    <border>
      <left/>
      <right/>
      <top style="thin">
        <color rgb="FF000000"/>
      </top>
      <bottom style="thin">
        <color rgb="FF000000"/>
      </bottom>
    </border>
    <border>
      <left/>
      <top/>
      <bottom style="thin">
        <color rgb="FF000000"/>
      </bottom>
    </border>
    <border>
      <right/>
      <top/>
      <bottom style="thin">
        <color rgb="FF000000"/>
      </bottom>
    </border>
    <border>
      <left style="medium">
        <color rgb="FF000000"/>
      </left>
      <right style="thin">
        <color rgb="FF000000"/>
      </right>
      <bottom style="thin">
        <color rgb="FF000000"/>
      </bottom>
    </border>
    <border>
      <left style="thin">
        <color rgb="FF000000"/>
      </left>
      <right style="medium">
        <color rgb="FF000000"/>
      </right>
      <bottom style="thin">
        <color rgb="FF000000"/>
      </bottom>
    </border>
    <border>
      <left/>
      <right/>
      <top/>
      <bottom style="thin">
        <color rgb="FF95B3D7"/>
      </bottom>
    </border>
    <border>
      <bottom style="thin">
        <color rgb="FF95B3D7"/>
      </bottom>
    </border>
    <border>
      <left/>
      <top/>
    </border>
    <border>
      <left/>
    </border>
    <border>
      <left/>
      <bottom/>
    </border>
    <border>
      <right/>
      <bottom/>
    </border>
    <border>
      <left style="thin">
        <color rgb="FF000000"/>
      </left>
      <right/>
      <top/>
      <bottom style="thin">
        <color rgb="FF000000"/>
      </bottom>
    </border>
    <border>
      <right/>
      <top style="thin">
        <color rgb="FF000000"/>
      </top>
      <bottom style="thin">
        <color rgb="FF000000"/>
      </bottom>
    </border>
    <border>
      <left style="thin">
        <color rgb="FFB7B7B7"/>
      </left>
      <right style="thin">
        <color rgb="FFB7B7B7"/>
      </right>
      <top style="thin">
        <color rgb="FF000000"/>
      </top>
      <bottom style="thin">
        <color rgb="FF000000"/>
      </bottom>
    </border>
    <border>
      <right style="thin">
        <color rgb="FFB7B7B7"/>
      </right>
      <top style="thin">
        <color rgb="FF000000"/>
      </top>
      <bottom style="thin">
        <color rgb="FF000000"/>
      </bottom>
    </border>
    <border>
      <left/>
      <right style="thin">
        <color rgb="FFB7B7B7"/>
      </right>
      <top style="thin">
        <color rgb="FF000000"/>
      </top>
      <bottom style="thin">
        <color rgb="FF000000"/>
      </bottom>
    </border>
    <border>
      <right style="thin">
        <color rgb="FFB7B7B7"/>
      </right>
      <top style="thin">
        <color rgb="FF000000"/>
      </top>
    </border>
    <border>
      <left style="thin">
        <color rgb="FFB7B7B7"/>
      </left>
      <right style="thin">
        <color rgb="FFB7B7B7"/>
      </right>
      <top style="thin">
        <color rgb="FF000000"/>
      </top>
    </border>
    <border>
      <left style="thin">
        <color rgb="FFB7B7B7"/>
      </left>
      <right style="thin">
        <color rgb="FFB7B7B7"/>
      </right>
      <bottom style="thin">
        <color rgb="FF000000"/>
      </bottom>
    </border>
    <border>
      <right style="thin">
        <color rgb="FFB7B7B7"/>
      </right>
      <bottom style="thin">
        <color rgb="FF000000"/>
      </bottom>
    </border>
    <border>
      <left/>
      <right style="thin">
        <color rgb="FFB7B7B7"/>
      </right>
      <top/>
      <bottom style="thin">
        <color rgb="FF000000"/>
      </bottom>
    </border>
    <border>
      <left style="thin">
        <color rgb="FF000000"/>
      </left>
      <right style="thin">
        <color rgb="FF000000"/>
      </right>
      <top/>
      <bottom style="thin">
        <color rgb="FF000000"/>
      </bottom>
    </border>
  </borders>
  <cellStyleXfs count="1">
    <xf borderId="0" fillId="0" fontId="0" numFmtId="0" applyAlignment="1" applyFont="1"/>
  </cellStyleXfs>
  <cellXfs count="686">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2" numFmtId="0" xfId="0" applyAlignment="1" applyFont="1">
      <alignment horizontal="center" vertical="center"/>
    </xf>
    <xf borderId="0" fillId="0" fontId="3" numFmtId="0" xfId="0" applyAlignment="1" applyFont="1">
      <alignment horizontal="center"/>
    </xf>
    <xf borderId="0" fillId="0" fontId="2" numFmtId="0" xfId="0" applyAlignment="1" applyFont="1">
      <alignment horizontal="center"/>
    </xf>
    <xf borderId="1" fillId="2" fontId="4" numFmtId="0" xfId="0" applyAlignment="1" applyBorder="1" applyFill="1" applyFont="1">
      <alignment horizontal="center"/>
    </xf>
    <xf borderId="2" fillId="3" fontId="2" numFmtId="0" xfId="0" applyAlignment="1" applyBorder="1" applyFill="1" applyFont="1">
      <alignment horizontal="center"/>
    </xf>
    <xf borderId="3" fillId="0" fontId="5" numFmtId="0" xfId="0" applyBorder="1" applyFont="1"/>
    <xf borderId="4" fillId="0" fontId="5" numFmtId="0" xfId="0" applyBorder="1" applyFont="1"/>
    <xf borderId="0" fillId="0" fontId="2" numFmtId="0" xfId="0" applyFont="1"/>
    <xf borderId="5" fillId="4" fontId="3" numFmtId="0" xfId="0" applyAlignment="1" applyBorder="1" applyFill="1" applyFont="1">
      <alignment horizontal="center"/>
    </xf>
    <xf borderId="6" fillId="4" fontId="3" numFmtId="0" xfId="0" applyAlignment="1" applyBorder="1" applyFont="1">
      <alignment horizontal="center"/>
    </xf>
    <xf borderId="7" fillId="4" fontId="3" numFmtId="0" xfId="0" applyAlignment="1" applyBorder="1" applyFont="1">
      <alignment horizontal="center"/>
    </xf>
    <xf borderId="8" fillId="0" fontId="3" numFmtId="0" xfId="0" applyAlignment="1" applyBorder="1" applyFont="1">
      <alignment horizontal="center"/>
    </xf>
    <xf borderId="9" fillId="5" fontId="2" numFmtId="3" xfId="0" applyAlignment="1" applyBorder="1" applyFill="1" applyFont="1" applyNumberFormat="1">
      <alignment horizontal="center"/>
    </xf>
    <xf borderId="9" fillId="6" fontId="2" numFmtId="3" xfId="0" applyAlignment="1" applyBorder="1" applyFill="1" applyFont="1" applyNumberFormat="1">
      <alignment horizontal="center"/>
    </xf>
    <xf borderId="10" fillId="0" fontId="2" numFmtId="3" xfId="0" applyAlignment="1" applyBorder="1" applyFont="1" applyNumberFormat="1">
      <alignment horizontal="center"/>
    </xf>
    <xf borderId="0" fillId="0" fontId="2" numFmtId="3" xfId="0" applyAlignment="1" applyFont="1" applyNumberFormat="1">
      <alignment horizontal="center"/>
    </xf>
    <xf borderId="0" fillId="0" fontId="2" numFmtId="0" xfId="0" applyAlignment="1" applyFont="1">
      <alignment horizontal="left"/>
    </xf>
    <xf borderId="0" fillId="0" fontId="2" numFmtId="10" xfId="0" applyAlignment="1" applyFont="1" applyNumberFormat="1">
      <alignment horizontal="center"/>
    </xf>
    <xf borderId="0" fillId="0" fontId="6" numFmtId="0" xfId="0" applyAlignment="1" applyFont="1">
      <alignment horizontal="center"/>
    </xf>
    <xf borderId="0" fillId="0" fontId="2" numFmtId="164" xfId="0" applyFont="1" applyNumberFormat="1"/>
    <xf borderId="11" fillId="0" fontId="3" numFmtId="0" xfId="0" applyAlignment="1" applyBorder="1" applyFont="1">
      <alignment horizontal="center"/>
    </xf>
    <xf borderId="12" fillId="5" fontId="2" numFmtId="3" xfId="0" applyAlignment="1" applyBorder="1" applyFont="1" applyNumberFormat="1">
      <alignment horizontal="center"/>
    </xf>
    <xf borderId="12" fillId="6" fontId="2" numFmtId="3" xfId="0" applyAlignment="1" applyBorder="1" applyFont="1" applyNumberFormat="1">
      <alignment horizontal="center"/>
    </xf>
    <xf borderId="13" fillId="0" fontId="2" numFmtId="3" xfId="0" applyAlignment="1" applyBorder="1" applyFont="1" applyNumberFormat="1">
      <alignment horizontal="center"/>
    </xf>
    <xf borderId="0" fillId="0" fontId="7" numFmtId="0" xfId="0" applyAlignment="1" applyFont="1">
      <alignment horizontal="center"/>
    </xf>
    <xf borderId="14" fillId="0" fontId="3" numFmtId="0" xfId="0" applyAlignment="1" applyBorder="1" applyFont="1">
      <alignment horizontal="center"/>
    </xf>
    <xf borderId="15" fillId="0" fontId="5" numFmtId="0" xfId="0" applyBorder="1" applyFont="1"/>
    <xf borderId="16" fillId="0" fontId="5" numFmtId="0" xfId="0" applyBorder="1" applyFont="1"/>
    <xf borderId="0" fillId="0" fontId="3" numFmtId="10" xfId="0" applyAlignment="1" applyFont="1" applyNumberFormat="1">
      <alignment horizontal="center"/>
    </xf>
    <xf borderId="17" fillId="0" fontId="2" numFmtId="0" xfId="0" applyAlignment="1" applyBorder="1" applyFont="1">
      <alignment horizontal="center"/>
    </xf>
    <xf borderId="18" fillId="0" fontId="2" numFmtId="0" xfId="0" applyAlignment="1" applyBorder="1" applyFont="1">
      <alignment horizontal="center"/>
    </xf>
    <xf borderId="19" fillId="0" fontId="3" numFmtId="0" xfId="0" applyAlignment="1" applyBorder="1" applyFont="1">
      <alignment horizontal="center"/>
    </xf>
    <xf borderId="20" fillId="0" fontId="3" numFmtId="0" xfId="0" applyAlignment="1" applyBorder="1" applyFont="1">
      <alignment horizontal="center"/>
    </xf>
    <xf borderId="21" fillId="0" fontId="3" numFmtId="0" xfId="0" applyAlignment="1" applyBorder="1" applyFont="1">
      <alignment horizontal="center"/>
    </xf>
    <xf borderId="22" fillId="0" fontId="3" numFmtId="0" xfId="0" applyAlignment="1" applyBorder="1" applyFont="1">
      <alignment horizontal="center"/>
    </xf>
    <xf borderId="0" fillId="0" fontId="8" numFmtId="0" xfId="0" applyAlignment="1" applyFont="1">
      <alignment horizontal="center"/>
    </xf>
    <xf borderId="14" fillId="0" fontId="2" numFmtId="0" xfId="0" applyAlignment="1" applyBorder="1" applyFont="1">
      <alignment horizontal="center"/>
    </xf>
    <xf borderId="16" fillId="0" fontId="2" numFmtId="0" xfId="0" applyAlignment="1" applyBorder="1" applyFont="1">
      <alignment horizontal="center"/>
    </xf>
    <xf borderId="14" fillId="0" fontId="2" numFmtId="3" xfId="0" applyAlignment="1" applyBorder="1" applyFont="1" applyNumberFormat="1">
      <alignment horizontal="center"/>
    </xf>
    <xf borderId="15" fillId="0" fontId="2" numFmtId="3" xfId="0" applyAlignment="1" applyBorder="1" applyFont="1" applyNumberFormat="1">
      <alignment horizontal="center"/>
    </xf>
    <xf borderId="16" fillId="0" fontId="2" numFmtId="3" xfId="0" applyAlignment="1" applyBorder="1" applyFont="1" applyNumberFormat="1">
      <alignment horizontal="center"/>
    </xf>
    <xf borderId="14" fillId="0" fontId="2" numFmtId="165" xfId="0" applyAlignment="1" applyBorder="1" applyFont="1" applyNumberFormat="1">
      <alignment horizontal="center"/>
    </xf>
    <xf borderId="15" fillId="0" fontId="2" numFmtId="165" xfId="0" applyAlignment="1" applyBorder="1" applyFont="1" applyNumberFormat="1">
      <alignment horizontal="center"/>
    </xf>
    <xf borderId="22" fillId="0" fontId="2" numFmtId="0" xfId="0" applyAlignment="1" applyBorder="1" applyFont="1">
      <alignment horizontal="center"/>
    </xf>
    <xf borderId="23" fillId="0" fontId="2" numFmtId="0" xfId="0" applyAlignment="1" applyBorder="1" applyFont="1">
      <alignment horizontal="center"/>
    </xf>
    <xf borderId="22" fillId="0" fontId="2" numFmtId="3" xfId="0" applyAlignment="1" applyBorder="1" applyFont="1" applyNumberFormat="1">
      <alignment horizontal="center"/>
    </xf>
    <xf borderId="23" fillId="0" fontId="2" numFmtId="3" xfId="0" applyAlignment="1" applyBorder="1" applyFont="1" applyNumberFormat="1">
      <alignment horizontal="center"/>
    </xf>
    <xf borderId="0" fillId="0" fontId="2" numFmtId="165" xfId="0" applyAlignment="1" applyFont="1" applyNumberFormat="1">
      <alignment horizontal="center"/>
    </xf>
    <xf borderId="22" fillId="0" fontId="2" numFmtId="166" xfId="0" applyAlignment="1" applyBorder="1" applyFont="1" applyNumberFormat="1">
      <alignment horizontal="center"/>
    </xf>
    <xf borderId="0" fillId="0" fontId="2" numFmtId="166" xfId="0" applyAlignment="1" applyFont="1" applyNumberFormat="1">
      <alignment horizontal="center"/>
    </xf>
    <xf borderId="23" fillId="0" fontId="2" numFmtId="166" xfId="0" applyAlignment="1" applyBorder="1" applyFont="1" applyNumberFormat="1">
      <alignment horizontal="center"/>
    </xf>
    <xf borderId="0" fillId="0" fontId="9" numFmtId="0" xfId="0" applyAlignment="1" applyFont="1">
      <alignment horizontal="right" shrinkToFit="0" vertical="top" wrapText="1"/>
    </xf>
    <xf borderId="0" fillId="0" fontId="9" numFmtId="10" xfId="0" applyFont="1" applyNumberFormat="1"/>
    <xf borderId="22" fillId="0" fontId="2" numFmtId="165" xfId="0" applyAlignment="1" applyBorder="1" applyFont="1" applyNumberFormat="1">
      <alignment horizontal="center"/>
    </xf>
    <xf borderId="0" fillId="0" fontId="2" numFmtId="10" xfId="0" applyFont="1" applyNumberFormat="1"/>
    <xf borderId="23" fillId="0" fontId="2" numFmtId="165" xfId="0" applyAlignment="1" applyBorder="1" applyFont="1" applyNumberFormat="1">
      <alignment horizontal="center"/>
    </xf>
    <xf borderId="0" fillId="0" fontId="10" numFmtId="10" xfId="0" applyAlignment="1" applyFont="1" applyNumberFormat="1">
      <alignment horizontal="center" shrinkToFit="0" vertical="top" wrapText="1"/>
    </xf>
    <xf borderId="19" fillId="0" fontId="2" numFmtId="0" xfId="0" applyAlignment="1" applyBorder="1" applyFont="1">
      <alignment horizontal="center"/>
    </xf>
    <xf borderId="21" fillId="0" fontId="2" numFmtId="0" xfId="0" applyAlignment="1" applyBorder="1" applyFont="1">
      <alignment horizontal="center"/>
    </xf>
    <xf borderId="19" fillId="0" fontId="2" numFmtId="3" xfId="0" applyAlignment="1" applyBorder="1" applyFont="1" applyNumberFormat="1">
      <alignment horizontal="center"/>
    </xf>
    <xf borderId="20" fillId="0" fontId="2" numFmtId="3" xfId="0" applyAlignment="1" applyBorder="1" applyFont="1" applyNumberFormat="1">
      <alignment horizontal="center"/>
    </xf>
    <xf borderId="21" fillId="0" fontId="2" numFmtId="3" xfId="0" applyAlignment="1" applyBorder="1" applyFont="1" applyNumberFormat="1">
      <alignment horizontal="center"/>
    </xf>
    <xf borderId="20" fillId="0" fontId="2" numFmtId="165" xfId="0" applyAlignment="1" applyBorder="1" applyFont="1" applyNumberFormat="1">
      <alignment horizontal="center"/>
    </xf>
    <xf borderId="24" fillId="7" fontId="2" numFmtId="0" xfId="0" applyAlignment="1" applyBorder="1" applyFill="1" applyFont="1">
      <alignment horizontal="center"/>
    </xf>
    <xf borderId="25" fillId="7" fontId="2" numFmtId="0" xfId="0" applyAlignment="1" applyBorder="1" applyFont="1">
      <alignment horizontal="center"/>
    </xf>
    <xf borderId="26" fillId="7" fontId="2" numFmtId="3" xfId="0" applyAlignment="1" applyBorder="1" applyFont="1" applyNumberFormat="1">
      <alignment horizontal="center"/>
    </xf>
    <xf borderId="24" fillId="7" fontId="2" numFmtId="166" xfId="0" applyAlignment="1" applyBorder="1" applyFont="1" applyNumberFormat="1">
      <alignment horizontal="center"/>
    </xf>
    <xf borderId="26" fillId="7" fontId="2" numFmtId="166" xfId="0" applyAlignment="1" applyBorder="1" applyFont="1" applyNumberFormat="1">
      <alignment horizontal="center"/>
    </xf>
    <xf borderId="25" fillId="7" fontId="2" numFmtId="166" xfId="0" applyAlignment="1" applyBorder="1" applyFont="1" applyNumberFormat="1">
      <alignment horizontal="center"/>
    </xf>
    <xf borderId="24" fillId="7" fontId="2" numFmtId="3" xfId="0" applyAlignment="1" applyBorder="1" applyFont="1" applyNumberFormat="1">
      <alignment horizontal="center"/>
    </xf>
    <xf borderId="25" fillId="7" fontId="2" numFmtId="3" xfId="0" applyAlignment="1" applyBorder="1" applyFont="1" applyNumberFormat="1">
      <alignment horizontal="center"/>
    </xf>
    <xf borderId="0" fillId="0" fontId="2" numFmtId="0" xfId="0" applyAlignment="1" applyFont="1">
      <alignment readingOrder="0"/>
    </xf>
    <xf borderId="0" fillId="0" fontId="2" numFmtId="3" xfId="0" applyFont="1" applyNumberFormat="1"/>
    <xf borderId="17" fillId="0" fontId="3" numFmtId="3" xfId="0" applyAlignment="1" applyBorder="1" applyFont="1" applyNumberFormat="1">
      <alignment horizontal="center"/>
    </xf>
    <xf borderId="0" fillId="0" fontId="2" numFmtId="2" xfId="0" applyFont="1" applyNumberFormat="1"/>
    <xf borderId="22" fillId="0" fontId="2" numFmtId="10" xfId="0" applyAlignment="1" applyBorder="1" applyFont="1" applyNumberFormat="1">
      <alignment horizontal="center"/>
    </xf>
    <xf borderId="23" fillId="0" fontId="2" numFmtId="10" xfId="0" applyAlignment="1" applyBorder="1" applyFont="1" applyNumberFormat="1">
      <alignment horizontal="center"/>
    </xf>
    <xf borderId="0" fillId="0" fontId="9" numFmtId="0" xfId="0" applyAlignment="1" applyFont="1">
      <alignment horizontal="left"/>
    </xf>
    <xf borderId="0" fillId="0" fontId="11" numFmtId="0" xfId="0" applyAlignment="1" applyFont="1">
      <alignment horizontal="center"/>
    </xf>
    <xf borderId="0" fillId="0" fontId="11" numFmtId="3" xfId="0" applyAlignment="1" applyFont="1" applyNumberFormat="1">
      <alignment horizontal="center"/>
    </xf>
    <xf borderId="27" fillId="8" fontId="11" numFmtId="0" xfId="0" applyAlignment="1" applyBorder="1" applyFill="1" applyFont="1">
      <alignment horizontal="center" vertical="center"/>
    </xf>
    <xf borderId="28" fillId="8" fontId="11" numFmtId="3" xfId="0" applyAlignment="1" applyBorder="1" applyFont="1" applyNumberFormat="1">
      <alignment horizontal="center" vertical="center"/>
    </xf>
    <xf borderId="29" fillId="0" fontId="2" numFmtId="0" xfId="0" applyAlignment="1" applyBorder="1" applyFont="1">
      <alignment horizontal="center"/>
    </xf>
    <xf borderId="0" fillId="0" fontId="2" numFmtId="167" xfId="0" applyAlignment="1" applyFont="1" applyNumberFormat="1">
      <alignment horizontal="right"/>
    </xf>
    <xf borderId="0" fillId="0" fontId="2" numFmtId="0" xfId="0" applyAlignment="1" applyFont="1">
      <alignment horizontal="right"/>
    </xf>
    <xf borderId="18" fillId="0" fontId="3" numFmtId="3" xfId="0" applyAlignment="1" applyBorder="1" applyFont="1" applyNumberFormat="1">
      <alignment horizontal="center"/>
    </xf>
    <xf borderId="29" fillId="0" fontId="3" numFmtId="3" xfId="0" applyAlignment="1" applyBorder="1" applyFont="1" applyNumberFormat="1">
      <alignment horizontal="center"/>
    </xf>
    <xf borderId="18" fillId="0" fontId="3" numFmtId="168" xfId="0" applyAlignment="1" applyBorder="1" applyFont="1" applyNumberFormat="1">
      <alignment horizontal="center"/>
    </xf>
    <xf borderId="0" fillId="0" fontId="2" numFmtId="9" xfId="0" applyFont="1" applyNumberFormat="1"/>
    <xf borderId="0" fillId="0" fontId="9" numFmtId="0" xfId="0" applyFont="1"/>
    <xf borderId="23" fillId="0" fontId="3" numFmtId="0" xfId="0" applyAlignment="1" applyBorder="1" applyFont="1">
      <alignment horizontal="center"/>
    </xf>
    <xf borderId="16" fillId="0" fontId="2" numFmtId="165" xfId="0" applyAlignment="1" applyBorder="1" applyFont="1" applyNumberFormat="1">
      <alignment horizontal="center"/>
    </xf>
    <xf borderId="17" fillId="0" fontId="3" numFmtId="4" xfId="0" applyAlignment="1" applyBorder="1" applyFont="1" applyNumberFormat="1">
      <alignment horizontal="center"/>
    </xf>
    <xf borderId="18" fillId="0" fontId="3" numFmtId="4" xfId="0" applyAlignment="1" applyBorder="1" applyFont="1" applyNumberFormat="1">
      <alignment horizontal="center"/>
    </xf>
    <xf borderId="0" fillId="0" fontId="2" numFmtId="169" xfId="0" applyFont="1" applyNumberFormat="1"/>
    <xf borderId="0" fillId="0" fontId="2" numFmtId="1" xfId="0" applyFont="1" applyNumberFormat="1"/>
    <xf borderId="0" fillId="0" fontId="2" numFmtId="4" xfId="0" applyFont="1" applyNumberFormat="1"/>
    <xf borderId="29" fillId="0" fontId="3" numFmtId="0" xfId="0" applyAlignment="1" applyBorder="1" applyFont="1">
      <alignment horizontal="left"/>
    </xf>
    <xf borderId="0" fillId="0" fontId="9" numFmtId="0" xfId="0" applyAlignment="1" applyFont="1">
      <alignment vertical="center"/>
    </xf>
    <xf borderId="22" fillId="0" fontId="2" numFmtId="9" xfId="0" applyAlignment="1" applyBorder="1" applyFont="1" applyNumberFormat="1">
      <alignment horizontal="center"/>
    </xf>
    <xf borderId="30" fillId="0" fontId="3" numFmtId="0" xfId="0" applyAlignment="1" applyBorder="1" applyFont="1">
      <alignment horizontal="left"/>
    </xf>
    <xf borderId="31" fillId="0" fontId="2" numFmtId="0" xfId="0" applyAlignment="1" applyBorder="1" applyFont="1">
      <alignment horizontal="center"/>
    </xf>
    <xf borderId="32" fillId="0" fontId="2" numFmtId="0" xfId="0" applyAlignment="1" applyBorder="1" applyFont="1">
      <alignment horizontal="center"/>
    </xf>
    <xf borderId="32" fillId="0" fontId="3" numFmtId="0" xfId="0" applyAlignment="1" applyBorder="1" applyFont="1">
      <alignment horizontal="center"/>
    </xf>
    <xf borderId="0" fillId="0" fontId="3" numFmtId="3" xfId="0" applyAlignment="1" applyFont="1" applyNumberFormat="1">
      <alignment horizontal="center"/>
    </xf>
    <xf borderId="0" fillId="0" fontId="3" numFmtId="165" xfId="0" applyAlignment="1" applyFont="1" applyNumberFormat="1">
      <alignment horizontal="center"/>
    </xf>
    <xf borderId="32" fillId="0" fontId="3" numFmtId="165" xfId="0" applyAlignment="1" applyBorder="1" applyFont="1" applyNumberFormat="1">
      <alignment horizontal="center"/>
    </xf>
    <xf borderId="33" fillId="0" fontId="3" numFmtId="0" xfId="0" applyAlignment="1" applyBorder="1" applyFont="1">
      <alignment horizontal="center" shrinkToFit="0" vertical="center" wrapText="1"/>
    </xf>
    <xf borderId="34" fillId="6" fontId="9" numFmtId="3" xfId="0" applyAlignment="1" applyBorder="1" applyFont="1" applyNumberFormat="1">
      <alignment horizontal="center" vertical="center"/>
    </xf>
    <xf borderId="32" fillId="0" fontId="2" numFmtId="165" xfId="0" applyAlignment="1" applyBorder="1" applyFont="1" applyNumberFormat="1">
      <alignment horizontal="center"/>
    </xf>
    <xf borderId="35" fillId="0" fontId="5" numFmtId="0" xfId="0" applyBorder="1" applyFont="1"/>
    <xf borderId="36" fillId="0" fontId="5" numFmtId="0" xfId="0" applyBorder="1" applyFont="1"/>
    <xf borderId="32" fillId="0" fontId="3" numFmtId="0" xfId="0" applyAlignment="1" applyBorder="1" applyFont="1">
      <alignment horizontal="left"/>
    </xf>
    <xf borderId="32" fillId="0" fontId="2" numFmtId="3" xfId="0" applyAlignment="1" applyBorder="1" applyFont="1" applyNumberFormat="1">
      <alignment horizontal="center"/>
    </xf>
    <xf borderId="32" fillId="0" fontId="3" numFmtId="3" xfId="0" applyAlignment="1" applyBorder="1" applyFont="1" applyNumberFormat="1">
      <alignment horizontal="center"/>
    </xf>
    <xf borderId="37" fillId="0" fontId="2" numFmtId="0" xfId="0" applyAlignment="1" applyBorder="1" applyFont="1">
      <alignment horizontal="center"/>
    </xf>
    <xf borderId="38" fillId="0" fontId="2" numFmtId="3" xfId="0" applyAlignment="1" applyBorder="1" applyFont="1" applyNumberFormat="1">
      <alignment horizontal="center"/>
    </xf>
    <xf borderId="0" fillId="0" fontId="3" numFmtId="0" xfId="0" applyAlignment="1" applyFont="1">
      <alignment horizontal="center" shrinkToFit="0" vertical="center" wrapText="1"/>
    </xf>
    <xf borderId="0" fillId="0" fontId="12" numFmtId="0" xfId="0" applyAlignment="1" applyFont="1">
      <alignment horizontal="left"/>
    </xf>
    <xf borderId="0" fillId="0" fontId="3" numFmtId="0" xfId="0" applyAlignment="1" applyFont="1">
      <alignment horizontal="left"/>
    </xf>
    <xf borderId="15" fillId="0" fontId="3" numFmtId="0" xfId="0" applyAlignment="1" applyBorder="1" applyFont="1">
      <alignment horizontal="center"/>
    </xf>
    <xf borderId="39" fillId="0" fontId="3" numFmtId="0" xfId="0" applyAlignment="1" applyBorder="1" applyFont="1">
      <alignment horizontal="center" shrinkToFit="0" wrapText="1"/>
    </xf>
    <xf borderId="19" fillId="0" fontId="5" numFmtId="0" xfId="0" applyBorder="1" applyFont="1"/>
    <xf borderId="20" fillId="0" fontId="5" numFmtId="0" xfId="0" applyBorder="1" applyFont="1"/>
    <xf borderId="40" fillId="0" fontId="5" numFmtId="0" xfId="0" applyBorder="1" applyFont="1"/>
    <xf borderId="15" fillId="0" fontId="2" numFmtId="0" xfId="0" applyAlignment="1" applyBorder="1" applyFont="1">
      <alignment horizontal="center"/>
    </xf>
    <xf borderId="14" fillId="0" fontId="2" numFmtId="10" xfId="0" applyAlignment="1" applyBorder="1" applyFont="1" applyNumberFormat="1">
      <alignment horizontal="center"/>
    </xf>
    <xf borderId="0" fillId="0" fontId="9" numFmtId="10" xfId="0" applyAlignment="1" applyFont="1" applyNumberFormat="1">
      <alignment horizontal="center"/>
    </xf>
    <xf borderId="20" fillId="0" fontId="2" numFmtId="0" xfId="0" applyAlignment="1" applyBorder="1" applyFont="1">
      <alignment horizontal="center"/>
    </xf>
    <xf borderId="19" fillId="0" fontId="2" numFmtId="10" xfId="0" applyAlignment="1" applyBorder="1" applyFont="1" applyNumberFormat="1">
      <alignment horizontal="center"/>
    </xf>
    <xf borderId="41" fillId="7" fontId="2" numFmtId="10" xfId="0" applyAlignment="1" applyBorder="1" applyFont="1" applyNumberFormat="1">
      <alignment horizontal="center"/>
    </xf>
    <xf borderId="0" fillId="0" fontId="2" numFmtId="0" xfId="0" applyAlignment="1" applyFont="1">
      <alignment horizontal="center" readingOrder="0"/>
    </xf>
    <xf borderId="20" fillId="0" fontId="3" numFmtId="0" xfId="0" applyAlignment="1" applyBorder="1" applyFont="1">
      <alignment horizontal="right"/>
    </xf>
    <xf borderId="21" fillId="0" fontId="5" numFmtId="0" xfId="0" applyBorder="1" applyFont="1"/>
    <xf borderId="42" fillId="0" fontId="2" numFmtId="10" xfId="0" applyAlignment="1" applyBorder="1" applyFont="1" applyNumberFormat="1">
      <alignment horizontal="center"/>
    </xf>
    <xf borderId="0" fillId="0" fontId="2" numFmtId="168" xfId="0" applyAlignment="1" applyFont="1" applyNumberFormat="1">
      <alignment horizontal="center"/>
    </xf>
    <xf borderId="29" fillId="0" fontId="2" numFmtId="10" xfId="0" applyAlignment="1" applyBorder="1" applyFont="1" applyNumberFormat="1">
      <alignment horizontal="center"/>
    </xf>
    <xf borderId="43" fillId="7" fontId="2" numFmtId="3" xfId="0" applyAlignment="1" applyBorder="1" applyFont="1" applyNumberFormat="1">
      <alignment horizontal="center"/>
    </xf>
    <xf borderId="44" fillId="7" fontId="2" numFmtId="3" xfId="0" applyAlignment="1" applyBorder="1" applyFont="1" applyNumberFormat="1">
      <alignment horizontal="center"/>
    </xf>
    <xf borderId="45" fillId="7" fontId="2" numFmtId="3" xfId="0" applyAlignment="1" applyBorder="1" applyFont="1" applyNumberFormat="1">
      <alignment horizontal="center"/>
    </xf>
    <xf borderId="46" fillId="7" fontId="2" numFmtId="10" xfId="0" applyAlignment="1" applyBorder="1" applyFont="1" applyNumberFormat="1">
      <alignment horizontal="center"/>
    </xf>
    <xf borderId="40" fillId="0" fontId="2" numFmtId="10" xfId="0" applyAlignment="1" applyBorder="1" applyFont="1" applyNumberFormat="1">
      <alignment horizontal="center"/>
    </xf>
    <xf borderId="18" fillId="0" fontId="3" numFmtId="0" xfId="0" applyAlignment="1" applyBorder="1" applyFont="1">
      <alignment horizontal="right"/>
    </xf>
    <xf borderId="29" fillId="0" fontId="5" numFmtId="0" xfId="0" applyBorder="1" applyFont="1"/>
    <xf borderId="18" fillId="0" fontId="2" numFmtId="3" xfId="0" applyAlignment="1" applyBorder="1" applyFont="1" applyNumberFormat="1">
      <alignment horizontal="center"/>
    </xf>
    <xf borderId="39" fillId="0" fontId="2" numFmtId="10" xfId="0" applyAlignment="1" applyBorder="1" applyFont="1" applyNumberFormat="1">
      <alignment horizontal="center"/>
    </xf>
    <xf borderId="17" fillId="0" fontId="2" numFmtId="3" xfId="0" applyAlignment="1" applyBorder="1" applyFont="1" applyNumberFormat="1">
      <alignment horizontal="center"/>
    </xf>
    <xf borderId="18" fillId="0" fontId="2" numFmtId="10" xfId="0" applyAlignment="1" applyBorder="1" applyFont="1" applyNumberFormat="1">
      <alignment horizontal="center"/>
    </xf>
    <xf borderId="0" fillId="0" fontId="11" numFmtId="0" xfId="0" applyAlignment="1" applyFont="1">
      <alignment horizontal="center" vertical="center"/>
    </xf>
    <xf borderId="9" fillId="0" fontId="3" numFmtId="0" xfId="0" applyAlignment="1" applyBorder="1" applyFont="1">
      <alignment horizontal="center"/>
    </xf>
    <xf borderId="29" fillId="0" fontId="2" numFmtId="3" xfId="0" applyAlignment="1" applyBorder="1" applyFont="1" applyNumberFormat="1">
      <alignment horizontal="center"/>
    </xf>
    <xf borderId="0" fillId="0" fontId="13" numFmtId="0" xfId="0" applyFont="1"/>
    <xf borderId="17" fillId="0" fontId="14" numFmtId="170" xfId="0" applyAlignment="1" applyBorder="1" applyFont="1" applyNumberFormat="1">
      <alignment horizontal="center" vertical="center"/>
    </xf>
    <xf borderId="18" fillId="0" fontId="15" numFmtId="0" xfId="0" applyAlignment="1" applyBorder="1" applyFont="1">
      <alignment horizontal="center" vertical="center"/>
    </xf>
    <xf borderId="18" fillId="0" fontId="5" numFmtId="0" xfId="0" applyBorder="1" applyFont="1"/>
    <xf borderId="0" fillId="0" fontId="16" numFmtId="0" xfId="0" applyAlignment="1" applyFont="1">
      <alignment horizontal="center" vertical="center"/>
    </xf>
    <xf borderId="0" fillId="0" fontId="17" numFmtId="0" xfId="0" applyFont="1"/>
    <xf borderId="0" fillId="0" fontId="18" numFmtId="0" xfId="0" applyFont="1"/>
    <xf borderId="0" fillId="0" fontId="19" numFmtId="0" xfId="0" applyAlignment="1" applyFont="1">
      <alignment horizontal="center"/>
    </xf>
    <xf borderId="0" fillId="0" fontId="3" numFmtId="0" xfId="0" applyFont="1"/>
    <xf borderId="0" fillId="0" fontId="20" numFmtId="0" xfId="0" applyAlignment="1" applyFont="1">
      <alignment horizontal="center"/>
    </xf>
    <xf borderId="47" fillId="9" fontId="21" numFmtId="0" xfId="0" applyAlignment="1" applyBorder="1" applyFill="1" applyFont="1">
      <alignment horizontal="center" vertical="center"/>
    </xf>
    <xf borderId="48" fillId="9" fontId="21" numFmtId="0" xfId="0" applyAlignment="1" applyBorder="1" applyFont="1">
      <alignment horizontal="center" shrinkToFit="0" vertical="center" wrapText="1"/>
    </xf>
    <xf borderId="48" fillId="9" fontId="21" numFmtId="0" xfId="0" applyAlignment="1" applyBorder="1" applyFont="1">
      <alignment horizontal="center" vertical="center"/>
    </xf>
    <xf borderId="49" fillId="9" fontId="21" numFmtId="0" xfId="0" applyAlignment="1" applyBorder="1" applyFont="1">
      <alignment horizontal="center" shrinkToFit="0" vertical="center" wrapText="1"/>
    </xf>
    <xf borderId="0" fillId="0" fontId="22" numFmtId="0" xfId="0" applyAlignment="1" applyFont="1">
      <alignment shrinkToFit="0" wrapText="1"/>
    </xf>
    <xf borderId="9" fillId="10" fontId="3" numFmtId="0" xfId="0" applyAlignment="1" applyBorder="1" applyFill="1" applyFont="1">
      <alignment horizontal="center"/>
    </xf>
    <xf borderId="28" fillId="10" fontId="3" numFmtId="0" xfId="0" applyAlignment="1" applyBorder="1" applyFont="1">
      <alignment horizontal="center"/>
    </xf>
    <xf borderId="50" fillId="0" fontId="5" numFmtId="0" xfId="0" applyBorder="1" applyFont="1"/>
    <xf borderId="51" fillId="0" fontId="5" numFmtId="0" xfId="0" applyBorder="1" applyFont="1"/>
    <xf borderId="52" fillId="0" fontId="5" numFmtId="0" xfId="0" applyBorder="1" applyFont="1"/>
    <xf borderId="0" fillId="0" fontId="23" numFmtId="0" xfId="0" applyFont="1"/>
    <xf borderId="42" fillId="0" fontId="2" numFmtId="0" xfId="0" applyAlignment="1" applyBorder="1" applyFont="1">
      <alignment horizontal="center"/>
    </xf>
    <xf borderId="14" fillId="0" fontId="2" numFmtId="0" xfId="0" applyAlignment="1" applyBorder="1" applyFont="1">
      <alignment horizontal="center" vertical="center"/>
    </xf>
    <xf borderId="47" fillId="11" fontId="2" numFmtId="3" xfId="0" applyAlignment="1" applyBorder="1" applyFill="1" applyFont="1" applyNumberFormat="1">
      <alignment horizontal="center" vertical="center"/>
    </xf>
    <xf borderId="48" fillId="11" fontId="2" numFmtId="3" xfId="0" applyAlignment="1" applyBorder="1" applyFont="1" applyNumberFormat="1">
      <alignment horizontal="center" vertical="center"/>
    </xf>
    <xf borderId="48" fillId="12" fontId="2" numFmtId="3" xfId="0" applyAlignment="1" applyBorder="1" applyFill="1" applyFont="1" applyNumberFormat="1">
      <alignment horizontal="center" vertical="center"/>
    </xf>
    <xf borderId="15" fillId="0" fontId="3" numFmtId="0" xfId="0" applyAlignment="1" applyBorder="1" applyFont="1">
      <alignment horizontal="center" vertical="center"/>
    </xf>
    <xf borderId="15" fillId="0" fontId="2" numFmtId="3" xfId="0" applyAlignment="1" applyBorder="1" applyFont="1" applyNumberFormat="1">
      <alignment horizontal="center" vertical="center"/>
    </xf>
    <xf borderId="15" fillId="0" fontId="2" numFmtId="167" xfId="0" applyAlignment="1" applyBorder="1" applyFont="1" applyNumberFormat="1">
      <alignment horizontal="center" vertical="center"/>
    </xf>
    <xf borderId="45" fillId="5" fontId="2" numFmtId="3" xfId="0" applyAlignment="1" applyBorder="1" applyFont="1" applyNumberFormat="1">
      <alignment horizontal="center" vertical="center"/>
    </xf>
    <xf borderId="22" fillId="0" fontId="5" numFmtId="0" xfId="0" applyBorder="1" applyFont="1"/>
    <xf borderId="53" fillId="0" fontId="5" numFmtId="0" xfId="0" applyBorder="1" applyFont="1"/>
    <xf borderId="54" fillId="0" fontId="5" numFmtId="0" xfId="0" applyBorder="1" applyFont="1"/>
    <xf borderId="0" fillId="0" fontId="3" numFmtId="0" xfId="0" applyAlignment="1" applyFont="1">
      <alignment horizontal="center" vertical="center"/>
    </xf>
    <xf borderId="0" fillId="0" fontId="2" numFmtId="3" xfId="0" applyAlignment="1" applyFont="1" applyNumberFormat="1">
      <alignment horizontal="center" vertical="center"/>
    </xf>
    <xf borderId="0" fillId="0" fontId="2" numFmtId="167" xfId="0" applyAlignment="1" applyFont="1" applyNumberFormat="1">
      <alignment horizontal="center" vertical="center"/>
    </xf>
    <xf borderId="25" fillId="5" fontId="2" numFmtId="3" xfId="0" applyAlignment="1" applyBorder="1" applyFont="1" applyNumberFormat="1">
      <alignment horizontal="center" vertical="center"/>
    </xf>
    <xf borderId="0" fillId="0" fontId="23" numFmtId="0" xfId="0" applyAlignment="1" applyFont="1">
      <alignment shrinkToFit="0" wrapText="1"/>
    </xf>
    <xf borderId="20" fillId="0" fontId="3" numFmtId="0" xfId="0" applyAlignment="1" applyBorder="1" applyFont="1">
      <alignment horizontal="center" vertical="center"/>
    </xf>
    <xf borderId="20" fillId="0" fontId="2" numFmtId="3" xfId="0" applyAlignment="1" applyBorder="1" applyFont="1" applyNumberFormat="1">
      <alignment horizontal="center" vertical="center"/>
    </xf>
    <xf borderId="55" fillId="13" fontId="2" numFmtId="0" xfId="0" applyAlignment="1" applyBorder="1" applyFill="1" applyFont="1">
      <alignment horizontal="center" vertical="center"/>
    </xf>
    <xf borderId="56" fillId="12" fontId="2" numFmtId="3" xfId="0" applyAlignment="1" applyBorder="1" applyFont="1" applyNumberFormat="1">
      <alignment horizontal="center" vertical="center"/>
    </xf>
    <xf borderId="57" fillId="11" fontId="2" numFmtId="3" xfId="0" applyAlignment="1" applyBorder="1" applyFont="1" applyNumberFormat="1">
      <alignment horizontal="center" vertical="center"/>
    </xf>
    <xf borderId="58" fillId="11" fontId="2" numFmtId="3" xfId="0" applyAlignment="1" applyBorder="1" applyFont="1" applyNumberFormat="1">
      <alignment horizontal="center" vertical="center"/>
    </xf>
    <xf borderId="14" fillId="0" fontId="3" numFmtId="0" xfId="0" applyAlignment="1" applyBorder="1" applyFont="1">
      <alignment horizontal="center" vertical="center"/>
    </xf>
    <xf borderId="59" fillId="8" fontId="2" numFmtId="0" xfId="0" applyAlignment="1" applyBorder="1" applyFont="1">
      <alignment vertical="center"/>
    </xf>
    <xf borderId="60" fillId="0" fontId="5" numFmtId="0" xfId="0" applyBorder="1" applyFont="1"/>
    <xf borderId="58" fillId="12" fontId="3" numFmtId="3" xfId="0" applyAlignment="1" applyBorder="1" applyFont="1" applyNumberFormat="1">
      <alignment horizontal="center" vertical="center"/>
    </xf>
    <xf borderId="61" fillId="0" fontId="5" numFmtId="0" xfId="0" applyBorder="1" applyFont="1"/>
    <xf borderId="0" fillId="0" fontId="24" numFmtId="0" xfId="0" applyFont="1"/>
    <xf borderId="62" fillId="0" fontId="5" numFmtId="0" xfId="0" applyBorder="1" applyFont="1"/>
    <xf borderId="0" fillId="0" fontId="25" numFmtId="0" xfId="0" applyFont="1"/>
    <xf borderId="0" fillId="0" fontId="26" numFmtId="0" xfId="0" applyFont="1"/>
    <xf borderId="0" fillId="0" fontId="9" numFmtId="0" xfId="0" applyAlignment="1" applyFont="1">
      <alignment horizontal="right"/>
    </xf>
    <xf borderId="9" fillId="0" fontId="2" numFmtId="0" xfId="0" applyAlignment="1" applyBorder="1" applyFont="1">
      <alignment horizontal="center"/>
    </xf>
    <xf borderId="9" fillId="0" fontId="2" numFmtId="3" xfId="0" applyAlignment="1" applyBorder="1" applyFont="1" applyNumberFormat="1">
      <alignment horizontal="center"/>
    </xf>
    <xf borderId="0" fillId="0" fontId="3" numFmtId="0" xfId="0" applyAlignment="1" applyFont="1">
      <alignment shrinkToFit="0" wrapText="1"/>
    </xf>
    <xf borderId="0" fillId="0" fontId="27" numFmtId="0" xfId="0" applyAlignment="1" applyFont="1">
      <alignment horizontal="center"/>
    </xf>
    <xf borderId="43" fillId="14" fontId="28" numFmtId="0" xfId="0" applyAlignment="1" applyBorder="1" applyFill="1" applyFont="1">
      <alignment horizontal="center" shrinkToFit="0" wrapText="1"/>
    </xf>
    <xf borderId="44" fillId="14" fontId="28" numFmtId="0" xfId="0" applyAlignment="1" applyBorder="1" applyFont="1">
      <alignment horizontal="center" shrinkToFit="0" wrapText="1"/>
    </xf>
    <xf borderId="63" fillId="14" fontId="28" numFmtId="0" xfId="0" applyAlignment="1" applyBorder="1" applyFont="1">
      <alignment horizontal="center" shrinkToFit="0" wrapText="1"/>
    </xf>
    <xf borderId="64" fillId="0" fontId="5" numFmtId="0" xfId="0" applyBorder="1" applyFont="1"/>
    <xf borderId="45" fillId="14" fontId="28" numFmtId="0" xfId="0" applyAlignment="1" applyBorder="1" applyFont="1">
      <alignment horizontal="center" shrinkToFit="0" wrapText="1"/>
    </xf>
    <xf borderId="65" fillId="11" fontId="2" numFmtId="3" xfId="0" applyAlignment="1" applyBorder="1" applyFont="1" applyNumberFormat="1">
      <alignment horizontal="center"/>
    </xf>
    <xf borderId="15" fillId="0" fontId="2" numFmtId="10" xfId="0" applyAlignment="1" applyBorder="1" applyFont="1" applyNumberFormat="1">
      <alignment horizontal="center"/>
    </xf>
    <xf borderId="45" fillId="15" fontId="2" numFmtId="3" xfId="0" applyAlignment="1" applyBorder="1" applyFill="1" applyFont="1" applyNumberFormat="1">
      <alignment horizontal="center"/>
    </xf>
    <xf borderId="0" fillId="0" fontId="2" numFmtId="4" xfId="0" applyAlignment="1" applyFont="1" applyNumberFormat="1">
      <alignment horizontal="right" shrinkToFit="0" wrapText="1"/>
    </xf>
    <xf borderId="0" fillId="0" fontId="2" numFmtId="0" xfId="0" applyAlignment="1" applyFont="1">
      <alignment shrinkToFit="0" wrapText="1"/>
    </xf>
    <xf borderId="0" fillId="0" fontId="29" numFmtId="171" xfId="0" applyFont="1" applyNumberFormat="1"/>
    <xf borderId="0" fillId="0" fontId="29" numFmtId="10" xfId="0" applyFont="1" applyNumberFormat="1"/>
    <xf borderId="25" fillId="15" fontId="2" numFmtId="3" xfId="0" applyAlignment="1" applyBorder="1" applyFont="1" applyNumberFormat="1">
      <alignment horizontal="center"/>
    </xf>
    <xf borderId="0" fillId="0" fontId="2" numFmtId="4" xfId="0" applyAlignment="1" applyFont="1" applyNumberFormat="1">
      <alignment horizontal="right"/>
    </xf>
    <xf borderId="66" fillId="13" fontId="2" numFmtId="0" xfId="0" applyAlignment="1" applyBorder="1" applyFont="1">
      <alignment horizontal="center"/>
    </xf>
    <xf borderId="67" fillId="0" fontId="5" numFmtId="0" xfId="0" applyBorder="1" applyFont="1"/>
    <xf borderId="21" fillId="0" fontId="3" numFmtId="3" xfId="0" applyAlignment="1" applyBorder="1" applyFont="1" applyNumberFormat="1">
      <alignment horizontal="center"/>
    </xf>
    <xf borderId="20" fillId="0" fontId="2" numFmtId="10" xfId="0" applyAlignment="1" applyBorder="1" applyFont="1" applyNumberFormat="1">
      <alignment horizontal="center"/>
    </xf>
    <xf borderId="56" fillId="15" fontId="2" numFmtId="3" xfId="0" applyAlignment="1" applyBorder="1" applyFont="1" applyNumberFormat="1">
      <alignment horizontal="center"/>
    </xf>
    <xf borderId="28" fillId="15" fontId="2" numFmtId="3" xfId="0" applyAlignment="1" applyBorder="1" applyFont="1" applyNumberFormat="1">
      <alignment horizontal="center"/>
    </xf>
    <xf borderId="0" fillId="0" fontId="2" numFmtId="3" xfId="0" applyAlignment="1" applyFont="1" applyNumberFormat="1">
      <alignment horizontal="right"/>
    </xf>
    <xf borderId="0" fillId="0" fontId="30" numFmtId="0" xfId="0" applyAlignment="1" applyFont="1">
      <alignment horizontal="center"/>
    </xf>
    <xf borderId="0" fillId="0" fontId="9" numFmtId="0" xfId="0" applyAlignment="1" applyFont="1">
      <alignment horizontal="center"/>
    </xf>
    <xf borderId="43" fillId="3" fontId="8" numFmtId="0" xfId="0" applyAlignment="1" applyBorder="1" applyFont="1">
      <alignment horizontal="center" shrinkToFit="0" wrapText="1"/>
    </xf>
    <xf borderId="44" fillId="3" fontId="8" numFmtId="0" xfId="0" applyAlignment="1" applyBorder="1" applyFont="1">
      <alignment horizontal="center" shrinkToFit="0" wrapText="1"/>
    </xf>
    <xf borderId="63" fillId="3" fontId="8" numFmtId="0" xfId="0" applyAlignment="1" applyBorder="1" applyFont="1">
      <alignment horizontal="center" shrinkToFit="0" wrapText="1"/>
    </xf>
    <xf borderId="45" fillId="3" fontId="8" numFmtId="0" xfId="0" applyAlignment="1" applyBorder="1" applyFont="1">
      <alignment horizontal="center" shrinkToFit="0" wrapText="1"/>
    </xf>
    <xf borderId="22" fillId="0" fontId="2" numFmtId="0" xfId="0" applyAlignment="1" applyBorder="1" applyFont="1">
      <alignment horizontal="center" vertical="center"/>
    </xf>
    <xf borderId="25" fillId="16" fontId="31" numFmtId="1" xfId="0" applyAlignment="1" applyBorder="1" applyFill="1" applyFont="1" applyNumberFormat="1">
      <alignment horizontal="center"/>
    </xf>
    <xf borderId="21" fillId="0" fontId="3" numFmtId="1" xfId="0" applyAlignment="1" applyBorder="1" applyFont="1" applyNumberFormat="1">
      <alignment horizontal="center"/>
    </xf>
    <xf borderId="0" fillId="0" fontId="12" numFmtId="0" xfId="0" applyFont="1"/>
    <xf borderId="0" fillId="0" fontId="31" numFmtId="0" xfId="0" applyAlignment="1" applyFont="1">
      <alignment horizontal="center"/>
    </xf>
    <xf borderId="0" fillId="0" fontId="32" numFmtId="0" xfId="0" applyAlignment="1" applyFont="1">
      <alignment horizontal="center"/>
    </xf>
    <xf borderId="26" fillId="3" fontId="33" numFmtId="4" xfId="0" applyAlignment="1" applyBorder="1" applyFont="1" applyNumberFormat="1">
      <alignment horizontal="center" vertical="center"/>
    </xf>
    <xf borderId="20" fillId="0" fontId="3" numFmtId="0" xfId="0" applyBorder="1" applyFont="1"/>
    <xf borderId="20" fillId="0" fontId="3" numFmtId="0" xfId="0" applyAlignment="1" applyBorder="1" applyFont="1">
      <alignment horizontal="left"/>
    </xf>
    <xf borderId="17" fillId="0" fontId="2" numFmtId="0" xfId="0" applyBorder="1" applyFont="1"/>
    <xf borderId="17" fillId="0" fontId="3" numFmtId="0" xfId="0" applyAlignment="1" applyBorder="1" applyFont="1">
      <alignment horizontal="center"/>
    </xf>
    <xf borderId="18" fillId="0" fontId="3" numFmtId="0" xfId="0" applyAlignment="1" applyBorder="1" applyFont="1">
      <alignment horizontal="center"/>
    </xf>
    <xf borderId="29" fillId="0" fontId="3" numFmtId="0" xfId="0" applyAlignment="1" applyBorder="1" applyFont="1">
      <alignment horizontal="center"/>
    </xf>
    <xf borderId="18" fillId="0" fontId="3" numFmtId="0" xfId="0" applyAlignment="1" applyBorder="1" applyFont="1">
      <alignment horizontal="center" shrinkToFit="0" wrapText="1"/>
    </xf>
    <xf borderId="29" fillId="0" fontId="3" numFmtId="0" xfId="0" applyAlignment="1" applyBorder="1" applyFont="1">
      <alignment horizontal="center" shrinkToFit="0" wrapText="1"/>
    </xf>
    <xf borderId="14" fillId="0" fontId="2" numFmtId="0" xfId="0" applyBorder="1" applyFont="1"/>
    <xf borderId="15" fillId="0" fontId="2" numFmtId="168" xfId="0" applyAlignment="1" applyBorder="1" applyFont="1" applyNumberFormat="1">
      <alignment horizontal="center"/>
    </xf>
    <xf borderId="16" fillId="0" fontId="2" numFmtId="168" xfId="0" applyAlignment="1" applyBorder="1" applyFont="1" applyNumberFormat="1">
      <alignment horizontal="center"/>
    </xf>
    <xf borderId="16" fillId="0" fontId="2" numFmtId="10" xfId="0" applyAlignment="1" applyBorder="1" applyFont="1" applyNumberFormat="1">
      <alignment horizontal="center"/>
    </xf>
    <xf borderId="22" fillId="0" fontId="2" numFmtId="0" xfId="0" applyBorder="1" applyFont="1"/>
    <xf borderId="23" fillId="0" fontId="2" numFmtId="168" xfId="0" applyAlignment="1" applyBorder="1" applyFont="1" applyNumberFormat="1">
      <alignment horizontal="center"/>
    </xf>
    <xf borderId="19" fillId="0" fontId="2" numFmtId="0" xfId="0" applyBorder="1" applyFont="1"/>
    <xf borderId="20" fillId="0" fontId="2" numFmtId="168" xfId="0" applyAlignment="1" applyBorder="1" applyFont="1" applyNumberFormat="1">
      <alignment horizontal="center"/>
    </xf>
    <xf borderId="21" fillId="0" fontId="2" numFmtId="168" xfId="0" applyAlignment="1" applyBorder="1" applyFont="1" applyNumberFormat="1">
      <alignment horizontal="center"/>
    </xf>
    <xf borderId="21" fillId="0" fontId="2" numFmtId="10" xfId="0" applyAlignment="1" applyBorder="1" applyFont="1" applyNumberFormat="1">
      <alignment horizontal="center"/>
    </xf>
    <xf borderId="29" fillId="0" fontId="3" numFmtId="165" xfId="0" applyAlignment="1" applyBorder="1" applyFont="1" applyNumberFormat="1">
      <alignment horizontal="center"/>
    </xf>
    <xf borderId="18" fillId="0" fontId="3" numFmtId="165" xfId="0" applyAlignment="1" applyBorder="1" applyFont="1" applyNumberFormat="1">
      <alignment horizontal="center"/>
    </xf>
    <xf borderId="18" fillId="0" fontId="3" numFmtId="9" xfId="0" applyAlignment="1" applyBorder="1" applyFont="1" applyNumberFormat="1">
      <alignment horizontal="center"/>
    </xf>
    <xf borderId="29" fillId="0" fontId="3" numFmtId="10" xfId="0" applyAlignment="1" applyBorder="1" applyFont="1" applyNumberFormat="1">
      <alignment horizontal="center"/>
    </xf>
    <xf borderId="0" fillId="0" fontId="9" numFmtId="165" xfId="0" applyAlignment="1" applyFont="1" applyNumberFormat="1">
      <alignment horizontal="center"/>
    </xf>
    <xf borderId="23" fillId="0" fontId="9" numFmtId="165" xfId="0" applyAlignment="1" applyBorder="1" applyFont="1" applyNumberFormat="1">
      <alignment horizontal="center"/>
    </xf>
    <xf borderId="0" fillId="0" fontId="2" numFmtId="4" xfId="0" applyAlignment="1" applyFont="1" applyNumberFormat="1">
      <alignment horizontal="center"/>
    </xf>
    <xf borderId="2" fillId="0" fontId="34" numFmtId="0" xfId="0" applyAlignment="1" applyBorder="1" applyFont="1">
      <alignment horizontal="center"/>
    </xf>
    <xf borderId="18" fillId="0" fontId="2" numFmtId="0" xfId="0" applyAlignment="1" applyBorder="1" applyFont="1">
      <alignment horizontal="center" shrinkToFit="0" wrapText="1"/>
    </xf>
    <xf borderId="18" fillId="0" fontId="2" numFmtId="168" xfId="0" applyAlignment="1" applyBorder="1" applyFont="1" applyNumberFormat="1">
      <alignment horizontal="center"/>
    </xf>
    <xf borderId="16" fillId="0" fontId="3" numFmtId="0" xfId="0" applyAlignment="1" applyBorder="1" applyFont="1">
      <alignment horizontal="center"/>
    </xf>
    <xf borderId="68" fillId="0" fontId="21" numFmtId="0" xfId="0" applyAlignment="1" applyBorder="1" applyFont="1">
      <alignment horizontal="center"/>
    </xf>
    <xf borderId="42" fillId="0" fontId="35" numFmtId="0" xfId="0" applyAlignment="1" applyBorder="1" applyFont="1">
      <alignment horizontal="center" shrinkToFit="0" wrapText="1"/>
    </xf>
    <xf borderId="69" fillId="0" fontId="35" numFmtId="0" xfId="0" applyAlignment="1" applyBorder="1" applyFont="1">
      <alignment horizontal="center" shrinkToFit="0" wrapText="1"/>
    </xf>
    <xf borderId="8" fillId="0" fontId="36" numFmtId="0" xfId="0" applyAlignment="1" applyBorder="1" applyFont="1">
      <alignment horizontal="center"/>
    </xf>
    <xf borderId="9" fillId="5" fontId="36" numFmtId="165" xfId="0" applyAlignment="1" applyBorder="1" applyFont="1" applyNumberFormat="1">
      <alignment horizontal="center"/>
    </xf>
    <xf borderId="9" fillId="0" fontId="36" numFmtId="165" xfId="0" applyAlignment="1" applyBorder="1" applyFont="1" applyNumberFormat="1">
      <alignment horizontal="center"/>
    </xf>
    <xf borderId="10" fillId="0" fontId="37" numFmtId="168" xfId="0" applyAlignment="1" applyBorder="1" applyFont="1" applyNumberFormat="1">
      <alignment horizontal="center" shrinkToFit="0" vertical="top" wrapText="1"/>
    </xf>
    <xf borderId="18" fillId="0" fontId="2" numFmtId="165" xfId="0" applyAlignment="1" applyBorder="1" applyFont="1" applyNumberFormat="1">
      <alignment horizontal="center"/>
    </xf>
    <xf borderId="11" fillId="0" fontId="36" numFmtId="0" xfId="0" applyAlignment="1" applyBorder="1" applyFont="1">
      <alignment horizontal="center"/>
    </xf>
    <xf borderId="12" fillId="0" fontId="36" numFmtId="165" xfId="0" applyAlignment="1" applyBorder="1" applyFont="1" applyNumberFormat="1">
      <alignment horizontal="center"/>
    </xf>
    <xf borderId="13" fillId="0" fontId="37" numFmtId="168" xfId="0" applyAlignment="1" applyBorder="1" applyFont="1" applyNumberFormat="1">
      <alignment horizontal="center" shrinkToFit="0" vertical="top" wrapText="1"/>
    </xf>
    <xf borderId="0" fillId="0" fontId="38" numFmtId="0" xfId="0" applyAlignment="1" applyFont="1">
      <alignment horizontal="center" shrinkToFit="0" vertical="center" wrapText="1"/>
    </xf>
    <xf borderId="0" fillId="0" fontId="2" numFmtId="0" xfId="0" applyAlignment="1" applyFont="1">
      <alignment horizontal="center" shrinkToFit="0" wrapText="1"/>
    </xf>
    <xf borderId="0" fillId="0" fontId="9" numFmtId="3" xfId="0" applyAlignment="1" applyFont="1" applyNumberFormat="1">
      <alignment horizontal="center"/>
    </xf>
    <xf borderId="0" fillId="0" fontId="39" numFmtId="0" xfId="0" applyFont="1"/>
    <xf borderId="44" fillId="5" fontId="2" numFmtId="165" xfId="0" applyAlignment="1" applyBorder="1" applyFont="1" applyNumberFormat="1">
      <alignment horizontal="center"/>
    </xf>
    <xf borderId="45" fillId="5" fontId="3" numFmtId="165" xfId="0" applyAlignment="1" applyBorder="1" applyFont="1" applyNumberFormat="1">
      <alignment horizontal="center"/>
    </xf>
    <xf borderId="26" fillId="5" fontId="2" numFmtId="165" xfId="0" applyAlignment="1" applyBorder="1" applyFont="1" applyNumberFormat="1">
      <alignment horizontal="center"/>
    </xf>
    <xf borderId="25" fillId="5" fontId="3" numFmtId="165" xfId="0" applyAlignment="1" applyBorder="1" applyFont="1" applyNumberFormat="1">
      <alignment horizontal="center"/>
    </xf>
    <xf borderId="55" fillId="5" fontId="2" numFmtId="165" xfId="0" applyAlignment="1" applyBorder="1" applyFont="1" applyNumberFormat="1">
      <alignment horizontal="center"/>
    </xf>
    <xf borderId="56" fillId="5" fontId="3" numFmtId="165" xfId="0" applyAlignment="1" applyBorder="1" applyFont="1" applyNumberFormat="1">
      <alignment horizontal="center"/>
    </xf>
    <xf borderId="44" fillId="5" fontId="2" numFmtId="3" xfId="0" applyAlignment="1" applyBorder="1" applyFont="1" applyNumberFormat="1">
      <alignment horizontal="center"/>
    </xf>
    <xf borderId="45" fillId="5" fontId="3" numFmtId="3" xfId="0" applyAlignment="1" applyBorder="1" applyFont="1" applyNumberFormat="1">
      <alignment horizontal="center"/>
    </xf>
    <xf borderId="26" fillId="5" fontId="2" numFmtId="3" xfId="0" applyAlignment="1" applyBorder="1" applyFont="1" applyNumberFormat="1">
      <alignment horizontal="center"/>
    </xf>
    <xf borderId="25" fillId="5" fontId="3" numFmtId="3" xfId="0" applyAlignment="1" applyBorder="1" applyFont="1" applyNumberFormat="1">
      <alignment horizontal="center"/>
    </xf>
    <xf borderId="55" fillId="5" fontId="2" numFmtId="3" xfId="0" applyAlignment="1" applyBorder="1" applyFont="1" applyNumberFormat="1">
      <alignment horizontal="center"/>
    </xf>
    <xf borderId="56" fillId="5" fontId="3" numFmtId="3" xfId="0" applyAlignment="1" applyBorder="1" applyFont="1" applyNumberFormat="1">
      <alignment horizontal="center"/>
    </xf>
    <xf borderId="0" fillId="0" fontId="40" numFmtId="0" xfId="0" applyAlignment="1" applyFont="1">
      <alignment horizontal="left"/>
    </xf>
    <xf borderId="0" fillId="0" fontId="41" numFmtId="0" xfId="0" applyAlignment="1" applyFont="1">
      <alignment horizontal="center"/>
    </xf>
    <xf borderId="0" fillId="0" fontId="42" numFmtId="0" xfId="0" applyAlignment="1" applyFont="1">
      <alignment horizontal="center"/>
    </xf>
    <xf borderId="0" fillId="0" fontId="41" numFmtId="0" xfId="0" applyFont="1"/>
    <xf borderId="0" fillId="0" fontId="29" numFmtId="0" xfId="0" applyFont="1"/>
    <xf borderId="70" fillId="17" fontId="3" numFmtId="0" xfId="0" applyBorder="1" applyFill="1" applyFont="1"/>
    <xf borderId="70" fillId="17" fontId="3" numFmtId="3" xfId="0" applyBorder="1" applyFont="1" applyNumberFormat="1"/>
    <xf borderId="71" fillId="0" fontId="3" numFmtId="0" xfId="0" applyBorder="1" applyFont="1"/>
    <xf borderId="71" fillId="0" fontId="3" numFmtId="3" xfId="0" applyAlignment="1" applyBorder="1" applyFont="1" applyNumberFormat="1">
      <alignment horizontal="right"/>
    </xf>
    <xf borderId="0" fillId="0" fontId="29" numFmtId="3" xfId="0" applyAlignment="1" applyFont="1" applyNumberFormat="1">
      <alignment horizontal="right"/>
    </xf>
    <xf borderId="14" fillId="0" fontId="9" numFmtId="0" xfId="0" applyAlignment="1" applyBorder="1" applyFont="1">
      <alignment horizontal="center"/>
    </xf>
    <xf borderId="15" fillId="0" fontId="9" numFmtId="0" xfId="0" applyAlignment="1" applyBorder="1" applyFont="1">
      <alignment horizontal="center"/>
    </xf>
    <xf borderId="16" fillId="0" fontId="9" numFmtId="0" xfId="0" applyAlignment="1" applyBorder="1" applyFont="1">
      <alignment horizontal="center"/>
    </xf>
    <xf borderId="39" fillId="0" fontId="2" numFmtId="0" xfId="0" applyAlignment="1" applyBorder="1" applyFont="1">
      <alignment horizontal="center"/>
    </xf>
    <xf borderId="71" fillId="0" fontId="29" numFmtId="0" xfId="0" applyBorder="1" applyFont="1"/>
    <xf borderId="71" fillId="0" fontId="29" numFmtId="3" xfId="0" applyAlignment="1" applyBorder="1" applyFont="1" applyNumberFormat="1">
      <alignment horizontal="right"/>
    </xf>
    <xf borderId="15" fillId="0" fontId="9" numFmtId="3" xfId="0" applyAlignment="1" applyBorder="1" applyFont="1" applyNumberFormat="1">
      <alignment horizontal="center"/>
    </xf>
    <xf borderId="26" fillId="17" fontId="3" numFmtId="0" xfId="0" applyBorder="1" applyFont="1"/>
    <xf borderId="26" fillId="17" fontId="3" numFmtId="0" xfId="0" applyAlignment="1" applyBorder="1" applyFont="1">
      <alignment horizontal="right"/>
    </xf>
    <xf borderId="22" fillId="0" fontId="9" numFmtId="0" xfId="0" applyAlignment="1" applyBorder="1" applyFont="1">
      <alignment horizontal="center"/>
    </xf>
    <xf borderId="19" fillId="0" fontId="9" numFmtId="0" xfId="0" applyAlignment="1" applyBorder="1" applyFont="1">
      <alignment horizontal="center"/>
    </xf>
    <xf borderId="20" fillId="0" fontId="9" numFmtId="0" xfId="0" applyAlignment="1" applyBorder="1" applyFont="1">
      <alignment horizontal="center"/>
    </xf>
    <xf borderId="20" fillId="0" fontId="9" numFmtId="3" xfId="0" applyAlignment="1" applyBorder="1" applyFont="1" applyNumberFormat="1">
      <alignment horizontal="center"/>
    </xf>
    <xf borderId="26" fillId="6" fontId="9" numFmtId="0" xfId="0" applyAlignment="1" applyBorder="1" applyFont="1">
      <alignment horizontal="center"/>
    </xf>
    <xf borderId="26" fillId="6" fontId="9" numFmtId="3" xfId="0" applyAlignment="1" applyBorder="1" applyFont="1" applyNumberFormat="1">
      <alignment horizontal="center"/>
    </xf>
    <xf borderId="72" fillId="6" fontId="3" numFmtId="0" xfId="0" applyAlignment="1" applyBorder="1" applyFont="1">
      <alignment horizontal="center" shrinkToFit="0" vertical="center" wrapText="1"/>
    </xf>
    <xf borderId="73" fillId="0" fontId="5" numFmtId="0" xfId="0" applyBorder="1" applyFont="1"/>
    <xf borderId="26" fillId="6" fontId="2" numFmtId="0" xfId="0" applyAlignment="1" applyBorder="1" applyFont="1">
      <alignment horizontal="center"/>
    </xf>
    <xf borderId="74" fillId="0" fontId="5" numFmtId="0" xfId="0" applyBorder="1" applyFont="1"/>
    <xf borderId="75" fillId="0" fontId="5" numFmtId="0" xfId="0" applyBorder="1" applyFont="1"/>
    <xf borderId="55" fillId="6" fontId="9" numFmtId="0" xfId="0" applyAlignment="1" applyBorder="1" applyFont="1">
      <alignment horizontal="center"/>
    </xf>
    <xf borderId="55" fillId="6" fontId="9" numFmtId="3" xfId="0" applyAlignment="1" applyBorder="1" applyFont="1" applyNumberFormat="1">
      <alignment horizontal="center"/>
    </xf>
    <xf borderId="16" fillId="0" fontId="9" numFmtId="3" xfId="0" applyAlignment="1" applyBorder="1" applyFont="1" applyNumberFormat="1">
      <alignment horizontal="center"/>
    </xf>
    <xf borderId="23" fillId="0" fontId="9" numFmtId="3" xfId="0" applyAlignment="1" applyBorder="1" applyFont="1" applyNumberFormat="1">
      <alignment horizontal="center"/>
    </xf>
    <xf borderId="21" fillId="0" fontId="9" numFmtId="3" xfId="0" applyAlignment="1" applyBorder="1" applyFont="1" applyNumberFormat="1">
      <alignment horizontal="center"/>
    </xf>
    <xf borderId="0" fillId="0" fontId="12" numFmtId="0" xfId="0" applyAlignment="1" applyFont="1">
      <alignment horizontal="center" shrinkToFit="0" wrapText="1"/>
    </xf>
    <xf borderId="0" fillId="0" fontId="29" numFmtId="0" xfId="0" applyAlignment="1" applyFont="1">
      <alignment horizontal="center"/>
    </xf>
    <xf borderId="0" fillId="0" fontId="43" numFmtId="0" xfId="0" applyAlignment="1" applyFont="1">
      <alignment horizontal="center"/>
    </xf>
    <xf borderId="14" fillId="0" fontId="44" numFmtId="0" xfId="0" applyAlignment="1" applyBorder="1" applyFont="1">
      <alignment horizontal="center"/>
    </xf>
    <xf borderId="15" fillId="0" fontId="44" numFmtId="0" xfId="0" applyAlignment="1" applyBorder="1" applyFont="1">
      <alignment horizontal="center"/>
    </xf>
    <xf borderId="0" fillId="0" fontId="45" numFmtId="0" xfId="0" applyAlignment="1" applyFont="1">
      <alignment horizontal="center"/>
    </xf>
    <xf borderId="0" fillId="0" fontId="45" numFmtId="0" xfId="0" applyFont="1"/>
    <xf borderId="19" fillId="0" fontId="44" numFmtId="0" xfId="0" applyAlignment="1" applyBorder="1" applyFont="1">
      <alignment horizontal="center"/>
    </xf>
    <xf borderId="20" fillId="0" fontId="44" numFmtId="0" xfId="0" applyAlignment="1" applyBorder="1" applyFont="1">
      <alignment horizontal="center"/>
    </xf>
    <xf borderId="21" fillId="0" fontId="44" numFmtId="0" xfId="0" applyAlignment="1" applyBorder="1" applyFont="1">
      <alignment horizontal="center"/>
    </xf>
    <xf borderId="14" fillId="0" fontId="45" numFmtId="0" xfId="0" applyAlignment="1" applyBorder="1" applyFont="1">
      <alignment horizontal="center"/>
    </xf>
    <xf borderId="15" fillId="0" fontId="45" numFmtId="0" xfId="0" applyAlignment="1" applyBorder="1" applyFont="1">
      <alignment horizontal="center"/>
    </xf>
    <xf borderId="16" fillId="0" fontId="45" numFmtId="0" xfId="0" applyAlignment="1" applyBorder="1" applyFont="1">
      <alignment horizontal="center"/>
    </xf>
    <xf borderId="14" fillId="0" fontId="45" numFmtId="10" xfId="0" applyAlignment="1" applyBorder="1" applyFont="1" applyNumberFormat="1">
      <alignment horizontal="center"/>
    </xf>
    <xf borderId="15" fillId="0" fontId="45" numFmtId="10" xfId="0" applyAlignment="1" applyBorder="1" applyFont="1" applyNumberFormat="1">
      <alignment horizontal="center"/>
    </xf>
    <xf borderId="16" fillId="0" fontId="45" numFmtId="10" xfId="0" applyAlignment="1" applyBorder="1" applyFont="1" applyNumberFormat="1">
      <alignment horizontal="center"/>
    </xf>
    <xf borderId="22" fillId="0" fontId="45" numFmtId="0" xfId="0" applyAlignment="1" applyBorder="1" applyFont="1">
      <alignment horizontal="center"/>
    </xf>
    <xf borderId="23" fillId="0" fontId="45" numFmtId="0" xfId="0" applyAlignment="1" applyBorder="1" applyFont="1">
      <alignment horizontal="center"/>
    </xf>
    <xf borderId="22" fillId="0" fontId="45" numFmtId="10" xfId="0" applyAlignment="1" applyBorder="1" applyFont="1" applyNumberFormat="1">
      <alignment horizontal="center"/>
    </xf>
    <xf borderId="0" fillId="0" fontId="45" numFmtId="10" xfId="0" applyAlignment="1" applyFont="1" applyNumberFormat="1">
      <alignment horizontal="center"/>
    </xf>
    <xf borderId="23" fillId="0" fontId="45" numFmtId="10" xfId="0" applyAlignment="1" applyBorder="1" applyFont="1" applyNumberFormat="1">
      <alignment horizontal="center"/>
    </xf>
    <xf borderId="0" fillId="0" fontId="44" numFmtId="0" xfId="0" applyAlignment="1" applyFont="1">
      <alignment horizontal="center"/>
    </xf>
    <xf borderId="0" fillId="0" fontId="44" numFmtId="0" xfId="0" applyFont="1"/>
    <xf borderId="0" fillId="0" fontId="46" numFmtId="0" xfId="0" applyFont="1"/>
    <xf borderId="20" fillId="0" fontId="45" numFmtId="0" xfId="0" applyAlignment="1" applyBorder="1" applyFont="1">
      <alignment horizontal="center"/>
    </xf>
    <xf borderId="21" fillId="0" fontId="45" numFmtId="0" xfId="0" applyAlignment="1" applyBorder="1" applyFont="1">
      <alignment horizontal="center"/>
    </xf>
    <xf borderId="17" fillId="0" fontId="44" numFmtId="0" xfId="0" applyAlignment="1" applyBorder="1" applyFont="1">
      <alignment horizontal="right"/>
    </xf>
    <xf borderId="18" fillId="0" fontId="44" numFmtId="0" xfId="0" applyAlignment="1" applyBorder="1" applyFont="1">
      <alignment horizontal="center"/>
    </xf>
    <xf borderId="29" fillId="0" fontId="44" numFmtId="0" xfId="0" applyAlignment="1" applyBorder="1" applyFont="1">
      <alignment horizontal="right"/>
    </xf>
    <xf borderId="17" fillId="0" fontId="44" numFmtId="10" xfId="0" applyAlignment="1" applyBorder="1" applyFont="1" applyNumberFormat="1">
      <alignment horizontal="center"/>
    </xf>
    <xf borderId="18" fillId="0" fontId="44" numFmtId="10" xfId="0" applyAlignment="1" applyBorder="1" applyFont="1" applyNumberFormat="1">
      <alignment horizontal="center"/>
    </xf>
    <xf borderId="29" fillId="0" fontId="44" numFmtId="10" xfId="0" applyAlignment="1" applyBorder="1" applyFont="1" applyNumberFormat="1">
      <alignment horizontal="center"/>
    </xf>
    <xf borderId="14" fillId="0" fontId="44" numFmtId="0" xfId="0" applyAlignment="1" applyBorder="1" applyFont="1">
      <alignment horizontal="right"/>
    </xf>
    <xf borderId="16" fillId="0" fontId="44" numFmtId="0" xfId="0" applyAlignment="1" applyBorder="1" applyFont="1">
      <alignment horizontal="right"/>
    </xf>
    <xf borderId="14" fillId="0" fontId="44" numFmtId="10" xfId="0" applyAlignment="1" applyBorder="1" applyFont="1" applyNumberFormat="1">
      <alignment horizontal="center"/>
    </xf>
    <xf borderId="15" fillId="0" fontId="44" numFmtId="10" xfId="0" applyAlignment="1" applyBorder="1" applyFont="1" applyNumberFormat="1">
      <alignment horizontal="center"/>
    </xf>
    <xf borderId="16" fillId="0" fontId="44" numFmtId="10" xfId="0" applyAlignment="1" applyBorder="1" applyFont="1" applyNumberFormat="1">
      <alignment horizontal="center"/>
    </xf>
    <xf borderId="0" fillId="0" fontId="44" numFmtId="0" xfId="0" applyAlignment="1" applyFont="1">
      <alignment horizontal="right"/>
    </xf>
    <xf borderId="0" fillId="0" fontId="44" numFmtId="10" xfId="0" applyAlignment="1" applyFont="1" applyNumberFormat="1">
      <alignment horizontal="center"/>
    </xf>
    <xf borderId="0" fillId="0" fontId="47" numFmtId="0" xfId="0" applyAlignment="1" applyFont="1">
      <alignment horizontal="center" vertical="center"/>
    </xf>
    <xf borderId="14" fillId="0" fontId="45" numFmtId="3" xfId="0" applyAlignment="1" applyBorder="1" applyFont="1" applyNumberFormat="1">
      <alignment horizontal="center"/>
    </xf>
    <xf borderId="15" fillId="0" fontId="45" numFmtId="3" xfId="0" applyAlignment="1" applyBorder="1" applyFont="1" applyNumberFormat="1">
      <alignment horizontal="center"/>
    </xf>
    <xf borderId="15" fillId="0" fontId="45" numFmtId="165" xfId="0" applyAlignment="1" applyBorder="1" applyFont="1" applyNumberFormat="1">
      <alignment horizontal="center"/>
    </xf>
    <xf borderId="16" fillId="0" fontId="45" numFmtId="3" xfId="0" applyAlignment="1" applyBorder="1" applyFont="1" applyNumberFormat="1">
      <alignment horizontal="center"/>
    </xf>
    <xf borderId="22" fillId="0" fontId="45" numFmtId="3" xfId="0" applyAlignment="1" applyBorder="1" applyFont="1" applyNumberFormat="1">
      <alignment horizontal="center"/>
    </xf>
    <xf borderId="0" fillId="0" fontId="45" numFmtId="3" xfId="0" applyAlignment="1" applyFont="1" applyNumberFormat="1">
      <alignment horizontal="center"/>
    </xf>
    <xf borderId="23" fillId="0" fontId="45" numFmtId="3" xfId="0" applyAlignment="1" applyBorder="1" applyFont="1" applyNumberFormat="1">
      <alignment horizontal="center"/>
    </xf>
    <xf borderId="0" fillId="0" fontId="48" numFmtId="0" xfId="0" applyAlignment="1" applyFont="1">
      <alignment horizontal="center"/>
    </xf>
    <xf borderId="0" fillId="0" fontId="46" numFmtId="0" xfId="0" applyAlignment="1" applyFont="1">
      <alignment horizontal="center"/>
    </xf>
    <xf borderId="0" fillId="0" fontId="49" numFmtId="0" xfId="0" applyAlignment="1" applyFont="1">
      <alignment horizontal="center"/>
    </xf>
    <xf borderId="0" fillId="0" fontId="49" numFmtId="3" xfId="0" applyAlignment="1" applyFont="1" applyNumberFormat="1">
      <alignment horizontal="center"/>
    </xf>
    <xf borderId="0" fillId="0" fontId="49" numFmtId="10" xfId="0" applyAlignment="1" applyFont="1" applyNumberFormat="1">
      <alignment horizontal="center"/>
    </xf>
    <xf borderId="18" fillId="0" fontId="44" numFmtId="0" xfId="0" applyAlignment="1" applyBorder="1" applyFont="1">
      <alignment horizontal="right"/>
    </xf>
    <xf borderId="17" fillId="0" fontId="44" numFmtId="3" xfId="0" applyAlignment="1" applyBorder="1" applyFont="1" applyNumberFormat="1">
      <alignment horizontal="center"/>
    </xf>
    <xf borderId="18" fillId="0" fontId="44" numFmtId="3" xfId="0" applyAlignment="1" applyBorder="1" applyFont="1" applyNumberFormat="1">
      <alignment horizontal="center"/>
    </xf>
    <xf borderId="29" fillId="0" fontId="44" numFmtId="3" xfId="0" applyAlignment="1" applyBorder="1" applyFont="1" applyNumberFormat="1">
      <alignment horizontal="center"/>
    </xf>
    <xf borderId="0" fillId="0" fontId="48" numFmtId="3" xfId="0" applyAlignment="1" applyFont="1" applyNumberFormat="1">
      <alignment horizontal="center"/>
    </xf>
    <xf borderId="0" fillId="0" fontId="44" numFmtId="3" xfId="0" applyAlignment="1" applyFont="1" applyNumberFormat="1">
      <alignment horizontal="center"/>
    </xf>
    <xf borderId="0" fillId="0" fontId="50" numFmtId="0" xfId="0" applyFont="1"/>
    <xf borderId="0" fillId="0" fontId="51" numFmtId="0" xfId="0" applyFont="1"/>
    <xf borderId="0" fillId="0" fontId="52" numFmtId="0" xfId="0" applyFont="1"/>
    <xf borderId="0" fillId="0" fontId="49" numFmtId="0" xfId="0" applyFont="1"/>
    <xf borderId="0" fillId="0" fontId="53" numFmtId="0" xfId="0" applyFont="1"/>
    <xf borderId="0" fillId="0" fontId="53" numFmtId="0" xfId="0" applyAlignment="1" applyFont="1">
      <alignment horizontal="center"/>
    </xf>
    <xf borderId="0" fillId="0" fontId="54" numFmtId="0" xfId="0" applyAlignment="1" applyFont="1">
      <alignment horizontal="center" vertical="center"/>
    </xf>
    <xf borderId="27" fillId="4" fontId="53" numFmtId="0" xfId="0" applyBorder="1" applyFont="1"/>
    <xf borderId="65" fillId="4" fontId="53" numFmtId="0" xfId="0" applyAlignment="1" applyBorder="1" applyFont="1">
      <alignment horizontal="center"/>
    </xf>
    <xf borderId="28" fillId="4" fontId="53" numFmtId="0" xfId="0" applyAlignment="1" applyBorder="1" applyFont="1">
      <alignment horizontal="center"/>
    </xf>
    <xf borderId="22" fillId="0" fontId="52" numFmtId="0" xfId="0" applyBorder="1" applyFont="1"/>
    <xf borderId="0" fillId="0" fontId="52" numFmtId="3" xfId="0" applyAlignment="1" applyFont="1" applyNumberFormat="1">
      <alignment horizontal="center"/>
    </xf>
    <xf borderId="23" fillId="0" fontId="52" numFmtId="10" xfId="0" applyAlignment="1" applyBorder="1" applyFont="1" applyNumberFormat="1">
      <alignment horizontal="center"/>
    </xf>
    <xf borderId="0" fillId="0" fontId="52" numFmtId="0" xfId="0" applyAlignment="1" applyFont="1">
      <alignment horizontal="center"/>
    </xf>
    <xf borderId="19" fillId="0" fontId="52" numFmtId="0" xfId="0" applyBorder="1" applyFont="1"/>
    <xf borderId="20" fillId="0" fontId="52" numFmtId="3" xfId="0" applyAlignment="1" applyBorder="1" applyFont="1" applyNumberFormat="1">
      <alignment horizontal="center"/>
    </xf>
    <xf borderId="0" fillId="0" fontId="55" numFmtId="0" xfId="0" applyAlignment="1" applyFont="1">
      <alignment horizontal="right"/>
    </xf>
    <xf borderId="76" fillId="4" fontId="53" numFmtId="0" xfId="0" applyBorder="1" applyFont="1"/>
    <xf borderId="55" fillId="4" fontId="53" numFmtId="3" xfId="0" applyAlignment="1" applyBorder="1" applyFont="1" applyNumberFormat="1">
      <alignment horizontal="center"/>
    </xf>
    <xf borderId="28" fillId="4" fontId="53" numFmtId="10" xfId="0" applyAlignment="1" applyBorder="1" applyFont="1" applyNumberFormat="1">
      <alignment horizontal="center"/>
    </xf>
    <xf borderId="0" fillId="0" fontId="52" numFmtId="3" xfId="0" applyAlignment="1" applyFont="1" applyNumberFormat="1">
      <alignment horizontal="right"/>
    </xf>
    <xf borderId="0" fillId="0" fontId="52" numFmtId="0" xfId="0" applyAlignment="1" applyFont="1">
      <alignment horizontal="right"/>
    </xf>
    <xf borderId="21" fillId="0" fontId="52" numFmtId="10" xfId="0" applyAlignment="1" applyBorder="1" applyFont="1" applyNumberFormat="1">
      <alignment horizontal="center"/>
    </xf>
    <xf borderId="0" fillId="0" fontId="56" numFmtId="0" xfId="0" applyFont="1"/>
    <xf borderId="9" fillId="4" fontId="53" numFmtId="0" xfId="0" applyAlignment="1" applyBorder="1" applyFont="1">
      <alignment horizontal="center" vertical="center"/>
    </xf>
    <xf borderId="9" fillId="4" fontId="57" numFmtId="0" xfId="0" applyAlignment="1" applyBorder="1" applyFont="1">
      <alignment horizontal="center" shrinkToFit="0" vertical="center" wrapText="1"/>
    </xf>
    <xf borderId="28" fillId="4" fontId="57" numFmtId="0" xfId="0" applyAlignment="1" applyBorder="1" applyFont="1">
      <alignment horizontal="center" shrinkToFit="0" vertical="center" wrapText="1"/>
    </xf>
    <xf borderId="44" fillId="4" fontId="57" numFmtId="0" xfId="0" applyAlignment="1" applyBorder="1" applyFont="1">
      <alignment horizontal="center" shrinkToFit="0" vertical="center" wrapText="1"/>
    </xf>
    <xf borderId="65" fillId="4" fontId="57" numFmtId="0" xfId="0" applyAlignment="1" applyBorder="1" applyFont="1">
      <alignment horizontal="center" shrinkToFit="0" vertical="center" wrapText="1"/>
    </xf>
    <xf borderId="45" fillId="4" fontId="57" numFmtId="0" xfId="0" applyAlignment="1" applyBorder="1" applyFont="1">
      <alignment horizontal="center" shrinkToFit="0" vertical="center" wrapText="1"/>
    </xf>
    <xf borderId="14" fillId="0" fontId="57" numFmtId="0" xfId="0" applyAlignment="1" applyBorder="1" applyFont="1">
      <alignment horizontal="center" vertical="center"/>
    </xf>
    <xf borderId="15" fillId="0" fontId="55" numFmtId="3" xfId="0" applyAlignment="1" applyBorder="1" applyFont="1" applyNumberFormat="1">
      <alignment horizontal="center" vertical="center"/>
    </xf>
    <xf borderId="15" fillId="0" fontId="55" numFmtId="3" xfId="0" applyAlignment="1" applyBorder="1" applyFont="1" applyNumberFormat="1">
      <alignment horizontal="center"/>
    </xf>
    <xf borderId="15" fillId="0" fontId="55" numFmtId="172" xfId="0" applyAlignment="1" applyBorder="1" applyFont="1" applyNumberFormat="1">
      <alignment horizontal="center"/>
    </xf>
    <xf borderId="16" fillId="0" fontId="52" numFmtId="9" xfId="0" applyAlignment="1" applyBorder="1" applyFont="1" applyNumberFormat="1">
      <alignment horizontal="center"/>
    </xf>
    <xf borderId="0" fillId="0" fontId="52" numFmtId="4" xfId="0" applyAlignment="1" applyFont="1" applyNumberFormat="1">
      <alignment horizontal="right"/>
    </xf>
    <xf borderId="20" fillId="0" fontId="55" numFmtId="0" xfId="0" applyAlignment="1" applyBorder="1" applyFont="1">
      <alignment horizontal="center"/>
    </xf>
    <xf borderId="20" fillId="0" fontId="55" numFmtId="172" xfId="0" applyAlignment="1" applyBorder="1" applyFont="1" applyNumberFormat="1">
      <alignment horizontal="center"/>
    </xf>
    <xf borderId="55" fillId="7" fontId="55" numFmtId="3" xfId="0" applyAlignment="1" applyBorder="1" applyFont="1" applyNumberFormat="1">
      <alignment horizontal="center"/>
    </xf>
    <xf borderId="20" fillId="0" fontId="55" numFmtId="3" xfId="0" applyAlignment="1" applyBorder="1" applyFont="1" applyNumberFormat="1">
      <alignment horizontal="center"/>
    </xf>
    <xf borderId="21" fillId="0" fontId="52" numFmtId="9" xfId="0" applyAlignment="1" applyBorder="1" applyFont="1" applyNumberFormat="1">
      <alignment horizontal="center"/>
    </xf>
    <xf borderId="0" fillId="0" fontId="55" numFmtId="3" xfId="0" applyAlignment="1" applyFont="1" applyNumberFormat="1">
      <alignment horizontal="center"/>
    </xf>
    <xf borderId="15" fillId="0" fontId="57" numFmtId="3" xfId="0" applyAlignment="1" applyBorder="1" applyFont="1" applyNumberFormat="1">
      <alignment horizontal="center" vertical="center"/>
    </xf>
    <xf borderId="15" fillId="0" fontId="55" numFmtId="0" xfId="0" applyAlignment="1" applyBorder="1" applyFont="1">
      <alignment horizontal="center"/>
    </xf>
    <xf borderId="17" fillId="8" fontId="58" numFmtId="0" xfId="0" applyAlignment="1" applyBorder="1" applyFont="1">
      <alignment horizontal="right"/>
    </xf>
    <xf borderId="77" fillId="0" fontId="5" numFmtId="0" xfId="0" applyBorder="1" applyFont="1"/>
    <xf borderId="65" fillId="8" fontId="57" numFmtId="3" xfId="0" applyAlignment="1" applyBorder="1" applyFont="1" applyNumberFormat="1">
      <alignment horizontal="center"/>
    </xf>
    <xf borderId="28" fillId="8" fontId="53" numFmtId="10" xfId="0" applyAlignment="1" applyBorder="1" applyFont="1" applyNumberFormat="1">
      <alignment horizontal="center"/>
    </xf>
    <xf borderId="0" fillId="0" fontId="53" numFmtId="0" xfId="0" applyAlignment="1" applyFont="1">
      <alignment horizontal="center" vertical="center"/>
    </xf>
    <xf borderId="0" fillId="0" fontId="57" numFmtId="0" xfId="0" applyAlignment="1" applyFont="1">
      <alignment horizontal="center" shrinkToFit="0" vertical="center" wrapText="1"/>
    </xf>
    <xf borderId="0" fillId="0" fontId="55" numFmtId="0" xfId="0" applyAlignment="1" applyFont="1">
      <alignment horizontal="center"/>
    </xf>
    <xf borderId="0" fillId="0" fontId="55" numFmtId="10" xfId="0" applyAlignment="1" applyFont="1" applyNumberFormat="1">
      <alignment horizontal="center"/>
    </xf>
    <xf borderId="0" fillId="0" fontId="52" numFmtId="10" xfId="0" applyAlignment="1" applyFont="1" applyNumberFormat="1">
      <alignment horizontal="center"/>
    </xf>
    <xf borderId="22" fillId="0" fontId="55" numFmtId="3" xfId="0" applyAlignment="1" applyBorder="1" applyFont="1" applyNumberFormat="1">
      <alignment horizontal="center"/>
    </xf>
    <xf borderId="17" fillId="0" fontId="57" numFmtId="0" xfId="0" applyAlignment="1" applyBorder="1" applyFont="1">
      <alignment horizontal="center" vertical="center"/>
    </xf>
    <xf borderId="78" fillId="0" fontId="55" numFmtId="3" xfId="0" applyAlignment="1" applyBorder="1" applyFont="1" applyNumberFormat="1">
      <alignment horizontal="center" vertical="center"/>
    </xf>
    <xf borderId="79" fillId="0" fontId="55" numFmtId="0" xfId="0" applyAlignment="1" applyBorder="1" applyFont="1">
      <alignment horizontal="center"/>
    </xf>
    <xf borderId="79" fillId="0" fontId="55" numFmtId="10" xfId="0" applyAlignment="1" applyBorder="1" applyFont="1" applyNumberFormat="1">
      <alignment horizontal="center"/>
    </xf>
    <xf borderId="80" fillId="5" fontId="55" numFmtId="1" xfId="0" applyAlignment="1" applyBorder="1" applyFont="1" applyNumberFormat="1">
      <alignment horizontal="center"/>
    </xf>
    <xf borderId="79" fillId="0" fontId="52" numFmtId="3" xfId="0" applyAlignment="1" applyBorder="1" applyFont="1" applyNumberFormat="1">
      <alignment horizontal="center"/>
    </xf>
    <xf borderId="81" fillId="0" fontId="52" numFmtId="3" xfId="0" applyAlignment="1" applyBorder="1" applyFont="1" applyNumberFormat="1">
      <alignment horizontal="center"/>
    </xf>
    <xf borderId="79" fillId="0" fontId="55" numFmtId="3" xfId="0" applyAlignment="1" applyBorder="1" applyFont="1" applyNumberFormat="1">
      <alignment horizontal="center"/>
    </xf>
    <xf borderId="29" fillId="0" fontId="52" numFmtId="172" xfId="0" applyAlignment="1" applyBorder="1" applyFont="1" applyNumberFormat="1">
      <alignment horizontal="center"/>
    </xf>
    <xf borderId="0" fillId="0" fontId="55" numFmtId="3" xfId="0" applyAlignment="1" applyFont="1" applyNumberFormat="1">
      <alignment horizontal="center" shrinkToFit="0" vertical="center" wrapText="1"/>
    </xf>
    <xf borderId="82" fillId="0" fontId="55" numFmtId="3" xfId="0" applyAlignment="1" applyBorder="1" applyFont="1" applyNumberFormat="1">
      <alignment horizontal="center" vertical="center"/>
    </xf>
    <xf borderId="81" fillId="0" fontId="55" numFmtId="0" xfId="0" applyAlignment="1" applyBorder="1" applyFont="1">
      <alignment horizontal="center"/>
    </xf>
    <xf borderId="81" fillId="0" fontId="55" numFmtId="10" xfId="0" applyAlignment="1" applyBorder="1" applyFont="1" applyNumberFormat="1">
      <alignment horizontal="center"/>
    </xf>
    <xf borderId="15" fillId="0" fontId="52" numFmtId="3" xfId="0" applyAlignment="1" applyBorder="1" applyFont="1" applyNumberFormat="1">
      <alignment horizontal="center"/>
    </xf>
    <xf borderId="81" fillId="0" fontId="55" numFmtId="3" xfId="0" applyAlignment="1" applyBorder="1" applyFont="1" applyNumberFormat="1">
      <alignment horizontal="center"/>
    </xf>
    <xf borderId="16" fillId="0" fontId="52" numFmtId="172" xfId="0" applyAlignment="1" applyBorder="1" applyFont="1" applyNumberFormat="1">
      <alignment horizontal="center"/>
    </xf>
    <xf borderId="83" fillId="0" fontId="5" numFmtId="0" xfId="0" applyBorder="1" applyFont="1"/>
    <xf borderId="84" fillId="0" fontId="55" numFmtId="0" xfId="0" applyAlignment="1" applyBorder="1" applyFont="1">
      <alignment horizontal="center"/>
    </xf>
    <xf borderId="84" fillId="0" fontId="55" numFmtId="10" xfId="0" applyAlignment="1" applyBorder="1" applyFont="1" applyNumberFormat="1">
      <alignment horizontal="center"/>
    </xf>
    <xf borderId="55" fillId="7" fontId="52" numFmtId="3" xfId="0" applyAlignment="1" applyBorder="1" applyFont="1" applyNumberFormat="1">
      <alignment horizontal="center"/>
    </xf>
    <xf borderId="21" fillId="0" fontId="52" numFmtId="172" xfId="0" applyAlignment="1" applyBorder="1" applyFont="1" applyNumberFormat="1">
      <alignment horizontal="center"/>
    </xf>
    <xf borderId="85" fillId="7" fontId="52" numFmtId="3" xfId="0" applyAlignment="1" applyBorder="1" applyFont="1" applyNumberFormat="1">
      <alignment horizontal="center"/>
    </xf>
    <xf borderId="80" fillId="7" fontId="52" numFmtId="3" xfId="0" applyAlignment="1" applyBorder="1" applyFont="1" applyNumberFormat="1">
      <alignment horizontal="center"/>
    </xf>
    <xf borderId="84" fillId="0" fontId="52" numFmtId="3" xfId="0" applyAlignment="1" applyBorder="1" applyFont="1" applyNumberFormat="1">
      <alignment horizontal="center"/>
    </xf>
    <xf borderId="84" fillId="0" fontId="55" numFmtId="3" xfId="0" applyAlignment="1" applyBorder="1" applyFont="1" applyNumberFormat="1">
      <alignment horizontal="center"/>
    </xf>
    <xf borderId="82" fillId="0" fontId="55" numFmtId="166" xfId="0" applyAlignment="1" applyBorder="1" applyFont="1" applyNumberFormat="1">
      <alignment horizontal="center"/>
    </xf>
    <xf borderId="15" fillId="0" fontId="55" numFmtId="10" xfId="0" applyAlignment="1" applyBorder="1" applyFont="1" applyNumberFormat="1">
      <alignment horizontal="center"/>
    </xf>
    <xf borderId="83" fillId="0" fontId="55" numFmtId="166" xfId="0" applyAlignment="1" applyBorder="1" applyFont="1" applyNumberFormat="1">
      <alignment horizontal="center"/>
    </xf>
    <xf borderId="20" fillId="0" fontId="55" numFmtId="10" xfId="0" applyAlignment="1" applyBorder="1" applyFont="1" applyNumberFormat="1">
      <alignment horizontal="center"/>
    </xf>
    <xf borderId="0" fillId="0" fontId="59" numFmtId="0" xfId="0" applyFont="1"/>
    <xf borderId="0" fillId="0" fontId="60" numFmtId="0" xfId="0" applyAlignment="1" applyFont="1">
      <alignment shrinkToFit="0" wrapText="1"/>
    </xf>
    <xf borderId="9" fillId="4" fontId="57" numFmtId="0" xfId="0" applyAlignment="1" applyBorder="1" applyFont="1">
      <alignment horizontal="center" shrinkToFit="0" wrapText="1"/>
    </xf>
    <xf borderId="0" fillId="0" fontId="48" numFmtId="0" xfId="0" applyFont="1"/>
    <xf borderId="9" fillId="0" fontId="57" numFmtId="0" xfId="0" applyAlignment="1" applyBorder="1" applyFont="1">
      <alignment horizontal="center" shrinkToFit="0" wrapText="1"/>
    </xf>
    <xf borderId="9" fillId="0" fontId="55" numFmtId="0" xfId="0" applyAlignment="1" applyBorder="1" applyFont="1">
      <alignment horizontal="center" shrinkToFit="0" wrapText="1"/>
    </xf>
    <xf borderId="9" fillId="0" fontId="48" numFmtId="0" xfId="0" applyAlignment="1" applyBorder="1" applyFont="1">
      <alignment horizontal="center"/>
    </xf>
    <xf borderId="17" fillId="0" fontId="48" numFmtId="0" xfId="0" applyAlignment="1" applyBorder="1" applyFont="1">
      <alignment horizontal="center"/>
    </xf>
    <xf borderId="9" fillId="0" fontId="49" numFmtId="3" xfId="0" applyAlignment="1" applyBorder="1" applyFont="1" applyNumberFormat="1">
      <alignment horizontal="center"/>
    </xf>
    <xf borderId="17" fillId="0" fontId="49" numFmtId="3" xfId="0" applyAlignment="1" applyBorder="1" applyFont="1" applyNumberFormat="1">
      <alignment horizontal="center"/>
    </xf>
    <xf borderId="9" fillId="0" fontId="55" numFmtId="3" xfId="0" applyAlignment="1" applyBorder="1" applyFont="1" applyNumberFormat="1">
      <alignment horizontal="center" shrinkToFit="0" wrapText="1"/>
    </xf>
    <xf borderId="9" fillId="0" fontId="49" numFmtId="9" xfId="0" applyAlignment="1" applyBorder="1" applyFont="1" applyNumberFormat="1">
      <alignment horizontal="center"/>
    </xf>
    <xf borderId="9" fillId="0" fontId="49" numFmtId="10" xfId="0" applyAlignment="1" applyBorder="1" applyFont="1" applyNumberFormat="1">
      <alignment horizontal="center"/>
    </xf>
    <xf borderId="17" fillId="0" fontId="49" numFmtId="9" xfId="0" applyAlignment="1" applyBorder="1" applyFont="1" applyNumberFormat="1">
      <alignment horizontal="center"/>
    </xf>
    <xf borderId="17" fillId="8" fontId="49" numFmtId="0" xfId="0" applyBorder="1" applyFont="1"/>
    <xf borderId="0" fillId="0" fontId="49" numFmtId="10" xfId="0" applyFont="1" applyNumberFormat="1"/>
    <xf borderId="9" fillId="0" fontId="55" numFmtId="3" xfId="0" applyAlignment="1" applyBorder="1" applyFont="1" applyNumberFormat="1">
      <alignment horizontal="center" shrinkToFit="0" vertical="center" wrapText="1"/>
    </xf>
    <xf borderId="0" fillId="0" fontId="61" numFmtId="0" xfId="0" applyAlignment="1" applyFont="1">
      <alignment horizontal="center" shrinkToFit="0" vertical="center" wrapText="1"/>
    </xf>
    <xf borderId="0" fillId="0" fontId="62" numFmtId="0" xfId="0" applyFont="1"/>
    <xf borderId="0" fillId="0" fontId="63" numFmtId="0" xfId="0" applyFont="1"/>
    <xf borderId="14" fillId="0" fontId="8" numFmtId="0" xfId="0" applyAlignment="1" applyBorder="1" applyFont="1">
      <alignment horizontal="left"/>
    </xf>
    <xf borderId="15" fillId="0" fontId="8" numFmtId="0" xfId="0" applyAlignment="1" applyBorder="1" applyFont="1">
      <alignment horizontal="center"/>
    </xf>
    <xf borderId="15" fillId="0" fontId="9" numFmtId="0" xfId="0" applyBorder="1" applyFont="1"/>
    <xf borderId="16" fillId="0" fontId="9" numFmtId="0" xfId="0" applyBorder="1" applyFont="1"/>
    <xf borderId="17" fillId="0" fontId="62" numFmtId="0" xfId="0" applyBorder="1" applyFont="1"/>
    <xf borderId="18" fillId="0" fontId="62" numFmtId="0" xfId="0" applyAlignment="1" applyBorder="1" applyFont="1">
      <alignment horizontal="right"/>
    </xf>
    <xf borderId="29" fillId="0" fontId="62" numFmtId="0" xfId="0" applyAlignment="1" applyBorder="1" applyFont="1">
      <alignment horizontal="right"/>
    </xf>
    <xf borderId="17" fillId="0" fontId="9" numFmtId="0" xfId="0" applyBorder="1" applyFont="1"/>
    <xf borderId="18" fillId="0" fontId="8" numFmtId="0" xfId="0" applyAlignment="1" applyBorder="1" applyFont="1">
      <alignment horizontal="center"/>
    </xf>
    <xf borderId="29" fillId="0" fontId="8" numFmtId="0" xfId="0" applyAlignment="1" applyBorder="1" applyFont="1">
      <alignment horizontal="center"/>
    </xf>
    <xf borderId="22" fillId="0" fontId="62" numFmtId="0" xfId="0" applyBorder="1" applyFont="1"/>
    <xf borderId="0" fillId="0" fontId="62" numFmtId="3" xfId="0" applyFont="1" applyNumberFormat="1"/>
    <xf borderId="23" fillId="0" fontId="62" numFmtId="3" xfId="0" applyBorder="1" applyFont="1" applyNumberFormat="1"/>
    <xf borderId="18" fillId="0" fontId="9" numFmtId="168" xfId="0" applyAlignment="1" applyBorder="1" applyFont="1" applyNumberFormat="1">
      <alignment horizontal="center"/>
    </xf>
    <xf borderId="29" fillId="0" fontId="9" numFmtId="168" xfId="0" applyAlignment="1" applyBorder="1" applyFont="1" applyNumberFormat="1">
      <alignment horizontal="center"/>
    </xf>
    <xf borderId="0" fillId="0" fontId="2" numFmtId="165" xfId="0" applyFont="1" applyNumberFormat="1"/>
    <xf borderId="18" fillId="0" fontId="62" numFmtId="3" xfId="0" applyBorder="1" applyFont="1" applyNumberFormat="1"/>
    <xf borderId="29" fillId="0" fontId="62" numFmtId="3" xfId="0" applyBorder="1" applyFont="1" applyNumberFormat="1"/>
    <xf borderId="15" fillId="0" fontId="8" numFmtId="165" xfId="0" applyAlignment="1" applyBorder="1" applyFont="1" applyNumberFormat="1">
      <alignment horizontal="center"/>
    </xf>
    <xf borderId="15" fillId="0" fontId="9" numFmtId="165" xfId="0" applyBorder="1" applyFont="1" applyNumberFormat="1"/>
    <xf borderId="16" fillId="0" fontId="9" numFmtId="165" xfId="0" applyBorder="1" applyFont="1" applyNumberFormat="1"/>
    <xf borderId="14" fillId="0" fontId="9" numFmtId="0" xfId="0" applyBorder="1" applyFont="1"/>
    <xf borderId="15" fillId="0" fontId="3" numFmtId="165" xfId="0" applyAlignment="1" applyBorder="1" applyFont="1" applyNumberFormat="1">
      <alignment horizontal="center"/>
    </xf>
    <xf borderId="16" fillId="0" fontId="8" numFmtId="165" xfId="0" applyAlignment="1" applyBorder="1" applyFont="1" applyNumberFormat="1">
      <alignment horizontal="center"/>
    </xf>
    <xf borderId="65" fillId="5" fontId="2" numFmtId="165" xfId="0" applyBorder="1" applyFont="1" applyNumberFormat="1"/>
    <xf borderId="28" fillId="5" fontId="2" numFmtId="165" xfId="0" applyBorder="1" applyFont="1" applyNumberFormat="1"/>
    <xf borderId="0" fillId="0" fontId="2" numFmtId="168" xfId="0" applyFont="1" applyNumberFormat="1"/>
    <xf borderId="14" fillId="0" fontId="62" numFmtId="0" xfId="0" applyBorder="1" applyFont="1"/>
    <xf borderId="15" fillId="0" fontId="62" numFmtId="0" xfId="0" applyAlignment="1" applyBorder="1" applyFont="1">
      <alignment horizontal="right"/>
    </xf>
    <xf borderId="15" fillId="0" fontId="62" numFmtId="0" xfId="0" applyAlignment="1" applyBorder="1" applyFont="1">
      <alignment horizontal="right" shrinkToFit="0" wrapText="1"/>
    </xf>
    <xf borderId="16" fillId="0" fontId="62" numFmtId="0" xfId="0" applyAlignment="1" applyBorder="1" applyFont="1">
      <alignment horizontal="right"/>
    </xf>
    <xf borderId="15" fillId="0" fontId="8" numFmtId="168" xfId="0" applyAlignment="1" applyBorder="1" applyFont="1" applyNumberFormat="1">
      <alignment horizontal="center"/>
    </xf>
    <xf borderId="15" fillId="0" fontId="9" numFmtId="168" xfId="0" applyBorder="1" applyFont="1" applyNumberFormat="1"/>
    <xf borderId="16" fillId="0" fontId="9" numFmtId="168" xfId="0" applyBorder="1" applyFont="1" applyNumberFormat="1"/>
    <xf borderId="15" fillId="0" fontId="62" numFmtId="3" xfId="0" applyBorder="1" applyFont="1" applyNumberFormat="1"/>
    <xf borderId="15" fillId="0" fontId="62" numFmtId="10" xfId="0" applyBorder="1" applyFont="1" applyNumberFormat="1"/>
    <xf borderId="15" fillId="0" fontId="62" numFmtId="165" xfId="0" applyBorder="1" applyFont="1" applyNumberFormat="1"/>
    <xf borderId="16" fillId="0" fontId="62" numFmtId="3" xfId="0" applyBorder="1" applyFont="1" applyNumberFormat="1"/>
    <xf borderId="15" fillId="0" fontId="3" numFmtId="168" xfId="0" applyAlignment="1" applyBorder="1" applyFont="1" applyNumberFormat="1">
      <alignment horizontal="center"/>
    </xf>
    <xf borderId="16" fillId="0" fontId="8" numFmtId="168" xfId="0" applyAlignment="1" applyBorder="1" applyFont="1" applyNumberFormat="1">
      <alignment horizontal="center"/>
    </xf>
    <xf borderId="0" fillId="0" fontId="62" numFmtId="165" xfId="0" applyFont="1" applyNumberFormat="1"/>
    <xf borderId="0" fillId="0" fontId="62" numFmtId="10" xfId="0" applyFont="1" applyNumberFormat="1"/>
    <xf borderId="18" fillId="0" fontId="9" numFmtId="165" xfId="0" applyBorder="1" applyFont="1" applyNumberFormat="1"/>
    <xf borderId="29" fillId="0" fontId="9" numFmtId="168" xfId="0" applyBorder="1" applyFont="1" applyNumberFormat="1"/>
    <xf borderId="19" fillId="0" fontId="62" numFmtId="0" xfId="0" applyBorder="1" applyFont="1"/>
    <xf borderId="20" fillId="0" fontId="62" numFmtId="3" xfId="0" applyBorder="1" applyFont="1" applyNumberFormat="1"/>
    <xf borderId="20" fillId="0" fontId="62" numFmtId="10" xfId="0" applyBorder="1" applyFont="1" applyNumberFormat="1"/>
    <xf borderId="20" fillId="0" fontId="62" numFmtId="165" xfId="0" applyBorder="1" applyFont="1" applyNumberFormat="1"/>
    <xf borderId="21" fillId="0" fontId="62" numFmtId="3" xfId="0" applyBorder="1" applyFont="1" applyNumberFormat="1"/>
    <xf borderId="0" fillId="0" fontId="24" numFmtId="0" xfId="0" applyAlignment="1" applyFont="1">
      <alignment horizontal="left" shrinkToFit="0" vertical="top" wrapText="1"/>
    </xf>
    <xf borderId="0" fillId="0" fontId="29" numFmtId="165" xfId="0" applyFont="1" applyNumberFormat="1"/>
    <xf borderId="0" fillId="0" fontId="64" numFmtId="0" xfId="0" applyAlignment="1" applyFont="1">
      <alignment horizontal="center" shrinkToFit="0" vertical="center" wrapText="1"/>
    </xf>
    <xf borderId="0" fillId="0" fontId="38" numFmtId="0" xfId="0" applyFont="1"/>
    <xf borderId="2" fillId="3" fontId="52" numFmtId="0" xfId="0" applyAlignment="1" applyBorder="1" applyFont="1">
      <alignment horizontal="center"/>
    </xf>
    <xf borderId="1" fillId="2" fontId="65" numFmtId="0" xfId="0" applyAlignment="1" applyBorder="1" applyFont="1">
      <alignment horizontal="center"/>
    </xf>
    <xf borderId="0" fillId="0" fontId="38" numFmtId="0" xfId="0" applyAlignment="1" applyFont="1">
      <alignment horizontal="center"/>
    </xf>
    <xf borderId="0" fillId="0" fontId="38" numFmtId="3" xfId="0" applyFont="1" applyNumberFormat="1"/>
    <xf borderId="0" fillId="0" fontId="38" numFmtId="165" xfId="0" applyFont="1" applyNumberFormat="1"/>
    <xf borderId="0" fillId="0" fontId="66" numFmtId="0" xfId="0" applyFont="1"/>
    <xf borderId="5" fillId="4" fontId="53" numFmtId="0" xfId="0" applyAlignment="1" applyBorder="1" applyFont="1">
      <alignment horizontal="center"/>
    </xf>
    <xf borderId="6" fillId="4" fontId="53" numFmtId="0" xfId="0" applyAlignment="1" applyBorder="1" applyFont="1">
      <alignment horizontal="center"/>
    </xf>
    <xf borderId="7" fillId="4" fontId="53" numFmtId="0" xfId="0" applyAlignment="1" applyBorder="1" applyFont="1">
      <alignment horizontal="center"/>
    </xf>
    <xf borderId="14" fillId="0" fontId="66" numFmtId="0" xfId="0" applyAlignment="1" applyBorder="1" applyFont="1">
      <alignment horizontal="center"/>
    </xf>
    <xf borderId="15" fillId="0" fontId="66" numFmtId="0" xfId="0" applyAlignment="1" applyBorder="1" applyFont="1">
      <alignment horizontal="center"/>
    </xf>
    <xf borderId="8" fillId="0" fontId="53" numFmtId="0" xfId="0" applyAlignment="1" applyBorder="1" applyFont="1">
      <alignment horizontal="center"/>
    </xf>
    <xf borderId="9" fillId="5" fontId="52" numFmtId="3" xfId="0" applyAlignment="1" applyBorder="1" applyFont="1" applyNumberFormat="1">
      <alignment horizontal="center"/>
    </xf>
    <xf borderId="9" fillId="6" fontId="52" numFmtId="3" xfId="0" applyAlignment="1" applyBorder="1" applyFont="1" applyNumberFormat="1">
      <alignment horizontal="center"/>
    </xf>
    <xf borderId="10" fillId="0" fontId="52" numFmtId="3" xfId="0" applyAlignment="1" applyBorder="1" applyFont="1" applyNumberFormat="1">
      <alignment horizontal="center"/>
    </xf>
    <xf borderId="22" fillId="0" fontId="66" numFmtId="0" xfId="0" applyAlignment="1" applyBorder="1" applyFont="1">
      <alignment horizontal="center"/>
    </xf>
    <xf borderId="0" fillId="0" fontId="66" numFmtId="0" xfId="0" applyAlignment="1" applyFont="1">
      <alignment horizontal="center"/>
    </xf>
    <xf borderId="23" fillId="0" fontId="66" numFmtId="0" xfId="0" applyAlignment="1" applyBorder="1" applyFont="1">
      <alignment horizontal="center"/>
    </xf>
    <xf borderId="19" fillId="0" fontId="66" numFmtId="0" xfId="0" applyAlignment="1" applyBorder="1" applyFont="1">
      <alignment horizontal="center"/>
    </xf>
    <xf borderId="20" fillId="0" fontId="66" numFmtId="0" xfId="0" applyAlignment="1" applyBorder="1" applyFont="1">
      <alignment horizontal="center"/>
    </xf>
    <xf borderId="21" fillId="0" fontId="66" numFmtId="0" xfId="0" applyAlignment="1" applyBorder="1" applyFont="1">
      <alignment horizontal="center"/>
    </xf>
    <xf borderId="14" fillId="0" fontId="38" numFmtId="0" xfId="0" applyAlignment="1" applyBorder="1" applyFont="1">
      <alignment horizontal="center"/>
    </xf>
    <xf borderId="15" fillId="0" fontId="38" numFmtId="0" xfId="0" applyBorder="1" applyFont="1"/>
    <xf borderId="14" fillId="0" fontId="38" numFmtId="3" xfId="0" applyAlignment="1" applyBorder="1" applyFont="1" applyNumberFormat="1">
      <alignment horizontal="center"/>
    </xf>
    <xf borderId="15" fillId="0" fontId="38" numFmtId="3" xfId="0" applyAlignment="1" applyBorder="1" applyFont="1" applyNumberFormat="1">
      <alignment horizontal="center"/>
    </xf>
    <xf borderId="16" fillId="0" fontId="38" numFmtId="3" xfId="0" applyAlignment="1" applyBorder="1" applyFont="1" applyNumberFormat="1">
      <alignment horizontal="center"/>
    </xf>
    <xf borderId="0" fillId="0" fontId="38" numFmtId="165" xfId="0" applyAlignment="1" applyFont="1" applyNumberFormat="1">
      <alignment horizontal="center"/>
    </xf>
    <xf borderId="23" fillId="0" fontId="38" numFmtId="165" xfId="0" applyAlignment="1" applyBorder="1" applyFont="1" applyNumberFormat="1">
      <alignment horizontal="center"/>
    </xf>
    <xf borderId="22" fillId="0" fontId="38" numFmtId="3" xfId="0" applyAlignment="1" applyBorder="1" applyFont="1" applyNumberFormat="1">
      <alignment horizontal="center"/>
    </xf>
    <xf borderId="0" fillId="0" fontId="38" numFmtId="3" xfId="0" applyAlignment="1" applyFont="1" applyNumberFormat="1">
      <alignment horizontal="center"/>
    </xf>
    <xf borderId="23" fillId="0" fontId="38" numFmtId="3" xfId="0" applyAlignment="1" applyBorder="1" applyFont="1" applyNumberFormat="1">
      <alignment horizontal="center"/>
    </xf>
    <xf borderId="22" fillId="0" fontId="38" numFmtId="0" xfId="0" applyAlignment="1" applyBorder="1" applyFont="1">
      <alignment horizontal="center"/>
    </xf>
    <xf borderId="11" fillId="0" fontId="53" numFmtId="0" xfId="0" applyAlignment="1" applyBorder="1" applyFont="1">
      <alignment horizontal="center"/>
    </xf>
    <xf borderId="12" fillId="5" fontId="52" numFmtId="3" xfId="0" applyAlignment="1" applyBorder="1" applyFont="1" applyNumberFormat="1">
      <alignment horizontal="center"/>
    </xf>
    <xf borderId="12" fillId="6" fontId="52" numFmtId="3" xfId="0" applyAlignment="1" applyBorder="1" applyFont="1" applyNumberFormat="1">
      <alignment horizontal="center"/>
    </xf>
    <xf borderId="13" fillId="0" fontId="52" numFmtId="3" xfId="0" applyAlignment="1" applyBorder="1" applyFont="1" applyNumberFormat="1">
      <alignment horizontal="center"/>
    </xf>
    <xf borderId="0" fillId="0" fontId="54" numFmtId="0" xfId="0" applyAlignment="1" applyFont="1">
      <alignment horizontal="center" shrinkToFit="0" vertical="center" wrapText="1"/>
    </xf>
    <xf borderId="19" fillId="0" fontId="38" numFmtId="0" xfId="0" applyAlignment="1" applyBorder="1" applyFont="1">
      <alignment horizontal="center"/>
    </xf>
    <xf borderId="20" fillId="0" fontId="38" numFmtId="0" xfId="0" applyBorder="1" applyFont="1"/>
    <xf borderId="19" fillId="0" fontId="38" numFmtId="3" xfId="0" applyAlignment="1" applyBorder="1" applyFont="1" applyNumberFormat="1">
      <alignment horizontal="center"/>
    </xf>
    <xf borderId="20" fillId="0" fontId="38" numFmtId="3" xfId="0" applyAlignment="1" applyBorder="1" applyFont="1" applyNumberFormat="1">
      <alignment horizontal="center"/>
    </xf>
    <xf borderId="21" fillId="0" fontId="38" numFmtId="3" xfId="0" applyAlignment="1" applyBorder="1" applyFont="1" applyNumberFormat="1">
      <alignment horizontal="center"/>
    </xf>
    <xf borderId="20" fillId="0" fontId="38" numFmtId="165" xfId="0" applyAlignment="1" applyBorder="1" applyFont="1" applyNumberFormat="1">
      <alignment horizontal="center"/>
    </xf>
    <xf borderId="21" fillId="0" fontId="38" numFmtId="165" xfId="0" applyAlignment="1" applyBorder="1" applyFont="1" applyNumberFormat="1">
      <alignment horizontal="center"/>
    </xf>
    <xf borderId="20" fillId="0" fontId="66" numFmtId="0" xfId="0" applyAlignment="1" applyBorder="1" applyFont="1">
      <alignment horizontal="right"/>
    </xf>
    <xf borderId="17" fillId="0" fontId="38" numFmtId="3" xfId="0" applyAlignment="1" applyBorder="1" applyFont="1" applyNumberFormat="1">
      <alignment horizontal="center"/>
    </xf>
    <xf borderId="18" fillId="0" fontId="38" numFmtId="3" xfId="0" applyAlignment="1" applyBorder="1" applyFont="1" applyNumberFormat="1">
      <alignment horizontal="center"/>
    </xf>
    <xf borderId="29" fillId="0" fontId="38" numFmtId="3" xfId="0" applyAlignment="1" applyBorder="1" applyFont="1" applyNumberFormat="1">
      <alignment horizontal="center"/>
    </xf>
    <xf borderId="0" fillId="0" fontId="38" numFmtId="166" xfId="0" applyAlignment="1" applyFont="1" applyNumberFormat="1">
      <alignment horizontal="center"/>
    </xf>
    <xf borderId="0" fillId="0" fontId="38" numFmtId="0" xfId="0" applyAlignment="1" applyFont="1">
      <alignment horizontal="left"/>
    </xf>
    <xf borderId="0" fillId="0" fontId="38" numFmtId="0" xfId="0" applyAlignment="1" applyFont="1">
      <alignment horizontal="right"/>
    </xf>
    <xf borderId="0" fillId="0" fontId="38" numFmtId="10" xfId="0" applyFont="1" applyNumberFormat="1"/>
    <xf borderId="0" fillId="0" fontId="66" numFmtId="3" xfId="0" applyFont="1" applyNumberFormat="1"/>
    <xf borderId="0" fillId="0" fontId="38" numFmtId="165" xfId="0" applyAlignment="1" applyFont="1" applyNumberFormat="1">
      <alignment horizontal="right"/>
    </xf>
    <xf borderId="0" fillId="0" fontId="66" numFmtId="0" xfId="0" applyAlignment="1" applyFont="1">
      <alignment horizontal="left"/>
    </xf>
    <xf borderId="9" fillId="18" fontId="38" numFmtId="0" xfId="0" applyBorder="1" applyFill="1" applyFont="1"/>
    <xf borderId="65" fillId="18" fontId="38" numFmtId="0" xfId="0" applyAlignment="1" applyBorder="1" applyFont="1">
      <alignment horizontal="center"/>
    </xf>
    <xf borderId="9" fillId="18" fontId="38" numFmtId="0" xfId="0" applyAlignment="1" applyBorder="1" applyFont="1">
      <alignment horizontal="center"/>
    </xf>
    <xf borderId="46" fillId="18" fontId="38" numFmtId="0" xfId="0" applyBorder="1" applyFont="1"/>
    <xf borderId="43" fillId="18" fontId="38" numFmtId="165" xfId="0" applyAlignment="1" applyBorder="1" applyFont="1" applyNumberFormat="1">
      <alignment horizontal="center"/>
    </xf>
    <xf borderId="46" fillId="18" fontId="38" numFmtId="165" xfId="0" applyAlignment="1" applyBorder="1" applyFont="1" applyNumberFormat="1">
      <alignment horizontal="center"/>
    </xf>
    <xf borderId="41" fillId="18" fontId="38" numFmtId="0" xfId="0" applyBorder="1" applyFont="1"/>
    <xf borderId="24" fillId="18" fontId="38" numFmtId="165" xfId="0" applyAlignment="1" applyBorder="1" applyFont="1" applyNumberFormat="1">
      <alignment horizontal="center"/>
    </xf>
    <xf borderId="41" fillId="18" fontId="38" numFmtId="165" xfId="0" applyAlignment="1" applyBorder="1" applyFont="1" applyNumberFormat="1">
      <alignment horizontal="center"/>
    </xf>
    <xf borderId="86" fillId="18" fontId="38" numFmtId="0" xfId="0" applyBorder="1" applyFont="1"/>
    <xf borderId="76" fillId="18" fontId="38" numFmtId="165" xfId="0" applyAlignment="1" applyBorder="1" applyFont="1" applyNumberFormat="1">
      <alignment horizontal="center"/>
    </xf>
    <xf borderId="86" fillId="18" fontId="38" numFmtId="165" xfId="0" applyAlignment="1" applyBorder="1" applyFont="1" applyNumberFormat="1">
      <alignment horizontal="center"/>
    </xf>
    <xf borderId="26" fillId="18" fontId="38" numFmtId="0" xfId="0" applyBorder="1" applyFont="1"/>
    <xf borderId="26" fillId="18" fontId="38" numFmtId="0" xfId="0" applyAlignment="1" applyBorder="1" applyFont="1">
      <alignment horizontal="center"/>
    </xf>
    <xf borderId="26" fillId="18" fontId="66" numFmtId="0" xfId="0" applyBorder="1" applyFont="1"/>
    <xf borderId="46" fillId="18" fontId="38" numFmtId="0" xfId="0" applyAlignment="1" applyBorder="1" applyFont="1">
      <alignment horizontal="center"/>
    </xf>
    <xf borderId="44" fillId="18" fontId="38" numFmtId="3" xfId="0" applyAlignment="1" applyBorder="1" applyFont="1" applyNumberFormat="1">
      <alignment horizontal="center"/>
    </xf>
    <xf borderId="46" fillId="18" fontId="38" numFmtId="3" xfId="0" applyAlignment="1" applyBorder="1" applyFont="1" applyNumberFormat="1">
      <alignment horizontal="center"/>
    </xf>
    <xf borderId="26" fillId="18" fontId="38" numFmtId="3" xfId="0" applyAlignment="1" applyBorder="1" applyFont="1" applyNumberFormat="1">
      <alignment horizontal="center"/>
    </xf>
    <xf borderId="41" fillId="18" fontId="38" numFmtId="3" xfId="0" applyAlignment="1" applyBorder="1" applyFont="1" applyNumberFormat="1">
      <alignment horizontal="center"/>
    </xf>
    <xf borderId="55" fillId="18" fontId="38" numFmtId="3" xfId="0" applyAlignment="1" applyBorder="1" applyFont="1" applyNumberFormat="1">
      <alignment horizontal="center"/>
    </xf>
    <xf borderId="86" fillId="18" fontId="38" numFmtId="3" xfId="0" applyAlignment="1" applyBorder="1" applyFont="1" applyNumberFormat="1">
      <alignment horizontal="center"/>
    </xf>
    <xf borderId="17" fillId="0" fontId="66" numFmtId="0" xfId="0" applyAlignment="1" applyBorder="1" applyFont="1">
      <alignment horizontal="center"/>
    </xf>
    <xf borderId="39" fillId="0" fontId="66" numFmtId="0" xfId="0" applyAlignment="1" applyBorder="1" applyFont="1">
      <alignment horizontal="center" shrinkToFit="0" wrapText="1"/>
    </xf>
    <xf borderId="42" fillId="0" fontId="5" numFmtId="0" xfId="0" applyBorder="1" applyFont="1"/>
    <xf borderId="18" fillId="0" fontId="66" numFmtId="0" xfId="0" applyAlignment="1" applyBorder="1" applyFont="1">
      <alignment horizontal="center"/>
    </xf>
    <xf borderId="29" fillId="0" fontId="66" numFmtId="0" xfId="0" applyAlignment="1" applyBorder="1" applyFont="1">
      <alignment horizontal="center"/>
    </xf>
    <xf borderId="40" fillId="0" fontId="38" numFmtId="10" xfId="0" applyAlignment="1" applyBorder="1" applyFont="1" applyNumberFormat="1">
      <alignment horizontal="center"/>
    </xf>
    <xf borderId="18" fillId="0" fontId="66" numFmtId="0" xfId="0" applyAlignment="1" applyBorder="1" applyFont="1">
      <alignment horizontal="right"/>
    </xf>
    <xf borderId="17" fillId="0" fontId="66" numFmtId="3" xfId="0" applyAlignment="1" applyBorder="1" applyFont="1" applyNumberFormat="1">
      <alignment horizontal="center"/>
    </xf>
    <xf borderId="18" fillId="0" fontId="66" numFmtId="3" xfId="0" applyAlignment="1" applyBorder="1" applyFont="1" applyNumberFormat="1">
      <alignment horizontal="center"/>
    </xf>
    <xf borderId="29" fillId="0" fontId="66" numFmtId="3" xfId="0" applyAlignment="1" applyBorder="1" applyFont="1" applyNumberFormat="1">
      <alignment horizontal="center"/>
    </xf>
    <xf borderId="9" fillId="0" fontId="66" numFmtId="10" xfId="0" applyAlignment="1" applyBorder="1" applyFont="1" applyNumberFormat="1">
      <alignment horizontal="center"/>
    </xf>
    <xf borderId="0" fillId="0" fontId="38" numFmtId="168" xfId="0" applyFont="1" applyNumberFormat="1"/>
    <xf borderId="0" fillId="0" fontId="67" numFmtId="0" xfId="0" applyAlignment="1" applyFont="1">
      <alignment horizontal="center" shrinkToFit="0" vertical="center" wrapText="1"/>
    </xf>
    <xf borderId="0" fillId="0" fontId="68" numFmtId="0" xfId="0" applyAlignment="1" applyFont="1">
      <alignment horizontal="center"/>
    </xf>
    <xf borderId="27" fillId="17" fontId="69" numFmtId="0" xfId="0" applyAlignment="1" applyBorder="1" applyFont="1">
      <alignment horizontal="center"/>
    </xf>
    <xf borderId="27" fillId="13" fontId="70" numFmtId="0" xfId="0" applyAlignment="1" applyBorder="1" applyFont="1">
      <alignment horizontal="center"/>
    </xf>
    <xf borderId="65" fillId="13" fontId="70" numFmtId="0" xfId="0" applyAlignment="1" applyBorder="1" applyFont="1">
      <alignment horizontal="center"/>
    </xf>
    <xf borderId="9" fillId="13" fontId="70" numFmtId="0" xfId="0" applyAlignment="1" applyBorder="1" applyFont="1">
      <alignment horizontal="center"/>
    </xf>
    <xf borderId="39" fillId="0" fontId="3" numFmtId="165" xfId="0" applyAlignment="1" applyBorder="1" applyFont="1" applyNumberFormat="1">
      <alignment horizontal="center"/>
    </xf>
    <xf borderId="22" fillId="0" fontId="2" numFmtId="168" xfId="0" applyAlignment="1" applyBorder="1" applyFont="1" applyNumberFormat="1">
      <alignment horizontal="center"/>
    </xf>
    <xf borderId="39" fillId="0" fontId="3" numFmtId="168" xfId="0" applyAlignment="1" applyBorder="1" applyFont="1" applyNumberFormat="1">
      <alignment horizontal="center"/>
    </xf>
    <xf borderId="16" fillId="0" fontId="8" numFmtId="0" xfId="0" applyAlignment="1" applyBorder="1" applyFont="1">
      <alignment horizontal="center"/>
    </xf>
    <xf borderId="40" fillId="0" fontId="3" numFmtId="165" xfId="0" applyAlignment="1" applyBorder="1" applyFont="1" applyNumberFormat="1">
      <alignment horizontal="center"/>
    </xf>
    <xf borderId="40" fillId="0" fontId="3" numFmtId="168" xfId="0" applyAlignment="1" applyBorder="1" applyFont="1" applyNumberFormat="1">
      <alignment horizontal="center"/>
    </xf>
    <xf borderId="17" fillId="0" fontId="8" numFmtId="0" xfId="0" applyBorder="1" applyFont="1"/>
    <xf borderId="15" fillId="0" fontId="9" numFmtId="168" xfId="0" applyAlignment="1" applyBorder="1" applyFont="1" applyNumberFormat="1">
      <alignment horizontal="center"/>
    </xf>
    <xf borderId="16" fillId="0" fontId="9" numFmtId="168" xfId="0" applyAlignment="1" applyBorder="1" applyFont="1" applyNumberFormat="1">
      <alignment horizontal="center"/>
    </xf>
    <xf borderId="42" fillId="0" fontId="3" numFmtId="165" xfId="0" applyAlignment="1" applyBorder="1" applyFont="1" applyNumberFormat="1">
      <alignment horizontal="center"/>
    </xf>
    <xf borderId="42" fillId="0" fontId="3" numFmtId="168" xfId="0" applyAlignment="1" applyBorder="1" applyFont="1" applyNumberFormat="1">
      <alignment horizontal="center"/>
    </xf>
    <xf borderId="18" fillId="0" fontId="8" numFmtId="168" xfId="0" applyAlignment="1" applyBorder="1" applyFont="1" applyNumberFormat="1">
      <alignment horizontal="center"/>
    </xf>
    <xf borderId="29" fillId="0" fontId="8" numFmtId="168" xfId="0" applyAlignment="1" applyBorder="1" applyFont="1" applyNumberFormat="1">
      <alignment horizontal="center"/>
    </xf>
    <xf borderId="17" fillId="0" fontId="3" numFmtId="165" xfId="0" applyAlignment="1" applyBorder="1" applyFont="1" applyNumberFormat="1">
      <alignment horizontal="center"/>
    </xf>
    <xf borderId="17" fillId="0" fontId="3" numFmtId="168" xfId="0" applyAlignment="1" applyBorder="1" applyFont="1" applyNumberFormat="1">
      <alignment horizontal="center"/>
    </xf>
    <xf borderId="9" fillId="0" fontId="3" numFmtId="168" xfId="0" applyAlignment="1" applyBorder="1" applyFont="1" applyNumberFormat="1">
      <alignment horizontal="center"/>
    </xf>
    <xf borderId="24" fillId="5" fontId="10" numFmtId="168" xfId="0" applyAlignment="1" applyBorder="1" applyFont="1" applyNumberFormat="1">
      <alignment horizontal="center" shrinkToFit="0" vertical="top" wrapText="1"/>
    </xf>
    <xf borderId="26" fillId="5" fontId="10" numFmtId="168" xfId="0" applyAlignment="1" applyBorder="1" applyFont="1" applyNumberFormat="1">
      <alignment horizontal="center" shrinkToFit="0" vertical="top" wrapText="1"/>
    </xf>
    <xf borderId="18" fillId="0" fontId="9" numFmtId="173" xfId="0" applyAlignment="1" applyBorder="1" applyFont="1" applyNumberFormat="1">
      <alignment horizontal="center"/>
    </xf>
    <xf borderId="29" fillId="0" fontId="9" numFmtId="173" xfId="0" applyAlignment="1" applyBorder="1" applyFont="1" applyNumberFormat="1">
      <alignment horizontal="center"/>
    </xf>
    <xf borderId="0" fillId="0" fontId="29" numFmtId="0" xfId="0" applyAlignment="1" applyFont="1">
      <alignment horizontal="left" vertical="top"/>
    </xf>
    <xf borderId="0" fillId="0" fontId="29" numFmtId="0" xfId="0" applyAlignment="1" applyFont="1">
      <alignment horizontal="right" vertical="top"/>
    </xf>
    <xf borderId="24" fillId="5" fontId="2" numFmtId="168" xfId="0" applyAlignment="1" applyBorder="1" applyFont="1" applyNumberFormat="1">
      <alignment horizontal="center"/>
    </xf>
    <xf borderId="26" fillId="5" fontId="2" numFmtId="168" xfId="0" applyAlignment="1" applyBorder="1" applyFont="1" applyNumberFormat="1">
      <alignment horizontal="center"/>
    </xf>
    <xf borderId="0" fillId="0" fontId="44" numFmtId="0" xfId="0" applyAlignment="1" applyFont="1">
      <alignment horizontal="center" vertical="center"/>
    </xf>
    <xf borderId="0" fillId="0" fontId="44" numFmtId="0" xfId="0" applyAlignment="1" applyFont="1">
      <alignment vertical="center"/>
    </xf>
    <xf borderId="0" fillId="0" fontId="45" numFmtId="165" xfId="0" applyAlignment="1" applyFont="1" applyNumberFormat="1">
      <alignment horizontal="center" vertical="center"/>
    </xf>
    <xf borderId="0" fillId="0" fontId="47" numFmtId="0" xfId="0" applyAlignment="1" applyFont="1">
      <alignment horizontal="center" shrinkToFit="0" vertical="center" wrapText="1"/>
    </xf>
    <xf borderId="0" fillId="0" fontId="45" numFmtId="174" xfId="0" applyAlignment="1" applyFont="1" applyNumberFormat="1">
      <alignment horizontal="center" vertical="center"/>
    </xf>
    <xf borderId="27" fillId="13" fontId="71" numFmtId="165" xfId="0" applyAlignment="1" applyBorder="1" applyFont="1" applyNumberFormat="1">
      <alignment horizontal="center"/>
    </xf>
    <xf borderId="0" fillId="0" fontId="45" numFmtId="172" xfId="0" applyAlignment="1" applyFont="1" applyNumberFormat="1">
      <alignment horizontal="center" vertical="center"/>
    </xf>
    <xf borderId="22" fillId="0" fontId="2" numFmtId="173" xfId="0" applyAlignment="1" applyBorder="1" applyFont="1" applyNumberFormat="1">
      <alignment horizontal="center"/>
    </xf>
    <xf borderId="0" fillId="0" fontId="2" numFmtId="173" xfId="0" applyAlignment="1" applyFont="1" applyNumberFormat="1">
      <alignment horizontal="center"/>
    </xf>
    <xf borderId="39" fillId="0" fontId="2" numFmtId="173" xfId="0" applyAlignment="1" applyBorder="1" applyFont="1" applyNumberFormat="1">
      <alignment horizontal="center"/>
    </xf>
    <xf borderId="0" fillId="0" fontId="72" numFmtId="0" xfId="0" applyAlignment="1" applyFont="1">
      <alignment horizontal="left" vertical="top"/>
    </xf>
    <xf borderId="0" fillId="0" fontId="45" numFmtId="0" xfId="0" applyAlignment="1" applyFont="1">
      <alignment horizontal="center" vertical="top"/>
    </xf>
    <xf borderId="40" fillId="0" fontId="2" numFmtId="173" xfId="0" applyAlignment="1" applyBorder="1" applyFont="1" applyNumberFormat="1">
      <alignment horizontal="center"/>
    </xf>
    <xf borderId="42" fillId="0" fontId="2" numFmtId="173" xfId="0" applyAlignment="1" applyBorder="1" applyFont="1" applyNumberFormat="1">
      <alignment horizontal="center"/>
    </xf>
    <xf borderId="17" fillId="0" fontId="3" numFmtId="173" xfId="0" applyAlignment="1" applyBorder="1" applyFont="1" applyNumberFormat="1">
      <alignment horizontal="center"/>
    </xf>
    <xf borderId="18" fillId="0" fontId="3" numFmtId="173" xfId="0" applyAlignment="1" applyBorder="1" applyFont="1" applyNumberFormat="1">
      <alignment horizontal="center"/>
    </xf>
    <xf borderId="9" fillId="0" fontId="3" numFmtId="173" xfId="0" applyAlignment="1" applyBorder="1" applyFont="1" applyNumberFormat="1">
      <alignment horizontal="center"/>
    </xf>
  </cellXfs>
  <cellStyles count="1">
    <cellStyle xfId="0" name="Normal" builtinId="0"/>
  </cellStyles>
  <dxfs count="4">
    <dxf>
      <font>
        <b/>
        <i/>
        <u/>
        <color rgb="FFFFFFFF"/>
      </font>
      <fill>
        <patternFill patternType="solid">
          <fgColor rgb="FF980000"/>
          <bgColor rgb="FF980000"/>
        </patternFill>
      </fill>
      <border/>
    </dxf>
    <dxf>
      <font/>
      <fill>
        <patternFill patternType="solid">
          <fgColor rgb="FFB7E1CD"/>
          <bgColor rgb="FFB7E1CD"/>
        </patternFill>
      </fill>
      <border/>
    </dxf>
    <dxf>
      <font>
        <b/>
        <color theme="0"/>
      </font>
      <fill>
        <patternFill patternType="solid">
          <fgColor rgb="FF980000"/>
          <bgColor rgb="FF980000"/>
        </patternFill>
      </fill>
      <border/>
    </dxf>
    <dxf>
      <font>
        <color rgb="FFFF0000"/>
      </font>
      <fill>
        <patternFill patternType="none"/>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docs.google.com/spreadsheets/d/16o26avt11eNbQTdY8bgf8e4G4Mskqme1yI30mjRNa-0/edit" TargetMode="External"/><Relationship Id="rId3" Type="http://schemas.openxmlformats.org/officeDocument/2006/relationships/hyperlink" Target="https://docs.google.com/spreadsheets/d/16o26avt11eNbQTdY8bgf8e4G4Mskqme1yI30mjRNa-0/edit" TargetMode="External"/><Relationship Id="rId4" Type="http://schemas.openxmlformats.org/officeDocument/2006/relationships/drawing" Target="../drawings/drawing3.xml"/><Relationship Id="rId5"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ocs.google.com/spreadsheets/d/1VFVUz-khofQbFKwun0y7S7ju4X7VdOwi-LnvOmLMJC8/edit"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CD668"/>
    <pageSetUpPr/>
  </sheetPr>
  <sheetViews>
    <sheetView workbookViewId="0">
      <pane xSplit="2.0" ySplit="6.0" topLeftCell="C7" activePane="bottomRight" state="frozen"/>
      <selection activeCell="C1" sqref="C1" pane="topRight"/>
      <selection activeCell="A7" sqref="A7" pane="bottomLeft"/>
      <selection activeCell="C7" sqref="C7" pane="bottomRight"/>
    </sheetView>
  </sheetViews>
  <sheetFormatPr customHeight="1" defaultColWidth="12.63" defaultRowHeight="15.0"/>
  <cols>
    <col customWidth="1" min="1" max="1" width="6.88"/>
    <col customWidth="1" min="2" max="2" width="20.38"/>
    <col customWidth="1" min="3" max="3" width="10.0"/>
    <col customWidth="1" min="4" max="5" width="9.88"/>
    <col customWidth="1" min="6" max="6" width="12.0"/>
    <col customWidth="1" min="7" max="7" width="10.75"/>
    <col customWidth="1" min="8" max="8" width="9.25"/>
    <col customWidth="1" min="9" max="9" width="10.13"/>
    <col customWidth="1" min="10" max="10" width="9.88"/>
    <col customWidth="1" min="11" max="11" width="10.63"/>
    <col customWidth="1" min="12" max="12" width="9.13"/>
    <col customWidth="1" min="13" max="13" width="10.63"/>
    <col customWidth="1" min="14" max="14" width="10.38"/>
    <col customWidth="1" min="15" max="15" width="37.63"/>
    <col customWidth="1" hidden="1" min="16" max="16" width="10.63"/>
    <col customWidth="1" hidden="1" min="17" max="17" width="11.63"/>
    <col customWidth="1" hidden="1" min="18" max="18" width="12.25"/>
    <col customWidth="1" min="19" max="19" width="11.13"/>
    <col customWidth="1" min="20" max="20" width="12.0"/>
    <col customWidth="1" min="21" max="21" width="11.38"/>
    <col customWidth="1" min="22" max="24" width="9.13"/>
    <col customWidth="1" min="25" max="26" width="8.63"/>
  </cols>
  <sheetData>
    <row r="1" ht="15.75" customHeight="1">
      <c r="A1" s="1" t="s">
        <v>0</v>
      </c>
      <c r="C1" s="2"/>
      <c r="D1" s="3"/>
      <c r="E1" s="3"/>
      <c r="F1" s="3"/>
      <c r="G1" s="3"/>
      <c r="H1" s="4"/>
      <c r="I1" s="5">
        <v>2204.62</v>
      </c>
      <c r="J1" s="4"/>
      <c r="K1" s="6" t="s">
        <v>1</v>
      </c>
      <c r="L1" s="7"/>
      <c r="M1" s="7"/>
      <c r="N1" s="8"/>
      <c r="O1" s="9"/>
      <c r="P1" s="9"/>
      <c r="Q1" s="9"/>
      <c r="S1" s="9"/>
      <c r="T1" s="9"/>
      <c r="U1" s="9"/>
      <c r="V1" s="9"/>
      <c r="W1" s="9"/>
      <c r="X1" s="9"/>
      <c r="Y1" s="9"/>
      <c r="Z1" s="9"/>
    </row>
    <row r="2" ht="15.75" customHeight="1">
      <c r="C2" s="2"/>
      <c r="D2" s="10">
        <v>2026.0</v>
      </c>
      <c r="E2" s="11" t="s">
        <v>2</v>
      </c>
      <c r="F2" s="11" t="s">
        <v>3</v>
      </c>
      <c r="G2" s="12" t="s">
        <v>4</v>
      </c>
      <c r="H2" s="4"/>
      <c r="J2" s="4"/>
      <c r="O2" s="9"/>
      <c r="P2" s="9"/>
      <c r="Q2" s="9"/>
      <c r="S2" s="9"/>
      <c r="T2" s="9"/>
      <c r="U2" s="9"/>
      <c r="V2" s="9"/>
      <c r="W2" s="9"/>
      <c r="X2" s="9"/>
      <c r="Y2" s="9"/>
      <c r="Z2" s="9"/>
    </row>
    <row r="3" ht="15.75" customHeight="1">
      <c r="C3" s="4"/>
      <c r="D3" s="13" t="s">
        <v>5</v>
      </c>
      <c r="E3" s="14">
        <f>'TAC Sector Allocations'!J6</f>
        <v>14806.07239</v>
      </c>
      <c r="F3" s="15">
        <f>'Alloc by Sector'!D19</f>
        <v>60000262</v>
      </c>
      <c r="G3" s="16">
        <f t="shared" ref="G3:G5" si="1">E3*$I$1</f>
        <v>32641763.31</v>
      </c>
      <c r="H3" s="4"/>
      <c r="I3" s="17"/>
      <c r="J3" s="18"/>
      <c r="K3" s="4"/>
      <c r="L3" s="4"/>
      <c r="M3" s="17"/>
      <c r="N3" s="19"/>
      <c r="O3" s="9"/>
      <c r="P3" s="9"/>
      <c r="Q3" s="9"/>
      <c r="R3" s="9"/>
      <c r="S3" s="9"/>
      <c r="T3" s="9"/>
      <c r="U3" s="9"/>
      <c r="V3" s="9"/>
      <c r="W3" s="9"/>
      <c r="X3" s="9"/>
      <c r="Y3" s="9"/>
      <c r="Z3" s="9"/>
    </row>
    <row r="4" ht="15.75" customHeight="1">
      <c r="C4" s="4"/>
      <c r="D4" s="13" t="s">
        <v>6</v>
      </c>
      <c r="E4" s="14">
        <f>'TAC Sector Allocations'!J9</f>
        <v>2022.420793</v>
      </c>
      <c r="F4" s="15">
        <f>'Alloc by Sector'!D20</f>
        <v>27754394</v>
      </c>
      <c r="G4" s="16">
        <f t="shared" si="1"/>
        <v>4458669.328</v>
      </c>
      <c r="H4" s="4"/>
      <c r="I4" s="17">
        <f>G6*0.4</f>
        <v>17870480.63</v>
      </c>
      <c r="J4" s="18" t="s">
        <v>7</v>
      </c>
      <c r="K4" s="4"/>
      <c r="L4" s="4"/>
      <c r="M4" s="17"/>
      <c r="N4" s="4"/>
      <c r="O4" s="9"/>
      <c r="P4" s="9"/>
      <c r="Q4" s="9"/>
      <c r="R4" s="9"/>
      <c r="S4" s="9"/>
      <c r="T4" s="9"/>
      <c r="U4" s="9"/>
      <c r="V4" s="9"/>
      <c r="W4" s="9"/>
      <c r="X4" s="9"/>
      <c r="Y4" s="9"/>
      <c r="Z4" s="9"/>
    </row>
    <row r="5" ht="12.0" customHeight="1">
      <c r="A5" s="20"/>
      <c r="B5" s="20"/>
      <c r="C5" s="4"/>
      <c r="D5" s="13" t="s">
        <v>8</v>
      </c>
      <c r="E5" s="14">
        <f>'TAC Sector Allocations'!J12</f>
        <v>3436.31507</v>
      </c>
      <c r="F5" s="15">
        <f>'Alloc by Sector'!D21</f>
        <v>19486501</v>
      </c>
      <c r="G5" s="16">
        <f t="shared" si="1"/>
        <v>7575768.931</v>
      </c>
      <c r="H5" s="4"/>
      <c r="I5" s="17">
        <f>G3*0.08</f>
        <v>2611341.065</v>
      </c>
      <c r="J5" s="18" t="s">
        <v>9</v>
      </c>
      <c r="K5" s="4"/>
      <c r="L5" s="4"/>
      <c r="M5" s="4"/>
      <c r="N5" s="4"/>
      <c r="O5" s="9"/>
      <c r="P5" s="9"/>
      <c r="Q5" s="21"/>
      <c r="R5" s="9"/>
      <c r="S5" s="9"/>
      <c r="T5" s="9"/>
      <c r="U5" s="9"/>
      <c r="V5" s="9"/>
      <c r="W5" s="9"/>
      <c r="X5" s="9"/>
      <c r="Y5" s="9"/>
      <c r="Z5" s="9"/>
    </row>
    <row r="6" ht="12.0" customHeight="1">
      <c r="A6" s="20"/>
      <c r="B6" s="20"/>
      <c r="C6" s="4"/>
      <c r="D6" s="22" t="s">
        <v>10</v>
      </c>
      <c r="E6" s="23">
        <f t="shared" ref="E6:G6" si="2">SUM(E3:E5)</f>
        <v>20264.80825</v>
      </c>
      <c r="F6" s="24">
        <f t="shared" si="2"/>
        <v>107241157</v>
      </c>
      <c r="G6" s="25">
        <f t="shared" si="2"/>
        <v>44676201.57</v>
      </c>
      <c r="H6" s="4"/>
      <c r="L6" s="4"/>
      <c r="M6" s="4"/>
      <c r="N6" s="4"/>
      <c r="O6" s="9"/>
      <c r="P6" s="9"/>
      <c r="Q6" s="9"/>
      <c r="R6" s="9"/>
      <c r="S6" s="9"/>
      <c r="T6" s="9"/>
      <c r="U6" s="9"/>
      <c r="V6" s="9"/>
      <c r="W6" s="9"/>
      <c r="X6" s="9"/>
      <c r="Y6" s="9"/>
      <c r="Z6" s="9"/>
    </row>
    <row r="7" ht="19.5" customHeight="1">
      <c r="A7" s="26" t="s">
        <v>11</v>
      </c>
      <c r="C7" s="4"/>
      <c r="D7" s="4"/>
      <c r="E7" s="4"/>
      <c r="F7" s="4"/>
      <c r="G7" s="4"/>
      <c r="H7" s="4"/>
      <c r="I7" s="4"/>
      <c r="J7" s="4"/>
      <c r="K7" s="4"/>
      <c r="L7" s="4"/>
      <c r="M7" s="4"/>
      <c r="N7" s="4"/>
      <c r="O7" s="9"/>
      <c r="P7" s="9"/>
      <c r="Q7" s="9"/>
      <c r="R7" s="9"/>
      <c r="S7" s="9"/>
      <c r="T7" s="9"/>
      <c r="U7" s="9"/>
      <c r="V7" s="9"/>
      <c r="W7" s="9"/>
      <c r="X7" s="9"/>
      <c r="Y7" s="9"/>
      <c r="Z7" s="9"/>
    </row>
    <row r="8" ht="12.0" customHeight="1">
      <c r="A8" s="4"/>
      <c r="C8" s="27" t="s">
        <v>12</v>
      </c>
      <c r="D8" s="28"/>
      <c r="E8" s="28"/>
      <c r="F8" s="29"/>
      <c r="G8" s="27" t="s">
        <v>13</v>
      </c>
      <c r="H8" s="28"/>
      <c r="I8" s="28"/>
      <c r="J8" s="29"/>
      <c r="K8" s="27" t="s">
        <v>14</v>
      </c>
      <c r="L8" s="28"/>
      <c r="M8" s="28"/>
      <c r="N8" s="29"/>
      <c r="O8" s="9"/>
      <c r="P8" s="30" t="s">
        <v>15</v>
      </c>
      <c r="S8" s="9"/>
      <c r="T8" s="9"/>
      <c r="U8" s="9"/>
      <c r="V8" s="9"/>
      <c r="W8" s="9"/>
      <c r="X8" s="9"/>
      <c r="Y8" s="9"/>
      <c r="Z8" s="9"/>
    </row>
    <row r="9" ht="12.0" customHeight="1">
      <c r="A9" s="31" t="s">
        <v>16</v>
      </c>
      <c r="B9" s="32" t="s">
        <v>17</v>
      </c>
      <c r="D9" s="33" t="s">
        <v>5</v>
      </c>
      <c r="E9" s="34" t="s">
        <v>18</v>
      </c>
      <c r="F9" s="35" t="s">
        <v>10</v>
      </c>
      <c r="G9" s="36" t="s">
        <v>5</v>
      </c>
      <c r="H9" s="3" t="s">
        <v>6</v>
      </c>
      <c r="I9" s="3" t="s">
        <v>18</v>
      </c>
      <c r="J9" s="35" t="s">
        <v>10</v>
      </c>
      <c r="K9" s="33" t="s">
        <v>5</v>
      </c>
      <c r="L9" s="34" t="s">
        <v>6</v>
      </c>
      <c r="M9" s="34" t="s">
        <v>18</v>
      </c>
      <c r="N9" s="35" t="s">
        <v>10</v>
      </c>
      <c r="O9" s="9"/>
      <c r="P9" s="30" t="s">
        <v>19</v>
      </c>
      <c r="Q9" s="37" t="s">
        <v>6</v>
      </c>
      <c r="R9" s="37" t="s">
        <v>8</v>
      </c>
      <c r="S9" s="9"/>
      <c r="T9" s="9"/>
      <c r="U9" s="9"/>
      <c r="V9" s="9"/>
      <c r="W9" s="9"/>
      <c r="X9" s="9"/>
      <c r="Y9" s="9"/>
      <c r="Z9" s="9"/>
    </row>
    <row r="10" ht="12.0" customHeight="1">
      <c r="A10" s="38">
        <v>2696.0</v>
      </c>
      <c r="B10" s="39" t="s">
        <v>20</v>
      </c>
      <c r="C10" s="40">
        <v>1973449.0</v>
      </c>
      <c r="D10" s="41">
        <v>1253570.0</v>
      </c>
      <c r="E10" s="41">
        <v>780343.0</v>
      </c>
      <c r="F10" s="42">
        <f t="shared" ref="F10:F21" si="4">SUM(C10:E10)</f>
        <v>4007362</v>
      </c>
      <c r="G10" s="43">
        <f t="shared" ref="G10:G21" si="5">+C10/$F$3*$E$3</f>
        <v>486.9816861</v>
      </c>
      <c r="H10" s="44">
        <f t="shared" ref="H10:H21" si="6">+D10/$F$4*$E$4</f>
        <v>91.34575351</v>
      </c>
      <c r="I10" s="44">
        <f t="shared" ref="I10:I21" si="7">+E10/$F$5*$E$5</f>
        <v>137.608307</v>
      </c>
      <c r="J10" s="44">
        <f t="shared" ref="J10:J21" si="8">SUM(G10:I10)</f>
        <v>715.9357465</v>
      </c>
      <c r="K10" s="40">
        <f t="shared" ref="K10:M10" si="3">+G10*$I$1</f>
        <v>1073609.565</v>
      </c>
      <c r="L10" s="41">
        <f t="shared" si="3"/>
        <v>201382.6751</v>
      </c>
      <c r="M10" s="41">
        <f t="shared" si="3"/>
        <v>303374.0257</v>
      </c>
      <c r="N10" s="42">
        <f t="shared" ref="N10:N21" si="10">SUM(K10:M10)</f>
        <v>1578366.266</v>
      </c>
      <c r="O10" s="9"/>
      <c r="P10" s="19">
        <f t="shared" ref="P10:P22" si="11">C10/$F$3</f>
        <v>0.03289067304</v>
      </c>
      <c r="Q10" s="19">
        <f t="shared" ref="Q10:Q22" si="12">D10/$F$4</f>
        <v>0.04516654192</v>
      </c>
      <c r="R10" s="19">
        <f t="shared" ref="R10:R22" si="13">E10/$F$5</f>
        <v>0.04004531137</v>
      </c>
      <c r="S10" s="9"/>
      <c r="T10" s="9"/>
      <c r="U10" s="9"/>
      <c r="V10" s="9"/>
      <c r="W10" s="9"/>
      <c r="X10" s="9"/>
      <c r="Y10" s="9"/>
      <c r="Z10" s="9"/>
    </row>
    <row r="11" ht="12.0" customHeight="1">
      <c r="A11" s="45">
        <v>1554.0</v>
      </c>
      <c r="B11" s="46" t="s">
        <v>21</v>
      </c>
      <c r="C11" s="47">
        <v>510284.0</v>
      </c>
      <c r="D11" s="17">
        <v>238904.0</v>
      </c>
      <c r="E11" s="17">
        <v>161211.0</v>
      </c>
      <c r="F11" s="48">
        <f t="shared" si="4"/>
        <v>910399</v>
      </c>
      <c r="G11" s="49">
        <f t="shared" si="5"/>
        <v>125.9211475</v>
      </c>
      <c r="H11" s="49">
        <f t="shared" si="6"/>
        <v>17.40857383</v>
      </c>
      <c r="I11" s="49">
        <f t="shared" si="7"/>
        <v>28.42848949</v>
      </c>
      <c r="J11" s="49">
        <f t="shared" si="8"/>
        <v>171.7582109</v>
      </c>
      <c r="K11" s="47">
        <f t="shared" ref="K11:M11" si="9">+G11*$I$1</f>
        <v>277608.2803</v>
      </c>
      <c r="L11" s="17">
        <f t="shared" si="9"/>
        <v>38379.29004</v>
      </c>
      <c r="M11" s="17">
        <f t="shared" si="9"/>
        <v>62674.01649</v>
      </c>
      <c r="N11" s="48">
        <f t="shared" si="10"/>
        <v>378661.5868</v>
      </c>
      <c r="O11" s="9"/>
      <c r="P11" s="19">
        <f t="shared" si="11"/>
        <v>0.008504696196</v>
      </c>
      <c r="Q11" s="19">
        <f t="shared" si="12"/>
        <v>0.008607790175</v>
      </c>
      <c r="R11" s="19">
        <f t="shared" si="13"/>
        <v>0.008272957777</v>
      </c>
      <c r="S11" s="9"/>
      <c r="T11" s="9"/>
      <c r="U11" s="9"/>
      <c r="V11" s="9"/>
      <c r="W11" s="9"/>
      <c r="X11" s="9"/>
      <c r="Y11" s="9"/>
      <c r="Z11" s="9"/>
    </row>
    <row r="12" ht="12.0" customHeight="1">
      <c r="A12" s="45">
        <v>2165.0</v>
      </c>
      <c r="B12" s="46" t="s">
        <v>22</v>
      </c>
      <c r="C12" s="47">
        <v>1257125.0</v>
      </c>
      <c r="D12" s="17">
        <v>307669.0</v>
      </c>
      <c r="E12" s="17">
        <v>339446.0</v>
      </c>
      <c r="F12" s="48">
        <f t="shared" si="4"/>
        <v>1904240</v>
      </c>
      <c r="G12" s="50">
        <f t="shared" si="5"/>
        <v>310.216708</v>
      </c>
      <c r="H12" s="51">
        <f t="shared" si="6"/>
        <v>22.41937557</v>
      </c>
      <c r="I12" s="51">
        <f t="shared" si="7"/>
        <v>59.85904834</v>
      </c>
      <c r="J12" s="52">
        <f t="shared" si="8"/>
        <v>392.4951319</v>
      </c>
      <c r="K12" s="47">
        <f t="shared" ref="K12:M12" si="14">+G12*$I$1</f>
        <v>683909.9587</v>
      </c>
      <c r="L12" s="17">
        <f t="shared" si="14"/>
        <v>49426.20377</v>
      </c>
      <c r="M12" s="17">
        <f t="shared" si="14"/>
        <v>131966.4552</v>
      </c>
      <c r="N12" s="48">
        <f t="shared" si="10"/>
        <v>865302.6176</v>
      </c>
      <c r="O12" s="9"/>
      <c r="P12" s="19">
        <f t="shared" si="11"/>
        <v>0.02095199184</v>
      </c>
      <c r="Q12" s="19">
        <f t="shared" si="12"/>
        <v>0.01108541588</v>
      </c>
      <c r="R12" s="19">
        <f t="shared" si="13"/>
        <v>0.01741954597</v>
      </c>
      <c r="S12" s="53"/>
      <c r="T12" s="54"/>
      <c r="U12" s="9"/>
      <c r="V12" s="9"/>
      <c r="W12" s="9"/>
      <c r="X12" s="9"/>
      <c r="Y12" s="9"/>
      <c r="Z12" s="9"/>
    </row>
    <row r="13" ht="12.0" customHeight="1">
      <c r="A13" s="45">
        <v>1841.0</v>
      </c>
      <c r="B13" s="46" t="s">
        <v>23</v>
      </c>
      <c r="C13" s="47">
        <v>1479627.0</v>
      </c>
      <c r="D13" s="17">
        <v>765284.0</v>
      </c>
      <c r="E13" s="17">
        <v>437036.0</v>
      </c>
      <c r="F13" s="48">
        <f t="shared" si="4"/>
        <v>2681947</v>
      </c>
      <c r="G13" s="55">
        <f t="shared" si="5"/>
        <v>365.1228135</v>
      </c>
      <c r="H13" s="49">
        <f t="shared" si="6"/>
        <v>55.7650898</v>
      </c>
      <c r="I13" s="49">
        <f t="shared" si="7"/>
        <v>77.06839689</v>
      </c>
      <c r="J13" s="49">
        <f t="shared" si="8"/>
        <v>497.9563002</v>
      </c>
      <c r="K13" s="47">
        <f t="shared" ref="K13:M13" si="15">+G13*$I$1</f>
        <v>804957.0571</v>
      </c>
      <c r="L13" s="17">
        <f t="shared" si="15"/>
        <v>122940.8323</v>
      </c>
      <c r="M13" s="17">
        <f t="shared" si="15"/>
        <v>169906.5292</v>
      </c>
      <c r="N13" s="48">
        <f t="shared" si="10"/>
        <v>1097804.419</v>
      </c>
      <c r="O13" s="9"/>
      <c r="P13" s="19">
        <f t="shared" si="11"/>
        <v>0.02466034232</v>
      </c>
      <c r="Q13" s="19">
        <f t="shared" si="12"/>
        <v>0.02757343576</v>
      </c>
      <c r="R13" s="19">
        <f t="shared" si="13"/>
        <v>0.02242762823</v>
      </c>
      <c r="S13" s="9"/>
      <c r="T13" s="9"/>
      <c r="U13" s="9"/>
      <c r="V13" s="9"/>
      <c r="W13" s="9"/>
      <c r="X13" s="9"/>
      <c r="Y13" s="9"/>
      <c r="Z13" s="9"/>
    </row>
    <row r="14" ht="12.0" customHeight="1">
      <c r="A14" s="45">
        <v>4851.0</v>
      </c>
      <c r="B14" s="46" t="s">
        <v>24</v>
      </c>
      <c r="C14" s="47">
        <v>1100949.0</v>
      </c>
      <c r="D14" s="17">
        <v>608301.0</v>
      </c>
      <c r="E14" s="17">
        <v>260197.0</v>
      </c>
      <c r="F14" s="48">
        <f t="shared" si="4"/>
        <v>1969447</v>
      </c>
      <c r="G14" s="50">
        <f t="shared" si="5"/>
        <v>271.6776569</v>
      </c>
      <c r="H14" s="51">
        <f t="shared" si="6"/>
        <v>44.32597558</v>
      </c>
      <c r="I14" s="51">
        <f t="shared" si="7"/>
        <v>45.88401337</v>
      </c>
      <c r="J14" s="52">
        <f t="shared" si="8"/>
        <v>361.8876458</v>
      </c>
      <c r="K14" s="47">
        <f t="shared" ref="K14:M14" si="16">+G14*$I$1</f>
        <v>598945.9959</v>
      </c>
      <c r="L14" s="17">
        <f t="shared" si="16"/>
        <v>97721.93227</v>
      </c>
      <c r="M14" s="17">
        <f t="shared" si="16"/>
        <v>101156.8136</v>
      </c>
      <c r="N14" s="48">
        <f t="shared" si="10"/>
        <v>797824.7418</v>
      </c>
      <c r="O14" s="9"/>
      <c r="P14" s="19">
        <f t="shared" si="11"/>
        <v>0.01834906988</v>
      </c>
      <c r="Q14" s="19">
        <f t="shared" si="12"/>
        <v>0.02191728632</v>
      </c>
      <c r="R14" s="19">
        <f t="shared" si="13"/>
        <v>0.01335267938</v>
      </c>
      <c r="S14" s="53"/>
      <c r="T14" s="9"/>
      <c r="U14" s="9"/>
      <c r="V14" s="9"/>
      <c r="W14" s="9"/>
      <c r="X14" s="9"/>
      <c r="Y14" s="9"/>
      <c r="Z14" s="9"/>
    </row>
    <row r="15" ht="12.0" customHeight="1">
      <c r="A15" s="45">
        <v>3665.0</v>
      </c>
      <c r="B15" s="46" t="s">
        <v>25</v>
      </c>
      <c r="C15" s="47">
        <v>2506083.0</v>
      </c>
      <c r="D15" s="17">
        <v>1296343.0</v>
      </c>
      <c r="E15" s="17">
        <v>775881.0</v>
      </c>
      <c r="F15" s="48">
        <f t="shared" si="4"/>
        <v>4578307</v>
      </c>
      <c r="G15" s="55">
        <f t="shared" si="5"/>
        <v>618.4180715</v>
      </c>
      <c r="H15" s="49">
        <f t="shared" si="6"/>
        <v>94.46255744</v>
      </c>
      <c r="I15" s="49">
        <f t="shared" si="7"/>
        <v>136.8214629</v>
      </c>
      <c r="J15" s="49">
        <f t="shared" si="8"/>
        <v>849.7020918</v>
      </c>
      <c r="K15" s="47">
        <f t="shared" ref="K15:M15" si="17">+G15*$I$1</f>
        <v>1363376.849</v>
      </c>
      <c r="L15" s="17">
        <f t="shared" si="17"/>
        <v>208254.0434</v>
      </c>
      <c r="M15" s="17">
        <f t="shared" si="17"/>
        <v>301639.3335</v>
      </c>
      <c r="N15" s="48">
        <f t="shared" si="10"/>
        <v>1873270.226</v>
      </c>
      <c r="O15" s="9"/>
      <c r="P15" s="19">
        <f t="shared" si="11"/>
        <v>0.04176786761</v>
      </c>
      <c r="Q15" s="19">
        <f t="shared" si="12"/>
        <v>0.04670766726</v>
      </c>
      <c r="R15" s="19">
        <f t="shared" si="13"/>
        <v>0.03981633234</v>
      </c>
      <c r="S15" s="9"/>
      <c r="T15" s="9"/>
      <c r="U15" s="9"/>
      <c r="V15" s="9"/>
      <c r="W15" s="9"/>
      <c r="X15" s="9"/>
      <c r="Y15" s="9"/>
      <c r="Z15" s="9"/>
    </row>
    <row r="16" ht="12.0" customHeight="1">
      <c r="A16" s="45">
        <v>3496.0</v>
      </c>
      <c r="B16" s="46" t="s">
        <v>26</v>
      </c>
      <c r="C16" s="47">
        <v>972179.0</v>
      </c>
      <c r="D16" s="17">
        <v>956843.0</v>
      </c>
      <c r="E16" s="17">
        <v>663736.0</v>
      </c>
      <c r="F16" s="48">
        <f t="shared" si="4"/>
        <v>2592758</v>
      </c>
      <c r="G16" s="55">
        <f t="shared" si="5"/>
        <v>239.9014966</v>
      </c>
      <c r="H16" s="49">
        <f t="shared" si="6"/>
        <v>69.72370496</v>
      </c>
      <c r="I16" s="49">
        <f t="shared" si="7"/>
        <v>117.0454367</v>
      </c>
      <c r="J16" s="49">
        <f t="shared" si="8"/>
        <v>426.6706383</v>
      </c>
      <c r="K16" s="47">
        <f t="shared" ref="K16:M16" si="18">+G16*$I$1</f>
        <v>528891.6375</v>
      </c>
      <c r="L16" s="17">
        <f t="shared" si="18"/>
        <v>153714.2744</v>
      </c>
      <c r="M16" s="17">
        <f t="shared" si="18"/>
        <v>258040.7107</v>
      </c>
      <c r="N16" s="48">
        <f t="shared" si="10"/>
        <v>940646.6226</v>
      </c>
      <c r="O16" s="56"/>
      <c r="P16" s="19">
        <f t="shared" si="11"/>
        <v>0.01620291258</v>
      </c>
      <c r="Q16" s="19">
        <f t="shared" si="12"/>
        <v>0.03447536992</v>
      </c>
      <c r="R16" s="19">
        <f t="shared" si="13"/>
        <v>0.03406132276</v>
      </c>
      <c r="S16" s="56"/>
      <c r="T16" s="9"/>
      <c r="U16" s="9"/>
      <c r="V16" s="9"/>
      <c r="W16" s="9"/>
      <c r="X16" s="9"/>
      <c r="Y16" s="9"/>
      <c r="Z16" s="9"/>
    </row>
    <row r="17" ht="12.0" customHeight="1">
      <c r="A17" s="45">
        <v>2319.0</v>
      </c>
      <c r="B17" s="46" t="s">
        <v>27</v>
      </c>
      <c r="C17" s="47">
        <v>970988.0</v>
      </c>
      <c r="D17" s="17">
        <v>73471.0</v>
      </c>
      <c r="E17" s="17">
        <v>92582.0</v>
      </c>
      <c r="F17" s="48">
        <f t="shared" si="4"/>
        <v>1137041</v>
      </c>
      <c r="G17" s="55">
        <f t="shared" si="5"/>
        <v>239.6075974</v>
      </c>
      <c r="H17" s="49">
        <f t="shared" si="6"/>
        <v>5.353720858</v>
      </c>
      <c r="I17" s="49">
        <f t="shared" si="7"/>
        <v>16.326221</v>
      </c>
      <c r="J17" s="57">
        <f t="shared" si="8"/>
        <v>261.2875392</v>
      </c>
      <c r="K17" s="47">
        <f t="shared" ref="K17:M17" si="19">+G17*$I$1</f>
        <v>528243.7013</v>
      </c>
      <c r="L17" s="17">
        <f t="shared" si="19"/>
        <v>11802.92008</v>
      </c>
      <c r="M17" s="17">
        <f t="shared" si="19"/>
        <v>35993.11334</v>
      </c>
      <c r="N17" s="48">
        <f t="shared" si="10"/>
        <v>576039.7347</v>
      </c>
      <c r="O17" s="56"/>
      <c r="P17" s="19">
        <f t="shared" si="11"/>
        <v>0.01618306267</v>
      </c>
      <c r="Q17" s="19">
        <f t="shared" si="12"/>
        <v>0.002647184442</v>
      </c>
      <c r="R17" s="19">
        <f t="shared" si="13"/>
        <v>0.00475108384</v>
      </c>
      <c r="S17" s="56"/>
      <c r="T17" s="9"/>
      <c r="U17" s="9"/>
      <c r="V17" s="9"/>
      <c r="W17" s="9"/>
      <c r="X17" s="9"/>
      <c r="Y17" s="9"/>
      <c r="Z17" s="9"/>
    </row>
    <row r="18" ht="12.0" customHeight="1">
      <c r="A18" s="45">
        <v>3600.0</v>
      </c>
      <c r="B18" s="46" t="s">
        <v>28</v>
      </c>
      <c r="C18" s="47">
        <v>827739.0</v>
      </c>
      <c r="D18" s="17">
        <v>271795.0</v>
      </c>
      <c r="E18" s="17">
        <v>135897.0</v>
      </c>
      <c r="F18" s="48">
        <f t="shared" si="4"/>
        <v>1235431</v>
      </c>
      <c r="G18" s="55">
        <f t="shared" si="5"/>
        <v>204.2585007</v>
      </c>
      <c r="H18" s="49">
        <f t="shared" si="6"/>
        <v>19.80529135</v>
      </c>
      <c r="I18" s="49">
        <f t="shared" si="7"/>
        <v>23.96453366</v>
      </c>
      <c r="J18" s="57">
        <f t="shared" si="8"/>
        <v>248.0283257</v>
      </c>
      <c r="K18" s="47">
        <f t="shared" ref="K18:M18" si="20">+G18*$I$1</f>
        <v>450312.3757</v>
      </c>
      <c r="L18" s="17">
        <f t="shared" si="20"/>
        <v>43663.14141</v>
      </c>
      <c r="M18" s="17">
        <f t="shared" si="20"/>
        <v>52832.6902</v>
      </c>
      <c r="N18" s="48">
        <f t="shared" si="10"/>
        <v>546808.2073</v>
      </c>
      <c r="O18" s="9"/>
      <c r="P18" s="19">
        <f t="shared" si="11"/>
        <v>0.01379558976</v>
      </c>
      <c r="Q18" s="58">
        <f t="shared" si="12"/>
        <v>0.009792863789</v>
      </c>
      <c r="R18" s="19">
        <f t="shared" si="13"/>
        <v>0.006973904653</v>
      </c>
      <c r="S18" s="56"/>
      <c r="T18" s="9"/>
      <c r="U18" s="9"/>
      <c r="V18" s="9"/>
      <c r="W18" s="9"/>
      <c r="X18" s="9"/>
      <c r="Y18" s="9"/>
      <c r="Z18" s="9"/>
    </row>
    <row r="19" ht="12.0" customHeight="1">
      <c r="A19" s="45">
        <v>3896.0</v>
      </c>
      <c r="B19" s="46" t="s">
        <v>29</v>
      </c>
      <c r="C19" s="47">
        <v>1952646.0</v>
      </c>
      <c r="D19" s="17">
        <v>625968.0</v>
      </c>
      <c r="E19" s="17">
        <v>395511.0</v>
      </c>
      <c r="F19" s="48">
        <f t="shared" si="4"/>
        <v>2974125</v>
      </c>
      <c r="G19" s="55">
        <f t="shared" si="5"/>
        <v>481.8481964</v>
      </c>
      <c r="H19" s="49">
        <f t="shared" si="6"/>
        <v>45.6133432</v>
      </c>
      <c r="I19" s="49">
        <f t="shared" si="7"/>
        <v>69.74573885</v>
      </c>
      <c r="J19" s="57">
        <f t="shared" si="8"/>
        <v>597.2072785</v>
      </c>
      <c r="K19" s="47">
        <f t="shared" ref="K19:M19" si="21">+G19*$I$1</f>
        <v>1062292.171</v>
      </c>
      <c r="L19" s="17">
        <f t="shared" si="21"/>
        <v>100560.0887</v>
      </c>
      <c r="M19" s="17">
        <f t="shared" si="21"/>
        <v>153762.8508</v>
      </c>
      <c r="N19" s="48">
        <f t="shared" si="10"/>
        <v>1316615.11</v>
      </c>
      <c r="O19" s="9"/>
      <c r="P19" s="19">
        <f t="shared" si="11"/>
        <v>0.03254395789</v>
      </c>
      <c r="Q19" s="58">
        <f t="shared" si="12"/>
        <v>0.02255383418</v>
      </c>
      <c r="R19" s="19">
        <f t="shared" si="13"/>
        <v>0.02029666588</v>
      </c>
      <c r="S19" s="56"/>
      <c r="T19" s="9"/>
      <c r="U19" s="9"/>
      <c r="V19" s="9"/>
      <c r="W19" s="9"/>
      <c r="X19" s="9"/>
      <c r="Y19" s="9"/>
      <c r="Z19" s="9"/>
    </row>
    <row r="20" ht="12.0" customHeight="1">
      <c r="A20" s="59">
        <v>2565.0</v>
      </c>
      <c r="B20" s="60" t="s">
        <v>30</v>
      </c>
      <c r="C20" s="61">
        <v>2340030.0</v>
      </c>
      <c r="D20" s="62">
        <v>110213.0</v>
      </c>
      <c r="E20" s="62">
        <v>238931.0</v>
      </c>
      <c r="F20" s="63">
        <f t="shared" si="4"/>
        <v>2689174</v>
      </c>
      <c r="G20" s="55">
        <f t="shared" si="5"/>
        <v>577.4417048</v>
      </c>
      <c r="H20" s="64">
        <f t="shared" si="6"/>
        <v>8.031054932</v>
      </c>
      <c r="I20" s="64">
        <f t="shared" si="7"/>
        <v>42.13389546</v>
      </c>
      <c r="J20" s="57">
        <f t="shared" si="8"/>
        <v>627.6066552</v>
      </c>
      <c r="K20" s="61">
        <f t="shared" ref="K20:M20" si="22">+G20*$I$1</f>
        <v>1273039.531</v>
      </c>
      <c r="L20" s="62">
        <f t="shared" si="22"/>
        <v>17705.42432</v>
      </c>
      <c r="M20" s="62">
        <f t="shared" si="22"/>
        <v>92889.22862</v>
      </c>
      <c r="N20" s="63">
        <f t="shared" si="10"/>
        <v>1383634.184</v>
      </c>
      <c r="O20" s="56"/>
      <c r="P20" s="19">
        <f t="shared" si="11"/>
        <v>0.0390003297</v>
      </c>
      <c r="Q20" s="19">
        <f t="shared" si="12"/>
        <v>0.00397101086</v>
      </c>
      <c r="R20" s="19">
        <f t="shared" si="13"/>
        <v>0.0122613598</v>
      </c>
      <c r="S20" s="56"/>
      <c r="T20" s="9"/>
      <c r="U20" s="9"/>
      <c r="V20" s="9"/>
      <c r="W20" s="9"/>
      <c r="X20" s="9"/>
      <c r="Y20" s="9"/>
      <c r="Z20" s="9"/>
    </row>
    <row r="21" ht="12.0" customHeight="1">
      <c r="A21" s="65">
        <v>1755.0</v>
      </c>
      <c r="B21" s="66" t="s">
        <v>31</v>
      </c>
      <c r="C21" s="67">
        <v>167048.0</v>
      </c>
      <c r="D21" s="67">
        <v>61131.0</v>
      </c>
      <c r="E21" s="67">
        <v>23547.0</v>
      </c>
      <c r="F21" s="67">
        <f t="shared" si="4"/>
        <v>251726</v>
      </c>
      <c r="G21" s="68">
        <f t="shared" si="5"/>
        <v>41.22189968</v>
      </c>
      <c r="H21" s="69">
        <f t="shared" si="6"/>
        <v>4.454523686</v>
      </c>
      <c r="I21" s="69">
        <f t="shared" si="7"/>
        <v>4.152357109</v>
      </c>
      <c r="J21" s="70">
        <f t="shared" si="8"/>
        <v>49.82878047</v>
      </c>
      <c r="K21" s="71">
        <f t="shared" ref="K21:M21" si="23">+G21*$I$1</f>
        <v>90878.62447</v>
      </c>
      <c r="L21" s="67">
        <f t="shared" si="23"/>
        <v>9820.532009</v>
      </c>
      <c r="M21" s="67">
        <f t="shared" si="23"/>
        <v>9154.369531</v>
      </c>
      <c r="N21" s="72">
        <f t="shared" si="10"/>
        <v>109853.526</v>
      </c>
      <c r="O21" s="73" t="s">
        <v>32</v>
      </c>
      <c r="P21" s="19">
        <f t="shared" si="11"/>
        <v>0.002784121176</v>
      </c>
      <c r="Q21" s="19">
        <f t="shared" si="12"/>
        <v>0.002202570159</v>
      </c>
      <c r="R21" s="19">
        <f t="shared" si="13"/>
        <v>0.001208374967</v>
      </c>
      <c r="S21" s="53"/>
      <c r="T21" s="74"/>
      <c r="U21" s="74"/>
      <c r="V21" s="9"/>
      <c r="W21" s="9"/>
      <c r="X21" s="9"/>
      <c r="Y21" s="9"/>
      <c r="Z21" s="9"/>
    </row>
    <row r="22" ht="12.0" customHeight="1">
      <c r="A22" s="31">
        <f>COUNT(A10:A20)</f>
        <v>11</v>
      </c>
      <c r="B22" s="32" t="s">
        <v>10</v>
      </c>
      <c r="C22" s="75">
        <f t="shared" ref="C22:N22" si="24">SUM(C10:C21)</f>
        <v>16058147</v>
      </c>
      <c r="D22" s="75">
        <f t="shared" si="24"/>
        <v>6569492</v>
      </c>
      <c r="E22" s="75">
        <f t="shared" si="24"/>
        <v>4304318</v>
      </c>
      <c r="F22" s="75">
        <f t="shared" si="24"/>
        <v>26931957</v>
      </c>
      <c r="G22" s="75">
        <f t="shared" si="24"/>
        <v>3962.617479</v>
      </c>
      <c r="H22" s="75">
        <f t="shared" si="24"/>
        <v>478.7089647</v>
      </c>
      <c r="I22" s="75">
        <f t="shared" si="24"/>
        <v>759.0379007</v>
      </c>
      <c r="J22" s="75">
        <f t="shared" si="24"/>
        <v>5200.364344</v>
      </c>
      <c r="K22" s="75">
        <f t="shared" si="24"/>
        <v>8736065.747</v>
      </c>
      <c r="L22" s="75">
        <f t="shared" si="24"/>
        <v>1055371.358</v>
      </c>
      <c r="M22" s="75">
        <f t="shared" si="24"/>
        <v>1673390.137</v>
      </c>
      <c r="N22" s="75">
        <f t="shared" si="24"/>
        <v>11464827.24</v>
      </c>
      <c r="O22" s="9"/>
      <c r="P22" s="30">
        <f t="shared" si="11"/>
        <v>0.2676346147</v>
      </c>
      <c r="Q22" s="30">
        <f t="shared" si="12"/>
        <v>0.2367009707</v>
      </c>
      <c r="R22" s="30">
        <f t="shared" si="13"/>
        <v>0.220887167</v>
      </c>
      <c r="S22" s="76"/>
      <c r="T22" s="9"/>
      <c r="U22" s="9"/>
      <c r="V22" s="9"/>
      <c r="W22" s="9"/>
      <c r="X22" s="9"/>
      <c r="Y22" s="9"/>
      <c r="Z22" s="9"/>
    </row>
    <row r="23" ht="12.0" customHeight="1">
      <c r="A23" s="4"/>
      <c r="B23" s="4"/>
      <c r="C23" s="77">
        <f>C22/$F$3</f>
        <v>0.2676346147</v>
      </c>
      <c r="D23" s="19">
        <f>D22/$F$4</f>
        <v>0.2367009707</v>
      </c>
      <c r="E23" s="19">
        <f>E22/$F$5</f>
        <v>0.220887167</v>
      </c>
      <c r="F23" s="19">
        <f>F22/$F$6</f>
        <v>0.2511345248</v>
      </c>
      <c r="G23" s="77">
        <f>G22/E3</f>
        <v>0.2676346147</v>
      </c>
      <c r="H23" s="19">
        <f>H22/E4</f>
        <v>0.2367009707</v>
      </c>
      <c r="I23" s="19">
        <f>I22/E5</f>
        <v>0.220887167</v>
      </c>
      <c r="J23" s="78">
        <f>J22/E6</f>
        <v>0.2566204565</v>
      </c>
      <c r="K23" s="19">
        <f>+K22/G3</f>
        <v>0.2676346147</v>
      </c>
      <c r="L23" s="19">
        <f>+L22/G4</f>
        <v>0.2367009707</v>
      </c>
      <c r="M23" s="19">
        <f>+M22/G5</f>
        <v>0.220887167</v>
      </c>
      <c r="N23" s="78">
        <f>N22/G6</f>
        <v>0.2566204565</v>
      </c>
      <c r="O23" s="56"/>
      <c r="P23" s="56"/>
      <c r="Q23" s="79"/>
      <c r="R23" s="56"/>
      <c r="S23" s="74"/>
      <c r="T23" s="9"/>
      <c r="U23" s="9"/>
      <c r="V23" s="9"/>
      <c r="W23" s="9"/>
      <c r="X23" s="9"/>
      <c r="Y23" s="9"/>
      <c r="Z23" s="9"/>
    </row>
    <row r="24" ht="6.75" customHeight="1">
      <c r="A24" s="20"/>
      <c r="B24" s="20"/>
      <c r="C24" s="4"/>
      <c r="D24" s="4"/>
      <c r="E24" s="80"/>
      <c r="F24" s="81"/>
      <c r="G24" s="4"/>
      <c r="H24" s="4"/>
      <c r="I24" s="4"/>
      <c r="J24" s="19"/>
      <c r="K24" s="4"/>
      <c r="L24" s="4"/>
      <c r="M24" s="4"/>
      <c r="N24" s="4"/>
      <c r="O24" s="9"/>
      <c r="P24" s="9"/>
      <c r="Q24" s="79"/>
      <c r="R24" s="56"/>
      <c r="S24" s="9"/>
      <c r="T24" s="9"/>
      <c r="U24" s="9"/>
      <c r="V24" s="9"/>
      <c r="W24" s="9"/>
      <c r="X24" s="9"/>
      <c r="Y24" s="9"/>
      <c r="Z24" s="9"/>
    </row>
    <row r="25" ht="12.75" customHeight="1">
      <c r="A25" s="20"/>
      <c r="B25" s="20"/>
      <c r="C25" s="4"/>
      <c r="D25" s="4"/>
      <c r="E25" s="82" t="s">
        <v>33</v>
      </c>
      <c r="F25" s="83">
        <f>SUM(C22:E22)</f>
        <v>26931957</v>
      </c>
      <c r="G25" s="4"/>
      <c r="H25" s="4"/>
      <c r="I25" s="82" t="s">
        <v>33</v>
      </c>
      <c r="J25" s="83">
        <f>SUM(G22:I22)</f>
        <v>5200.364344</v>
      </c>
      <c r="K25" s="4"/>
      <c r="L25" s="4"/>
      <c r="M25" s="82" t="s">
        <v>33</v>
      </c>
      <c r="N25" s="83">
        <f>SUM(K22:M22)</f>
        <v>11464827.24</v>
      </c>
      <c r="O25" s="9"/>
      <c r="P25" s="9"/>
      <c r="Q25" s="79"/>
      <c r="R25" s="56"/>
      <c r="S25" s="9"/>
      <c r="T25" s="9"/>
      <c r="U25" s="9"/>
      <c r="V25" s="9"/>
      <c r="W25" s="9"/>
      <c r="X25" s="9"/>
      <c r="Y25" s="9"/>
      <c r="Z25" s="9"/>
    </row>
    <row r="26" ht="12.0" customHeight="1">
      <c r="A26" s="20"/>
      <c r="B26" s="20"/>
      <c r="C26" s="4"/>
      <c r="D26" s="4"/>
      <c r="E26" s="19"/>
      <c r="F26" s="17"/>
      <c r="G26" s="4"/>
      <c r="H26" s="4"/>
      <c r="I26" s="4"/>
      <c r="J26" s="19"/>
      <c r="K26" s="4"/>
      <c r="L26" s="4"/>
      <c r="M26" s="4"/>
      <c r="N26" s="4"/>
      <c r="O26" s="9"/>
      <c r="P26" s="9"/>
      <c r="Q26" s="79"/>
      <c r="R26" s="56"/>
      <c r="S26" s="9"/>
      <c r="T26" s="9"/>
      <c r="U26" s="9"/>
      <c r="V26" s="9"/>
      <c r="W26" s="9"/>
      <c r="X26" s="9"/>
      <c r="Y26" s="9"/>
      <c r="Z26" s="9"/>
    </row>
    <row r="27" ht="21.0" customHeight="1">
      <c r="A27" s="26" t="s">
        <v>34</v>
      </c>
      <c r="C27" s="4"/>
      <c r="D27" s="4"/>
      <c r="E27" s="19"/>
      <c r="G27" s="4"/>
      <c r="H27" s="4"/>
      <c r="I27" s="4"/>
      <c r="J27" s="19"/>
      <c r="K27" s="4"/>
      <c r="L27" s="4"/>
      <c r="M27" s="4"/>
      <c r="N27" s="4"/>
      <c r="O27" s="9"/>
      <c r="P27" s="9"/>
      <c r="Q27" s="79"/>
      <c r="R27" s="56"/>
      <c r="S27" s="9"/>
      <c r="T27" s="9"/>
      <c r="U27" s="9"/>
      <c r="V27" s="9"/>
      <c r="W27" s="9"/>
      <c r="X27" s="9"/>
      <c r="Y27" s="9"/>
      <c r="Z27" s="9"/>
    </row>
    <row r="28" ht="12.0" customHeight="1">
      <c r="A28" s="4"/>
      <c r="C28" s="27" t="s">
        <v>12</v>
      </c>
      <c r="D28" s="28"/>
      <c r="E28" s="28"/>
      <c r="F28" s="29"/>
      <c r="G28" s="27" t="s">
        <v>13</v>
      </c>
      <c r="H28" s="28"/>
      <c r="I28" s="28"/>
      <c r="J28" s="29"/>
      <c r="K28" s="27" t="s">
        <v>14</v>
      </c>
      <c r="L28" s="28"/>
      <c r="M28" s="28"/>
      <c r="N28" s="29"/>
      <c r="O28" s="9"/>
      <c r="P28" s="30" t="s">
        <v>15</v>
      </c>
      <c r="S28" s="9"/>
      <c r="T28" s="9"/>
      <c r="U28" s="9"/>
      <c r="V28" s="9"/>
      <c r="W28" s="9"/>
      <c r="X28" s="9"/>
      <c r="Y28" s="9"/>
      <c r="Z28" s="9"/>
    </row>
    <row r="29" ht="12.0" customHeight="1">
      <c r="A29" s="31" t="s">
        <v>16</v>
      </c>
      <c r="B29" s="84" t="s">
        <v>17</v>
      </c>
      <c r="C29" s="33" t="s">
        <v>5</v>
      </c>
      <c r="D29" s="34" t="s">
        <v>6</v>
      </c>
      <c r="E29" s="34" t="s">
        <v>18</v>
      </c>
      <c r="F29" s="35" t="s">
        <v>10</v>
      </c>
      <c r="G29" s="33" t="s">
        <v>5</v>
      </c>
      <c r="H29" s="34" t="s">
        <v>6</v>
      </c>
      <c r="I29" s="34" t="s">
        <v>18</v>
      </c>
      <c r="J29" s="35" t="s">
        <v>10</v>
      </c>
      <c r="K29" s="33" t="s">
        <v>5</v>
      </c>
      <c r="L29" s="34" t="s">
        <v>6</v>
      </c>
      <c r="M29" s="34" t="s">
        <v>18</v>
      </c>
      <c r="N29" s="35" t="s">
        <v>10</v>
      </c>
      <c r="O29" s="9"/>
      <c r="P29" s="30" t="s">
        <v>19</v>
      </c>
      <c r="Q29" s="37" t="s">
        <v>6</v>
      </c>
      <c r="R29" s="37" t="s">
        <v>8</v>
      </c>
      <c r="S29" s="85"/>
      <c r="T29" s="85"/>
      <c r="U29" s="85"/>
      <c r="V29" s="9"/>
      <c r="W29" s="9"/>
      <c r="X29" s="9"/>
      <c r="Y29" s="9"/>
      <c r="Z29" s="9"/>
    </row>
    <row r="30" ht="12.0" customHeight="1">
      <c r="A30" s="65">
        <v>2487.0</v>
      </c>
      <c r="B30" s="66" t="s">
        <v>35</v>
      </c>
      <c r="C30" s="67">
        <v>1345844.0</v>
      </c>
      <c r="D30" s="67">
        <v>796811.0</v>
      </c>
      <c r="E30" s="67">
        <v>820370.0</v>
      </c>
      <c r="F30" s="67">
        <f t="shared" ref="F30:F39" si="26">SUM(C30:E30)</f>
        <v>2963025</v>
      </c>
      <c r="G30" s="68">
        <f t="shared" ref="G30:G39" si="27">+C30/$F$3*$E$3</f>
        <v>332.1096113</v>
      </c>
      <c r="H30" s="69">
        <f t="shared" ref="H30:H39" si="28">+D30/$F$4*$E$4</f>
        <v>58.0624147</v>
      </c>
      <c r="I30" s="69">
        <f t="shared" ref="I30:I39" si="29">+E30/$F$5*$E$5</f>
        <v>144.6668026</v>
      </c>
      <c r="J30" s="70">
        <f t="shared" ref="J30:J39" si="30">SUM(G30:I30)</f>
        <v>534.8388286</v>
      </c>
      <c r="K30" s="71">
        <f t="shared" ref="K30:M30" si="25">+G30*$I$1</f>
        <v>732175.4913</v>
      </c>
      <c r="L30" s="67">
        <f t="shared" si="25"/>
        <v>128005.5607</v>
      </c>
      <c r="M30" s="67">
        <f t="shared" si="25"/>
        <v>318935.3264</v>
      </c>
      <c r="N30" s="72">
        <f t="shared" ref="N30:N39" si="32">SUM(K30:M30)</f>
        <v>1179116.378</v>
      </c>
      <c r="O30" s="9" t="s">
        <v>36</v>
      </c>
      <c r="P30" s="19">
        <f t="shared" ref="P30:P40" si="33">C30/$F$3</f>
        <v>0.02243063539</v>
      </c>
      <c r="Q30" s="19">
        <f t="shared" ref="Q30:Q40" si="34">D30/$F$4</f>
        <v>0.028709364</v>
      </c>
      <c r="R30" s="19">
        <f t="shared" ref="R30:R40" si="35">E30/$F$5</f>
        <v>0.04209939999</v>
      </c>
      <c r="S30" s="53"/>
      <c r="T30" s="54"/>
      <c r="U30" s="9"/>
      <c r="V30" s="9"/>
      <c r="W30" s="9"/>
      <c r="X30" s="9"/>
      <c r="Y30" s="9"/>
      <c r="Z30" s="9"/>
    </row>
    <row r="31" ht="12.0" customHeight="1">
      <c r="A31" s="45">
        <v>1541.0</v>
      </c>
      <c r="B31" s="46" t="s">
        <v>37</v>
      </c>
      <c r="C31" s="17">
        <v>1111437.0</v>
      </c>
      <c r="D31" s="17">
        <v>97033.0</v>
      </c>
      <c r="E31" s="17">
        <v>79146.0</v>
      </c>
      <c r="F31" s="17">
        <f t="shared" si="26"/>
        <v>1287616</v>
      </c>
      <c r="G31" s="50">
        <f t="shared" si="27"/>
        <v>274.265747</v>
      </c>
      <c r="H31" s="51">
        <f t="shared" si="28"/>
        <v>7.070648229</v>
      </c>
      <c r="I31" s="51">
        <f t="shared" si="29"/>
        <v>13.95687161</v>
      </c>
      <c r="J31" s="52">
        <f t="shared" si="30"/>
        <v>295.2932669</v>
      </c>
      <c r="K31" s="47">
        <f t="shared" ref="K31:M31" si="31">+G31*$I$1</f>
        <v>604651.7512</v>
      </c>
      <c r="L31" s="17">
        <f t="shared" si="31"/>
        <v>15588.0925</v>
      </c>
      <c r="M31" s="17">
        <f t="shared" si="31"/>
        <v>30769.59829</v>
      </c>
      <c r="N31" s="48">
        <f t="shared" si="32"/>
        <v>651009.442</v>
      </c>
      <c r="O31" s="9"/>
      <c r="P31" s="19">
        <f t="shared" si="33"/>
        <v>0.01852386911</v>
      </c>
      <c r="Q31" s="19">
        <f t="shared" si="34"/>
        <v>0.003496131099</v>
      </c>
      <c r="R31" s="19">
        <f t="shared" si="35"/>
        <v>0.004061580886</v>
      </c>
      <c r="S31" s="53"/>
      <c r="T31" s="54"/>
      <c r="U31" s="86"/>
      <c r="V31" s="9"/>
      <c r="W31" s="9"/>
      <c r="X31" s="9"/>
      <c r="Y31" s="9"/>
      <c r="Z31" s="9"/>
    </row>
    <row r="32" ht="12.0" customHeight="1">
      <c r="A32" s="45">
        <v>3785.0</v>
      </c>
      <c r="B32" s="46" t="s">
        <v>38</v>
      </c>
      <c r="C32" s="17">
        <v>510284.0</v>
      </c>
      <c r="D32" s="17">
        <v>238904.0</v>
      </c>
      <c r="E32" s="17">
        <v>161211.0</v>
      </c>
      <c r="F32" s="17">
        <f t="shared" si="26"/>
        <v>910399</v>
      </c>
      <c r="G32" s="50">
        <f t="shared" si="27"/>
        <v>125.9211475</v>
      </c>
      <c r="H32" s="51">
        <f t="shared" si="28"/>
        <v>17.40857383</v>
      </c>
      <c r="I32" s="51">
        <f t="shared" si="29"/>
        <v>28.42848949</v>
      </c>
      <c r="J32" s="52">
        <f t="shared" si="30"/>
        <v>171.7582109</v>
      </c>
      <c r="K32" s="47">
        <f t="shared" ref="K32:M32" si="36">+G32*$I$1</f>
        <v>277608.2803</v>
      </c>
      <c r="L32" s="17">
        <f t="shared" si="36"/>
        <v>38379.29004</v>
      </c>
      <c r="M32" s="17">
        <f t="shared" si="36"/>
        <v>62674.01649</v>
      </c>
      <c r="N32" s="48">
        <f t="shared" si="32"/>
        <v>378661.5868</v>
      </c>
      <c r="O32" s="9"/>
      <c r="P32" s="19">
        <f t="shared" si="33"/>
        <v>0.008504696196</v>
      </c>
      <c r="Q32" s="19">
        <f t="shared" si="34"/>
        <v>0.008607790175</v>
      </c>
      <c r="R32" s="19">
        <f t="shared" si="35"/>
        <v>0.008272957777</v>
      </c>
      <c r="S32" s="53"/>
      <c r="T32" s="54"/>
      <c r="U32" s="74"/>
      <c r="V32" s="9"/>
      <c r="W32" s="9"/>
      <c r="X32" s="9"/>
      <c r="Y32" s="9"/>
      <c r="Z32" s="9"/>
    </row>
    <row r="33" ht="12.0" customHeight="1">
      <c r="A33" s="45">
        <v>2653.0</v>
      </c>
      <c r="B33" s="46" t="s">
        <v>39</v>
      </c>
      <c r="C33" s="17">
        <v>194806.0</v>
      </c>
      <c r="D33" s="17">
        <v>233.0</v>
      </c>
      <c r="E33" s="17">
        <v>7609.0</v>
      </c>
      <c r="F33" s="17">
        <f t="shared" si="26"/>
        <v>202648</v>
      </c>
      <c r="G33" s="50">
        <f t="shared" si="27"/>
        <v>48.07165239</v>
      </c>
      <c r="H33" s="51">
        <f t="shared" si="28"/>
        <v>0.01697835826</v>
      </c>
      <c r="I33" s="51">
        <f t="shared" si="29"/>
        <v>1.34179663</v>
      </c>
      <c r="J33" s="52">
        <f t="shared" si="30"/>
        <v>49.43042738</v>
      </c>
      <c r="K33" s="47">
        <f t="shared" ref="K33:M33" si="37">+G33*$I$1</f>
        <v>105979.7263</v>
      </c>
      <c r="L33" s="17">
        <f t="shared" si="37"/>
        <v>37.43082819</v>
      </c>
      <c r="M33" s="17">
        <f t="shared" si="37"/>
        <v>2958.151686</v>
      </c>
      <c r="N33" s="48">
        <f t="shared" si="32"/>
        <v>108975.3088</v>
      </c>
      <c r="O33" s="9"/>
      <c r="P33" s="19">
        <f t="shared" si="33"/>
        <v>0.003246752489</v>
      </c>
      <c r="Q33" s="19">
        <f t="shared" si="34"/>
        <v>0.000008395067102</v>
      </c>
      <c r="R33" s="19">
        <f t="shared" si="35"/>
        <v>0.0003904754373</v>
      </c>
      <c r="S33" s="53"/>
      <c r="T33" s="54"/>
      <c r="U33" s="74"/>
      <c r="V33" s="9"/>
      <c r="W33" s="9"/>
      <c r="X33" s="9"/>
      <c r="Y33" s="9"/>
      <c r="Z33" s="9"/>
    </row>
    <row r="34" ht="12.0" customHeight="1">
      <c r="A34" s="45">
        <v>2973.0</v>
      </c>
      <c r="B34" s="46" t="s">
        <v>40</v>
      </c>
      <c r="C34" s="17">
        <v>1261813.0</v>
      </c>
      <c r="D34" s="17">
        <v>871860.0</v>
      </c>
      <c r="E34" s="17">
        <v>618497.0</v>
      </c>
      <c r="F34" s="17">
        <f t="shared" si="26"/>
        <v>2752170</v>
      </c>
      <c r="G34" s="50">
        <f t="shared" si="27"/>
        <v>311.3735507</v>
      </c>
      <c r="H34" s="51">
        <f t="shared" si="28"/>
        <v>63.53112204</v>
      </c>
      <c r="I34" s="51">
        <f t="shared" si="29"/>
        <v>109.0678394</v>
      </c>
      <c r="J34" s="52">
        <f t="shared" si="30"/>
        <v>483.9725122</v>
      </c>
      <c r="K34" s="47">
        <f t="shared" ref="K34:M34" si="38">+G34*$I$1</f>
        <v>686460.3573</v>
      </c>
      <c r="L34" s="17">
        <f t="shared" si="38"/>
        <v>140061.9823</v>
      </c>
      <c r="M34" s="17">
        <f t="shared" si="38"/>
        <v>240453.1402</v>
      </c>
      <c r="N34" s="48">
        <f t="shared" si="32"/>
        <v>1066975.48</v>
      </c>
      <c r="O34" s="9"/>
      <c r="P34" s="19">
        <f t="shared" si="33"/>
        <v>0.02103012484</v>
      </c>
      <c r="Q34" s="19">
        <f t="shared" si="34"/>
        <v>0.03141340431</v>
      </c>
      <c r="R34" s="19">
        <f t="shared" si="35"/>
        <v>0.03173976693</v>
      </c>
      <c r="S34" s="53"/>
      <c r="T34" s="54"/>
      <c r="U34" s="74"/>
      <c r="V34" s="9"/>
      <c r="W34" s="9"/>
      <c r="X34" s="9"/>
      <c r="Y34" s="9"/>
      <c r="Z34" s="9"/>
    </row>
    <row r="35" ht="12.0" customHeight="1">
      <c r="A35" s="45">
        <v>2535.0</v>
      </c>
      <c r="B35" s="46" t="s">
        <v>41</v>
      </c>
      <c r="C35" s="17">
        <v>1982098.0</v>
      </c>
      <c r="D35" s="17">
        <v>1343344.0</v>
      </c>
      <c r="E35" s="17">
        <v>1060363.0</v>
      </c>
      <c r="F35" s="17">
        <f t="shared" si="26"/>
        <v>4385805</v>
      </c>
      <c r="G35" s="50">
        <f t="shared" si="27"/>
        <v>489.1159721</v>
      </c>
      <c r="H35" s="51">
        <f t="shared" si="28"/>
        <v>97.88744936</v>
      </c>
      <c r="I35" s="51">
        <f t="shared" si="29"/>
        <v>186.9879748</v>
      </c>
      <c r="J35" s="52">
        <f t="shared" si="30"/>
        <v>773.9913962</v>
      </c>
      <c r="K35" s="47">
        <f t="shared" ref="K35:M35" si="39">+G35*$I$1</f>
        <v>1078314.854</v>
      </c>
      <c r="L35" s="17">
        <f t="shared" si="39"/>
        <v>215804.6286</v>
      </c>
      <c r="M35" s="17">
        <f t="shared" si="39"/>
        <v>412237.4289</v>
      </c>
      <c r="N35" s="48">
        <f t="shared" si="32"/>
        <v>1706356.912</v>
      </c>
      <c r="O35" s="9"/>
      <c r="P35" s="19">
        <f t="shared" si="33"/>
        <v>0.03303482241</v>
      </c>
      <c r="Q35" s="19">
        <f t="shared" si="34"/>
        <v>0.04840112884</v>
      </c>
      <c r="R35" s="19">
        <f t="shared" si="35"/>
        <v>0.05441525906</v>
      </c>
      <c r="S35" s="53"/>
      <c r="T35" s="74"/>
      <c r="U35" s="74"/>
      <c r="V35" s="9"/>
      <c r="W35" s="9"/>
      <c r="X35" s="9"/>
      <c r="Y35" s="9"/>
      <c r="Z35" s="9"/>
    </row>
    <row r="36" ht="12.0" customHeight="1">
      <c r="A36" s="45">
        <v>1590.0</v>
      </c>
      <c r="B36" s="46" t="s">
        <v>42</v>
      </c>
      <c r="C36" s="17">
        <v>1029074.0</v>
      </c>
      <c r="D36" s="17">
        <v>336623.0</v>
      </c>
      <c r="E36" s="17">
        <v>310881.0</v>
      </c>
      <c r="F36" s="17">
        <f t="shared" si="26"/>
        <v>1676578</v>
      </c>
      <c r="G36" s="50">
        <f t="shared" si="27"/>
        <v>253.9412934</v>
      </c>
      <c r="H36" s="51">
        <f t="shared" si="28"/>
        <v>24.52920984</v>
      </c>
      <c r="I36" s="51">
        <f t="shared" si="29"/>
        <v>54.82180025</v>
      </c>
      <c r="J36" s="52">
        <f t="shared" si="30"/>
        <v>333.2923035</v>
      </c>
      <c r="K36" s="47">
        <f t="shared" ref="K36:M36" si="40">+G36*$I$1</f>
        <v>559844.0544</v>
      </c>
      <c r="L36" s="17">
        <f t="shared" si="40"/>
        <v>54077.5866</v>
      </c>
      <c r="M36" s="17">
        <f t="shared" si="40"/>
        <v>120861.2373</v>
      </c>
      <c r="N36" s="48">
        <f t="shared" si="32"/>
        <v>734782.8782</v>
      </c>
      <c r="O36" s="9"/>
      <c r="P36" s="19">
        <f t="shared" si="33"/>
        <v>0.01715115844</v>
      </c>
      <c r="Q36" s="19">
        <f t="shared" si="34"/>
        <v>0.01212863808</v>
      </c>
      <c r="R36" s="19">
        <f t="shared" si="35"/>
        <v>0.01595365941</v>
      </c>
      <c r="S36" s="53"/>
      <c r="T36" s="9"/>
      <c r="U36" s="9"/>
      <c r="V36" s="9"/>
      <c r="W36" s="9"/>
      <c r="X36" s="9"/>
      <c r="Y36" s="9"/>
      <c r="Z36" s="9"/>
    </row>
    <row r="37" ht="12.0" customHeight="1">
      <c r="A37" s="45">
        <v>2148.0</v>
      </c>
      <c r="B37" s="46" t="s">
        <v>43</v>
      </c>
      <c r="C37" s="17">
        <v>337304.0</v>
      </c>
      <c r="D37" s="17">
        <v>4733.0</v>
      </c>
      <c r="E37" s="17">
        <v>5204.0</v>
      </c>
      <c r="F37" s="17">
        <f t="shared" si="26"/>
        <v>347241</v>
      </c>
      <c r="G37" s="50">
        <f t="shared" si="27"/>
        <v>83.23542723</v>
      </c>
      <c r="H37" s="51">
        <f t="shared" si="28"/>
        <v>0.344886565</v>
      </c>
      <c r="I37" s="51">
        <f t="shared" si="29"/>
        <v>0.917690848</v>
      </c>
      <c r="J37" s="52">
        <f t="shared" si="30"/>
        <v>84.49800465</v>
      </c>
      <c r="K37" s="47">
        <f t="shared" ref="K37:M37" si="41">+G37*$I$1</f>
        <v>183502.4876</v>
      </c>
      <c r="L37" s="17">
        <f t="shared" si="41"/>
        <v>760.343819</v>
      </c>
      <c r="M37" s="17">
        <f t="shared" si="41"/>
        <v>2023.159597</v>
      </c>
      <c r="N37" s="48">
        <f t="shared" si="32"/>
        <v>186285.991</v>
      </c>
      <c r="O37" s="9"/>
      <c r="P37" s="19">
        <f t="shared" si="33"/>
        <v>0.005621708785</v>
      </c>
      <c r="Q37" s="19">
        <f t="shared" si="34"/>
        <v>0.0001705315562</v>
      </c>
      <c r="R37" s="19">
        <f t="shared" si="35"/>
        <v>0.0002670566666</v>
      </c>
      <c r="S37" s="53"/>
      <c r="T37" s="9"/>
      <c r="U37" s="9"/>
      <c r="V37" s="9"/>
      <c r="W37" s="9"/>
      <c r="X37" s="9"/>
      <c r="Y37" s="9"/>
      <c r="Z37" s="9"/>
    </row>
    <row r="38" ht="12.0" customHeight="1">
      <c r="A38" s="45">
        <v>3764.0</v>
      </c>
      <c r="B38" s="46" t="s">
        <v>44</v>
      </c>
      <c r="C38" s="17">
        <v>400932.0</v>
      </c>
      <c r="D38" s="17">
        <v>7432.0</v>
      </c>
      <c r="E38" s="17">
        <v>18653.0</v>
      </c>
      <c r="F38" s="17">
        <f t="shared" si="26"/>
        <v>427017</v>
      </c>
      <c r="G38" s="50">
        <f t="shared" si="27"/>
        <v>98.93670491</v>
      </c>
      <c r="H38" s="51">
        <f t="shared" si="28"/>
        <v>0.5415586206</v>
      </c>
      <c r="I38" s="51">
        <f t="shared" si="29"/>
        <v>3.289332703</v>
      </c>
      <c r="J38" s="52">
        <f t="shared" si="30"/>
        <v>102.7675962</v>
      </c>
      <c r="K38" s="47">
        <f t="shared" ref="K38:M38" si="42">+G38*$I$1</f>
        <v>218117.8384</v>
      </c>
      <c r="L38" s="17">
        <f t="shared" si="42"/>
        <v>1193.930966</v>
      </c>
      <c r="M38" s="17">
        <f t="shared" si="42"/>
        <v>7251.728664</v>
      </c>
      <c r="N38" s="48">
        <f t="shared" si="32"/>
        <v>226563.498</v>
      </c>
      <c r="O38" s="9"/>
      <c r="P38" s="19">
        <f t="shared" si="33"/>
        <v>0.006682170821</v>
      </c>
      <c r="Q38" s="19">
        <f t="shared" si="34"/>
        <v>0.0002677774193</v>
      </c>
      <c r="R38" s="19">
        <f t="shared" si="35"/>
        <v>0.0009572267489</v>
      </c>
      <c r="S38" s="53"/>
      <c r="T38" s="9"/>
      <c r="U38" s="9"/>
      <c r="V38" s="9"/>
      <c r="W38" s="9"/>
      <c r="X38" s="9"/>
      <c r="Y38" s="9"/>
      <c r="Z38" s="9"/>
    </row>
    <row r="39" ht="12.0" customHeight="1">
      <c r="A39" s="45">
        <v>1183.0</v>
      </c>
      <c r="B39" s="46" t="s">
        <v>45</v>
      </c>
      <c r="C39" s="17">
        <v>1753708.0</v>
      </c>
      <c r="D39" s="17">
        <v>240585.0</v>
      </c>
      <c r="E39" s="17">
        <v>103879.0</v>
      </c>
      <c r="F39" s="17">
        <f t="shared" si="26"/>
        <v>2098172</v>
      </c>
      <c r="G39" s="50">
        <f t="shared" si="27"/>
        <v>432.7569036</v>
      </c>
      <c r="H39" s="51">
        <f t="shared" si="28"/>
        <v>17.53106576</v>
      </c>
      <c r="I39" s="51">
        <f t="shared" si="29"/>
        <v>18.31837194</v>
      </c>
      <c r="J39" s="52">
        <f t="shared" si="30"/>
        <v>468.6063413</v>
      </c>
      <c r="K39" s="47">
        <f t="shared" ref="K39:M39" si="43">+G39*$I$1</f>
        <v>954064.5249</v>
      </c>
      <c r="L39" s="17">
        <f t="shared" si="43"/>
        <v>38649.3382</v>
      </c>
      <c r="M39" s="17">
        <f t="shared" si="43"/>
        <v>40385.04916</v>
      </c>
      <c r="N39" s="48">
        <f t="shared" si="32"/>
        <v>1033098.912</v>
      </c>
      <c r="O39" s="9"/>
      <c r="P39" s="19">
        <f t="shared" si="33"/>
        <v>0.02922833904</v>
      </c>
      <c r="Q39" s="19">
        <f t="shared" si="34"/>
        <v>0.008668357162</v>
      </c>
      <c r="R39" s="19">
        <f t="shared" si="35"/>
        <v>0.005330818498</v>
      </c>
      <c r="S39" s="53"/>
      <c r="T39" s="9"/>
      <c r="U39" s="9"/>
      <c r="V39" s="9"/>
      <c r="W39" s="9"/>
      <c r="X39" s="9"/>
      <c r="Y39" s="9"/>
      <c r="Z39" s="9"/>
    </row>
    <row r="40" ht="12.0" customHeight="1">
      <c r="A40" s="31">
        <f>COUNT(A30:A39)</f>
        <v>10</v>
      </c>
      <c r="B40" s="32" t="s">
        <v>10</v>
      </c>
      <c r="C40" s="75">
        <f t="shared" ref="C40:N40" si="44">SUM(C30:C39)</f>
        <v>9927300</v>
      </c>
      <c r="D40" s="87">
        <f t="shared" si="44"/>
        <v>3937558</v>
      </c>
      <c r="E40" s="87">
        <f t="shared" si="44"/>
        <v>3185813</v>
      </c>
      <c r="F40" s="88">
        <f t="shared" si="44"/>
        <v>17050671</v>
      </c>
      <c r="G40" s="89">
        <f t="shared" si="44"/>
        <v>2449.72801</v>
      </c>
      <c r="H40" s="89">
        <f t="shared" si="44"/>
        <v>286.9239073</v>
      </c>
      <c r="I40" s="89">
        <f t="shared" si="44"/>
        <v>561.7969703</v>
      </c>
      <c r="J40" s="89">
        <f t="shared" si="44"/>
        <v>3298.448888</v>
      </c>
      <c r="K40" s="75">
        <f t="shared" si="44"/>
        <v>5400719.366</v>
      </c>
      <c r="L40" s="87">
        <f t="shared" si="44"/>
        <v>632558.1845</v>
      </c>
      <c r="M40" s="87">
        <f t="shared" si="44"/>
        <v>1238548.837</v>
      </c>
      <c r="N40" s="88">
        <f t="shared" si="44"/>
        <v>7271826.387</v>
      </c>
      <c r="O40" s="9"/>
      <c r="P40" s="30">
        <f t="shared" si="33"/>
        <v>0.1654542775</v>
      </c>
      <c r="Q40" s="30">
        <f t="shared" si="34"/>
        <v>0.1418715177</v>
      </c>
      <c r="R40" s="30">
        <f t="shared" si="35"/>
        <v>0.1634882014</v>
      </c>
      <c r="S40" s="76"/>
      <c r="T40" s="90"/>
      <c r="U40" s="9"/>
      <c r="V40" s="9"/>
      <c r="W40" s="9"/>
      <c r="X40" s="9"/>
      <c r="Y40" s="9"/>
      <c r="Z40" s="9"/>
    </row>
    <row r="41" ht="12.0" customHeight="1">
      <c r="A41" s="4"/>
      <c r="C41" s="77">
        <f>C40/F3</f>
        <v>0.1654542775</v>
      </c>
      <c r="D41" s="19">
        <f>D40/F4</f>
        <v>0.1418715177</v>
      </c>
      <c r="E41" s="19">
        <f>E40/F5</f>
        <v>0.1634882014</v>
      </c>
      <c r="F41" s="78">
        <f>F40/F6</f>
        <v>0.1589937248</v>
      </c>
      <c r="G41" s="77">
        <f>G40/E3</f>
        <v>0.1654542775</v>
      </c>
      <c r="H41" s="19">
        <f>H40/E4</f>
        <v>0.1418715177</v>
      </c>
      <c r="I41" s="19">
        <f>I40/E5</f>
        <v>0.1634882014</v>
      </c>
      <c r="J41" s="78">
        <f>J40/E6</f>
        <v>0.1627673377</v>
      </c>
      <c r="K41" s="19">
        <f>+K40/G3</f>
        <v>0.1654542775</v>
      </c>
      <c r="L41" s="19">
        <f>+L40/G4</f>
        <v>0.1418715177</v>
      </c>
      <c r="M41" s="19">
        <f>+M40/G5</f>
        <v>0.1634882014</v>
      </c>
      <c r="N41" s="78">
        <f>N40/G6</f>
        <v>0.1627673377</v>
      </c>
      <c r="O41" s="9"/>
      <c r="P41" s="9"/>
      <c r="Q41" s="79"/>
      <c r="R41" s="91"/>
      <c r="S41" s="56"/>
      <c r="T41" s="56"/>
      <c r="U41" s="86"/>
      <c r="V41" s="86"/>
      <c r="W41" s="9"/>
      <c r="X41" s="9"/>
      <c r="Y41" s="9"/>
      <c r="Z41" s="9"/>
    </row>
    <row r="42" ht="6.75" customHeight="1">
      <c r="A42" s="20"/>
      <c r="B42" s="20"/>
      <c r="C42" s="4"/>
      <c r="D42" s="4"/>
      <c r="E42" s="4"/>
      <c r="F42" s="17"/>
      <c r="G42" s="4"/>
      <c r="H42" s="4"/>
      <c r="I42" s="4"/>
      <c r="J42" s="4"/>
      <c r="K42" s="4"/>
      <c r="L42" s="4"/>
      <c r="M42" s="4"/>
      <c r="N42" s="4"/>
      <c r="O42" s="9"/>
      <c r="P42" s="56"/>
      <c r="Q42" s="79"/>
      <c r="R42" s="91"/>
      <c r="S42" s="74"/>
      <c r="T42" s="74"/>
      <c r="U42" s="74"/>
      <c r="V42" s="74"/>
      <c r="W42" s="9"/>
      <c r="X42" s="9"/>
      <c r="Y42" s="9"/>
      <c r="Z42" s="9"/>
    </row>
    <row r="43" ht="15.75" customHeight="1">
      <c r="A43" s="20"/>
      <c r="B43" s="20"/>
      <c r="C43" s="4"/>
      <c r="D43" s="4"/>
      <c r="E43" s="82" t="s">
        <v>46</v>
      </c>
      <c r="F43" s="83">
        <f>SUM(C40:E40)</f>
        <v>17050671</v>
      </c>
      <c r="G43" s="2"/>
      <c r="H43" s="2"/>
      <c r="I43" s="82" t="s">
        <v>33</v>
      </c>
      <c r="J43" s="83">
        <f>SUM(G40:I40)</f>
        <v>3298.448888</v>
      </c>
      <c r="K43" s="2"/>
      <c r="L43" s="2"/>
      <c r="M43" s="82" t="s">
        <v>33</v>
      </c>
      <c r="N43" s="83">
        <f>SUM(K40:M40)</f>
        <v>7271826.387</v>
      </c>
      <c r="O43" s="9"/>
      <c r="P43" s="56"/>
      <c r="Q43" s="79"/>
      <c r="R43" s="91"/>
      <c r="S43" s="74"/>
      <c r="T43" s="74"/>
      <c r="U43" s="74"/>
      <c r="V43" s="74"/>
      <c r="W43" s="9"/>
      <c r="X43" s="9"/>
      <c r="Y43" s="9"/>
      <c r="Z43" s="9"/>
    </row>
    <row r="44" ht="9.75" customHeight="1">
      <c r="A44" s="20"/>
      <c r="B44" s="20"/>
      <c r="C44" s="4"/>
      <c r="D44" s="4"/>
      <c r="E44" s="4"/>
      <c r="F44" s="17"/>
      <c r="G44" s="4"/>
      <c r="H44" s="4"/>
      <c r="I44" s="4"/>
      <c r="J44" s="4"/>
      <c r="K44" s="4"/>
      <c r="L44" s="4"/>
      <c r="M44" s="4"/>
      <c r="N44" s="4"/>
      <c r="O44" s="9"/>
      <c r="P44" s="56"/>
      <c r="Q44" s="79"/>
      <c r="R44" s="91"/>
      <c r="S44" s="74"/>
      <c r="T44" s="74"/>
      <c r="U44" s="74"/>
      <c r="V44" s="74"/>
      <c r="W44" s="9"/>
      <c r="X44" s="9"/>
      <c r="Y44" s="9"/>
      <c r="Z44" s="9"/>
    </row>
    <row r="45" ht="12.0" customHeight="1">
      <c r="A45" s="26" t="s">
        <v>47</v>
      </c>
      <c r="C45" s="4"/>
      <c r="D45" s="4"/>
      <c r="E45" s="4"/>
      <c r="F45" s="17"/>
      <c r="G45" s="4"/>
      <c r="H45" s="4"/>
      <c r="I45" s="4"/>
      <c r="J45" s="4"/>
      <c r="K45" s="17">
        <f>SUM(K52:K53)</f>
        <v>2163862.548</v>
      </c>
      <c r="L45" s="4"/>
      <c r="M45" s="4"/>
      <c r="N45" s="4"/>
      <c r="O45" s="9"/>
      <c r="P45" s="56"/>
      <c r="Q45" s="79"/>
      <c r="R45" s="91"/>
      <c r="S45" s="74"/>
      <c r="T45" s="74"/>
      <c r="U45" s="74"/>
      <c r="V45" s="74"/>
      <c r="W45" s="9"/>
      <c r="X45" s="9"/>
      <c r="Y45" s="9"/>
      <c r="Z45" s="9"/>
    </row>
    <row r="46" ht="12.0" customHeight="1">
      <c r="A46" s="4"/>
      <c r="C46" s="27" t="s">
        <v>12</v>
      </c>
      <c r="D46" s="28"/>
      <c r="E46" s="28"/>
      <c r="F46" s="29"/>
      <c r="G46" s="27" t="s">
        <v>13</v>
      </c>
      <c r="H46" s="28"/>
      <c r="I46" s="28"/>
      <c r="J46" s="29"/>
      <c r="K46" s="27" t="s">
        <v>14</v>
      </c>
      <c r="L46" s="28"/>
      <c r="M46" s="28"/>
      <c r="N46" s="29"/>
      <c r="O46" s="9"/>
      <c r="P46" s="30" t="s">
        <v>15</v>
      </c>
      <c r="S46" s="74"/>
      <c r="T46" s="74"/>
      <c r="U46" s="74"/>
      <c r="V46" s="74"/>
      <c r="W46" s="9"/>
      <c r="X46" s="9"/>
      <c r="Y46" s="9"/>
      <c r="Z46" s="9"/>
    </row>
    <row r="47" ht="12.0" customHeight="1">
      <c r="A47" s="31" t="s">
        <v>16</v>
      </c>
      <c r="B47" s="32" t="s">
        <v>17</v>
      </c>
      <c r="C47" s="33" t="s">
        <v>5</v>
      </c>
      <c r="D47" s="34" t="s">
        <v>6</v>
      </c>
      <c r="E47" s="34" t="s">
        <v>18</v>
      </c>
      <c r="F47" s="35" t="s">
        <v>10</v>
      </c>
      <c r="G47" s="36" t="s">
        <v>5</v>
      </c>
      <c r="H47" s="3" t="s">
        <v>6</v>
      </c>
      <c r="I47" s="3" t="s">
        <v>18</v>
      </c>
      <c r="J47" s="92" t="s">
        <v>10</v>
      </c>
      <c r="K47" s="33" t="s">
        <v>5</v>
      </c>
      <c r="L47" s="34" t="s">
        <v>6</v>
      </c>
      <c r="M47" s="34" t="s">
        <v>18</v>
      </c>
      <c r="N47" s="35" t="s">
        <v>10</v>
      </c>
      <c r="O47" s="9"/>
      <c r="P47" s="30" t="s">
        <v>19</v>
      </c>
      <c r="Q47" s="37" t="s">
        <v>6</v>
      </c>
      <c r="R47" s="37" t="s">
        <v>8</v>
      </c>
      <c r="S47" s="86"/>
      <c r="T47" s="74"/>
      <c r="U47" s="74"/>
      <c r="V47" s="74"/>
      <c r="W47" s="9"/>
      <c r="X47" s="9"/>
      <c r="Y47" s="9"/>
      <c r="Z47" s="9"/>
    </row>
    <row r="48" ht="12.0" customHeight="1">
      <c r="A48" s="38">
        <v>1367.0</v>
      </c>
      <c r="B48" s="39" t="s">
        <v>48</v>
      </c>
      <c r="C48" s="40">
        <v>840674.0</v>
      </c>
      <c r="D48" s="41">
        <v>658925.0</v>
      </c>
      <c r="E48" s="41">
        <v>484934.0</v>
      </c>
      <c r="F48" s="41">
        <f t="shared" ref="F48:F56" si="46">SUM(C48:E48)</f>
        <v>1984533</v>
      </c>
      <c r="G48" s="43">
        <f t="shared" ref="G48:G56" si="47">+C48/$F$3*$E$3</f>
        <v>207.4504292</v>
      </c>
      <c r="H48" s="44">
        <f t="shared" ref="H48:H56" si="48">+D48/$F$4*$E$4</f>
        <v>48.01487003</v>
      </c>
      <c r="I48" s="44">
        <f t="shared" ref="I48:I56" si="49">+E48/$F$5*$E$5</f>
        <v>85.51489117</v>
      </c>
      <c r="J48" s="93">
        <f t="shared" ref="J48:J56" si="50">SUM(G48:I48)</f>
        <v>340.9801904</v>
      </c>
      <c r="K48" s="41">
        <f t="shared" ref="K48:M48" si="45">+G48*$I$1</f>
        <v>457349.3651</v>
      </c>
      <c r="L48" s="41">
        <f t="shared" si="45"/>
        <v>105854.5428</v>
      </c>
      <c r="M48" s="41">
        <f t="shared" si="45"/>
        <v>188527.8394</v>
      </c>
      <c r="N48" s="42">
        <f t="shared" ref="N48:N56" si="52">SUM(K48:M48)</f>
        <v>751731.7473</v>
      </c>
      <c r="O48" s="9"/>
      <c r="P48" s="19">
        <f t="shared" ref="P48:P57" si="53">C48/$F$3</f>
        <v>0.01401117215</v>
      </c>
      <c r="Q48" s="19">
        <f t="shared" ref="Q48:Q57" si="54">D48/$F$4</f>
        <v>0.02374128579</v>
      </c>
      <c r="R48" s="19">
        <f t="shared" ref="R48:R57" si="55">E48/$F$5</f>
        <v>0.0248856375</v>
      </c>
      <c r="S48" s="56"/>
      <c r="T48" s="9"/>
      <c r="U48" s="74"/>
      <c r="V48" s="74"/>
      <c r="W48" s="9"/>
      <c r="X48" s="9"/>
      <c r="Y48" s="9"/>
      <c r="Z48" s="9"/>
    </row>
    <row r="49" ht="12.0" customHeight="1">
      <c r="A49" s="45">
        <v>5201.0</v>
      </c>
      <c r="B49" s="46" t="s">
        <v>49</v>
      </c>
      <c r="C49" s="17">
        <v>1298985.0</v>
      </c>
      <c r="D49" s="17">
        <v>785917.0</v>
      </c>
      <c r="E49" s="17">
        <v>641581.0</v>
      </c>
      <c r="F49" s="17">
        <f t="shared" si="46"/>
        <v>2726483</v>
      </c>
      <c r="G49" s="55">
        <f t="shared" si="47"/>
        <v>320.546366</v>
      </c>
      <c r="H49" s="49">
        <f t="shared" si="48"/>
        <v>57.26858537</v>
      </c>
      <c r="I49" s="49">
        <f t="shared" si="49"/>
        <v>113.1385496</v>
      </c>
      <c r="J49" s="57">
        <f t="shared" si="50"/>
        <v>490.953501</v>
      </c>
      <c r="K49" s="17">
        <f t="shared" ref="K49:M49" si="51">+G49*$I$1</f>
        <v>706682.9295</v>
      </c>
      <c r="L49" s="17">
        <f t="shared" si="51"/>
        <v>126255.4687</v>
      </c>
      <c r="M49" s="17">
        <f t="shared" si="51"/>
        <v>249427.5091</v>
      </c>
      <c r="N49" s="48">
        <f t="shared" si="52"/>
        <v>1082365.907</v>
      </c>
      <c r="O49" s="9"/>
      <c r="P49" s="19">
        <f t="shared" si="53"/>
        <v>0.02164965546</v>
      </c>
      <c r="Q49" s="19">
        <f t="shared" si="54"/>
        <v>0.02831684958</v>
      </c>
      <c r="R49" s="19">
        <f t="shared" si="55"/>
        <v>0.03292438186</v>
      </c>
      <c r="S49" s="56"/>
      <c r="T49" s="9"/>
      <c r="U49" s="9"/>
      <c r="V49" s="74"/>
      <c r="W49" s="9"/>
      <c r="X49" s="9"/>
      <c r="Y49" s="9"/>
      <c r="Z49" s="9"/>
    </row>
    <row r="50" ht="12.0" customHeight="1">
      <c r="A50" s="45">
        <v>4465.0</v>
      </c>
      <c r="B50" s="46" t="s">
        <v>50</v>
      </c>
      <c r="C50" s="47">
        <v>1897303.0</v>
      </c>
      <c r="D50" s="17">
        <v>1023701.0</v>
      </c>
      <c r="E50" s="17">
        <v>734231.0</v>
      </c>
      <c r="F50" s="17">
        <f t="shared" si="46"/>
        <v>3655235</v>
      </c>
      <c r="G50" s="55">
        <f t="shared" si="47"/>
        <v>468.1913817</v>
      </c>
      <c r="H50" s="49">
        <f t="shared" si="48"/>
        <v>74.59554649</v>
      </c>
      <c r="I50" s="49">
        <f t="shared" si="49"/>
        <v>129.4767619</v>
      </c>
      <c r="J50" s="57">
        <f t="shared" si="50"/>
        <v>672.2636901</v>
      </c>
      <c r="K50" s="17">
        <f t="shared" ref="K50:M50" si="56">+G50*$I$1</f>
        <v>1032184.084</v>
      </c>
      <c r="L50" s="17">
        <f t="shared" si="56"/>
        <v>164454.8337</v>
      </c>
      <c r="M50" s="17">
        <f t="shared" si="56"/>
        <v>285447.0589</v>
      </c>
      <c r="N50" s="48">
        <f t="shared" si="52"/>
        <v>1482085.976</v>
      </c>
      <c r="O50" s="9"/>
      <c r="P50" s="19">
        <f t="shared" si="53"/>
        <v>0.03162157859</v>
      </c>
      <c r="Q50" s="19">
        <f t="shared" si="54"/>
        <v>0.03688428578</v>
      </c>
      <c r="R50" s="19">
        <f t="shared" si="55"/>
        <v>0.03767895529</v>
      </c>
      <c r="S50" s="56"/>
      <c r="T50" s="9"/>
      <c r="U50" s="9"/>
      <c r="V50" s="74"/>
      <c r="W50" s="9"/>
      <c r="X50" s="9"/>
      <c r="Y50" s="9"/>
      <c r="Z50" s="9"/>
    </row>
    <row r="51" ht="12.0" customHeight="1">
      <c r="A51" s="45">
        <v>3504.0</v>
      </c>
      <c r="B51" s="46" t="s">
        <v>51</v>
      </c>
      <c r="C51" s="47">
        <v>0.0</v>
      </c>
      <c r="D51" s="17">
        <v>166733.0</v>
      </c>
      <c r="E51" s="17">
        <v>44060.0</v>
      </c>
      <c r="F51" s="17">
        <f t="shared" si="46"/>
        <v>210793</v>
      </c>
      <c r="G51" s="55">
        <f t="shared" si="47"/>
        <v>0</v>
      </c>
      <c r="H51" s="49">
        <f t="shared" si="48"/>
        <v>12.14958201</v>
      </c>
      <c r="I51" s="49">
        <f t="shared" si="49"/>
        <v>7.769688463</v>
      </c>
      <c r="J51" s="57">
        <f t="shared" si="50"/>
        <v>19.91927047</v>
      </c>
      <c r="K51" s="17">
        <f t="shared" ref="K51:M51" si="57">+G51*$I$1</f>
        <v>0</v>
      </c>
      <c r="L51" s="17">
        <f t="shared" si="57"/>
        <v>26785.21149</v>
      </c>
      <c r="M51" s="17">
        <f t="shared" si="57"/>
        <v>17129.21058</v>
      </c>
      <c r="N51" s="48">
        <f t="shared" si="52"/>
        <v>43914.42207</v>
      </c>
      <c r="O51" s="9"/>
      <c r="P51" s="19">
        <f t="shared" si="53"/>
        <v>0</v>
      </c>
      <c r="Q51" s="19">
        <f t="shared" si="54"/>
        <v>0.006007445163</v>
      </c>
      <c r="R51" s="19">
        <f t="shared" si="55"/>
        <v>0.002261052408</v>
      </c>
      <c r="S51" s="56"/>
      <c r="T51" s="9"/>
      <c r="U51" s="9"/>
      <c r="V51" s="74"/>
      <c r="W51" s="9"/>
      <c r="X51" s="9"/>
      <c r="Y51" s="9"/>
      <c r="Z51" s="9"/>
    </row>
    <row r="52" ht="12.0" customHeight="1">
      <c r="A52" s="45">
        <v>4852.0</v>
      </c>
      <c r="B52" s="46" t="s">
        <v>52</v>
      </c>
      <c r="C52" s="47">
        <v>2743626.0</v>
      </c>
      <c r="D52" s="17">
        <v>1713235.0</v>
      </c>
      <c r="E52" s="17">
        <v>1043160.0</v>
      </c>
      <c r="F52" s="17">
        <f t="shared" si="46"/>
        <v>5500021</v>
      </c>
      <c r="G52" s="55">
        <f t="shared" si="47"/>
        <v>677.0357964</v>
      </c>
      <c r="H52" s="49">
        <f t="shared" si="48"/>
        <v>124.8408481</v>
      </c>
      <c r="I52" s="49">
        <f t="shared" si="49"/>
        <v>183.9543399</v>
      </c>
      <c r="J52" s="57">
        <f t="shared" si="50"/>
        <v>985.8309845</v>
      </c>
      <c r="K52" s="17">
        <f t="shared" ref="K52:M52" si="58">+G52*$I$1</f>
        <v>1492606.658</v>
      </c>
      <c r="L52" s="17">
        <f t="shared" si="58"/>
        <v>275226.6306</v>
      </c>
      <c r="M52" s="17">
        <f t="shared" si="58"/>
        <v>405549.4169</v>
      </c>
      <c r="N52" s="48">
        <f t="shared" si="52"/>
        <v>2173382.705</v>
      </c>
      <c r="O52" s="9"/>
      <c r="P52" s="19">
        <f t="shared" si="53"/>
        <v>0.04572690033</v>
      </c>
      <c r="Q52" s="19">
        <f t="shared" si="54"/>
        <v>0.06172842397</v>
      </c>
      <c r="R52" s="19">
        <f t="shared" si="55"/>
        <v>0.05353244279</v>
      </c>
      <c r="S52" s="56"/>
      <c r="T52" s="9"/>
      <c r="U52" s="9"/>
      <c r="V52" s="9"/>
      <c r="W52" s="9"/>
      <c r="X52" s="9"/>
      <c r="Y52" s="9"/>
      <c r="Z52" s="9"/>
    </row>
    <row r="53" ht="12.0" customHeight="1">
      <c r="A53" s="45">
        <v>2603.0</v>
      </c>
      <c r="B53" s="46" t="s">
        <v>53</v>
      </c>
      <c r="C53" s="47">
        <v>1233865.0</v>
      </c>
      <c r="D53" s="17">
        <v>676105.0</v>
      </c>
      <c r="E53" s="17">
        <v>631919.0</v>
      </c>
      <c r="F53" s="17">
        <f t="shared" si="46"/>
        <v>2541889</v>
      </c>
      <c r="G53" s="55">
        <f t="shared" si="47"/>
        <v>304.4769123</v>
      </c>
      <c r="H53" s="49">
        <f t="shared" si="48"/>
        <v>49.2667507</v>
      </c>
      <c r="I53" s="49">
        <f t="shared" si="49"/>
        <v>111.43472</v>
      </c>
      <c r="J53" s="57">
        <f t="shared" si="50"/>
        <v>465.178383</v>
      </c>
      <c r="K53" s="17">
        <f t="shared" ref="K53:M53" si="59">+G53*$I$1</f>
        <v>671255.8904</v>
      </c>
      <c r="L53" s="17">
        <f t="shared" si="59"/>
        <v>108614.4639</v>
      </c>
      <c r="M53" s="17">
        <f t="shared" si="59"/>
        <v>245671.2124</v>
      </c>
      <c r="N53" s="48">
        <f t="shared" si="52"/>
        <v>1025541.567</v>
      </c>
      <c r="O53" s="9"/>
      <c r="P53" s="19">
        <f t="shared" si="53"/>
        <v>0.02056432687</v>
      </c>
      <c r="Q53" s="19">
        <f t="shared" si="54"/>
        <v>0.02436028688</v>
      </c>
      <c r="R53" s="19">
        <f t="shared" si="55"/>
        <v>0.03242855144</v>
      </c>
      <c r="S53" s="56"/>
      <c r="T53" s="9"/>
      <c r="U53" s="9"/>
      <c r="V53" s="9"/>
      <c r="W53" s="9"/>
      <c r="X53" s="9"/>
      <c r="Y53" s="9"/>
      <c r="Z53" s="9"/>
    </row>
    <row r="54" ht="12.0" customHeight="1">
      <c r="A54" s="45">
        <v>1619.0</v>
      </c>
      <c r="B54" s="46" t="s">
        <v>54</v>
      </c>
      <c r="C54" s="47">
        <v>1530853.0</v>
      </c>
      <c r="D54" s="17">
        <v>716713.0</v>
      </c>
      <c r="E54" s="17">
        <v>483634.0</v>
      </c>
      <c r="F54" s="17">
        <f t="shared" si="46"/>
        <v>2731200</v>
      </c>
      <c r="G54" s="55">
        <f t="shared" si="47"/>
        <v>377.7636894</v>
      </c>
      <c r="H54" s="49">
        <f t="shared" si="48"/>
        <v>52.22579436</v>
      </c>
      <c r="I54" s="49">
        <f t="shared" si="49"/>
        <v>85.28564481</v>
      </c>
      <c r="J54" s="57">
        <f t="shared" si="50"/>
        <v>515.2751286</v>
      </c>
      <c r="K54" s="17">
        <f t="shared" ref="K54:M54" si="60">+G54*$I$1</f>
        <v>832825.3849</v>
      </c>
      <c r="L54" s="17">
        <f t="shared" si="60"/>
        <v>115138.0308</v>
      </c>
      <c r="M54" s="17">
        <f t="shared" si="60"/>
        <v>188022.4383</v>
      </c>
      <c r="N54" s="48">
        <f t="shared" si="52"/>
        <v>1135985.854</v>
      </c>
      <c r="O54" s="9"/>
      <c r="P54" s="19">
        <f t="shared" si="53"/>
        <v>0.02551410526</v>
      </c>
      <c r="Q54" s="19">
        <f t="shared" si="54"/>
        <v>0.02582340656</v>
      </c>
      <c r="R54" s="19">
        <f t="shared" si="55"/>
        <v>0.02481892465</v>
      </c>
      <c r="S54" s="56"/>
      <c r="T54" s="9"/>
      <c r="U54" s="9"/>
      <c r="V54" s="9"/>
      <c r="W54" s="9"/>
      <c r="X54" s="9"/>
      <c r="Y54" s="9"/>
      <c r="Z54" s="9"/>
    </row>
    <row r="55" ht="12.0" customHeight="1">
      <c r="A55" s="45">
        <v>2188.0</v>
      </c>
      <c r="B55" s="46" t="s">
        <v>55</v>
      </c>
      <c r="C55" s="17">
        <v>465526.0</v>
      </c>
      <c r="D55" s="17">
        <v>243122.0</v>
      </c>
      <c r="E55" s="17">
        <v>361047.0</v>
      </c>
      <c r="F55" s="17">
        <f t="shared" si="46"/>
        <v>1069695</v>
      </c>
      <c r="G55" s="55">
        <f t="shared" si="47"/>
        <v>114.8763593</v>
      </c>
      <c r="H55" s="49">
        <f t="shared" si="48"/>
        <v>17.71593312</v>
      </c>
      <c r="I55" s="49">
        <f t="shared" si="49"/>
        <v>63.66824127</v>
      </c>
      <c r="J55" s="57">
        <f t="shared" si="50"/>
        <v>196.2605337</v>
      </c>
      <c r="K55" s="17">
        <f t="shared" ref="K55:M55" si="61">+G55*$I$1</f>
        <v>253258.7192</v>
      </c>
      <c r="L55" s="17">
        <f t="shared" si="61"/>
        <v>39056.90048</v>
      </c>
      <c r="M55" s="17">
        <f t="shared" si="61"/>
        <v>140364.2781</v>
      </c>
      <c r="N55" s="48">
        <f t="shared" si="52"/>
        <v>432679.8978</v>
      </c>
      <c r="O55" s="9"/>
      <c r="P55" s="19">
        <f t="shared" si="53"/>
        <v>0.007758732787</v>
      </c>
      <c r="Q55" s="19">
        <f t="shared" si="54"/>
        <v>0.008759766111</v>
      </c>
      <c r="R55" s="19">
        <f t="shared" si="55"/>
        <v>0.01852805694</v>
      </c>
      <c r="S55" s="53"/>
      <c r="T55" s="9"/>
      <c r="U55" s="9"/>
      <c r="V55" s="9"/>
      <c r="W55" s="9"/>
      <c r="X55" s="9"/>
      <c r="Y55" s="9"/>
      <c r="Z55" s="9"/>
    </row>
    <row r="56" ht="12.0" customHeight="1">
      <c r="A56" s="59">
        <v>2683.0</v>
      </c>
      <c r="B56" s="60" t="s">
        <v>56</v>
      </c>
      <c r="C56" s="17">
        <v>2451788.0</v>
      </c>
      <c r="D56" s="17">
        <v>434314.0</v>
      </c>
      <c r="E56" s="17">
        <v>309032.0</v>
      </c>
      <c r="F56" s="17">
        <f t="shared" si="46"/>
        <v>3195134</v>
      </c>
      <c r="G56" s="55">
        <f t="shared" si="47"/>
        <v>605.0198683</v>
      </c>
      <c r="H56" s="49">
        <f t="shared" si="48"/>
        <v>31.64780554</v>
      </c>
      <c r="I56" s="49">
        <f t="shared" si="49"/>
        <v>54.49574138</v>
      </c>
      <c r="J56" s="57">
        <f t="shared" si="50"/>
        <v>691.1634152</v>
      </c>
      <c r="K56" s="17">
        <f t="shared" ref="K56:M56" si="62">+G56*$I$1</f>
        <v>1333838.902</v>
      </c>
      <c r="L56" s="17">
        <f t="shared" si="62"/>
        <v>69771.38504</v>
      </c>
      <c r="M56" s="17">
        <f t="shared" si="62"/>
        <v>120142.4014</v>
      </c>
      <c r="N56" s="48">
        <f t="shared" si="52"/>
        <v>1523752.689</v>
      </c>
      <c r="O56" s="9"/>
      <c r="P56" s="19">
        <f t="shared" si="53"/>
        <v>0.0408629549</v>
      </c>
      <c r="Q56" s="19">
        <f t="shared" si="54"/>
        <v>0.01564847714</v>
      </c>
      <c r="R56" s="19">
        <f t="shared" si="55"/>
        <v>0.01585877321</v>
      </c>
      <c r="S56" s="53"/>
      <c r="T56" s="9"/>
      <c r="U56" s="9"/>
      <c r="V56" s="9"/>
      <c r="W56" s="9"/>
      <c r="X56" s="9"/>
      <c r="Y56" s="9"/>
      <c r="Z56" s="9"/>
    </row>
    <row r="57" ht="12.0" customHeight="1">
      <c r="A57" s="31">
        <f>COUNT(A48:A56)</f>
        <v>9</v>
      </c>
      <c r="B57" s="32" t="s">
        <v>10</v>
      </c>
      <c r="C57" s="75">
        <f t="shared" ref="C57:N57" si="63">SUM(C48:C56)</f>
        <v>12462620</v>
      </c>
      <c r="D57" s="87">
        <f t="shared" si="63"/>
        <v>6418765</v>
      </c>
      <c r="E57" s="87">
        <f t="shared" si="63"/>
        <v>4733598</v>
      </c>
      <c r="F57" s="87">
        <f t="shared" si="63"/>
        <v>23614983</v>
      </c>
      <c r="G57" s="94">
        <f t="shared" si="63"/>
        <v>3075.360803</v>
      </c>
      <c r="H57" s="95">
        <f t="shared" si="63"/>
        <v>467.7257158</v>
      </c>
      <c r="I57" s="95">
        <f t="shared" si="63"/>
        <v>834.7385785</v>
      </c>
      <c r="J57" s="95">
        <f t="shared" si="63"/>
        <v>4377.825097</v>
      </c>
      <c r="K57" s="75">
        <f t="shared" si="63"/>
        <v>6780001.933</v>
      </c>
      <c r="L57" s="87">
        <f t="shared" si="63"/>
        <v>1031157.467</v>
      </c>
      <c r="M57" s="87">
        <f t="shared" si="63"/>
        <v>1840281.365</v>
      </c>
      <c r="N57" s="88">
        <f t="shared" si="63"/>
        <v>9651440.765</v>
      </c>
      <c r="O57" s="9"/>
      <c r="P57" s="30">
        <f t="shared" si="53"/>
        <v>0.2077094263</v>
      </c>
      <c r="Q57" s="30">
        <f t="shared" si="54"/>
        <v>0.231270227</v>
      </c>
      <c r="R57" s="30">
        <f t="shared" si="55"/>
        <v>0.2429167761</v>
      </c>
      <c r="S57" s="56"/>
      <c r="T57" s="9"/>
      <c r="U57" s="9"/>
      <c r="V57" s="9"/>
      <c r="W57" s="9"/>
      <c r="X57" s="9"/>
      <c r="Y57" s="9"/>
      <c r="Z57" s="9"/>
    </row>
    <row r="58" ht="12.0" customHeight="1">
      <c r="A58" s="4"/>
      <c r="B58" s="4"/>
      <c r="C58" s="77">
        <f>C57/F3</f>
        <v>0.2077094263</v>
      </c>
      <c r="D58" s="19">
        <f>D57/F4</f>
        <v>0.231270227</v>
      </c>
      <c r="E58" s="19">
        <f>E57/F5</f>
        <v>0.2429167761</v>
      </c>
      <c r="F58" s="78">
        <f>F57/F6</f>
        <v>0.220204478</v>
      </c>
      <c r="G58" s="19">
        <f>G57/E3</f>
        <v>0.2077094263</v>
      </c>
      <c r="H58" s="19">
        <f>H57/E4</f>
        <v>0.231270227</v>
      </c>
      <c r="I58" s="19">
        <f>I57/E5</f>
        <v>0.2429167761</v>
      </c>
      <c r="J58" s="78">
        <f>J57/E6</f>
        <v>0.2160309164</v>
      </c>
      <c r="K58" s="19">
        <f>+K57/G3</f>
        <v>0.2077094263</v>
      </c>
      <c r="L58" s="19">
        <f>+L57/G4</f>
        <v>0.231270227</v>
      </c>
      <c r="M58" s="19">
        <f>+M57/G5</f>
        <v>0.2429167761</v>
      </c>
      <c r="N58" s="78">
        <f>N57/G6</f>
        <v>0.2160309164</v>
      </c>
      <c r="O58" s="9"/>
      <c r="P58" s="9"/>
      <c r="Q58" s="79"/>
      <c r="R58" s="91"/>
      <c r="S58" s="56"/>
      <c r="T58" s="9"/>
      <c r="U58" s="9"/>
      <c r="V58" s="9"/>
      <c r="W58" s="9"/>
      <c r="X58" s="9"/>
      <c r="Y58" s="9"/>
      <c r="Z58" s="9"/>
    </row>
    <row r="59" ht="6.0" customHeight="1">
      <c r="A59" s="20"/>
      <c r="B59" s="20"/>
      <c r="C59" s="4"/>
      <c r="D59" s="4"/>
      <c r="E59" s="4"/>
      <c r="F59" s="17"/>
      <c r="G59" s="4"/>
      <c r="H59" s="4"/>
      <c r="I59" s="4"/>
      <c r="J59" s="4"/>
      <c r="K59" s="4"/>
      <c r="L59" s="4"/>
      <c r="M59" s="4"/>
      <c r="N59" s="4"/>
      <c r="O59" s="9"/>
      <c r="P59" s="56"/>
      <c r="Q59" s="79"/>
      <c r="R59" s="91"/>
      <c r="S59" s="9"/>
      <c r="T59" s="9"/>
      <c r="U59" s="9"/>
      <c r="V59" s="9"/>
      <c r="W59" s="9"/>
      <c r="X59" s="9"/>
      <c r="Y59" s="9"/>
      <c r="Z59" s="9"/>
    </row>
    <row r="60" ht="12.0" customHeight="1">
      <c r="A60" s="20"/>
      <c r="B60" s="20"/>
      <c r="C60" s="4"/>
      <c r="D60" s="4"/>
      <c r="E60" s="82" t="s">
        <v>46</v>
      </c>
      <c r="F60" s="83">
        <f>SUM(C57:E57)</f>
        <v>23614983</v>
      </c>
      <c r="G60" s="4"/>
      <c r="H60" s="4"/>
      <c r="I60" s="82" t="s">
        <v>33</v>
      </c>
      <c r="J60" s="83">
        <f>SUM(G57:I57)</f>
        <v>4377.825097</v>
      </c>
      <c r="K60" s="4"/>
      <c r="L60" s="4"/>
      <c r="M60" s="82" t="s">
        <v>33</v>
      </c>
      <c r="N60" s="83">
        <f>SUM(K57:M57)</f>
        <v>9651440.765</v>
      </c>
      <c r="O60" s="9"/>
      <c r="P60" s="56"/>
      <c r="Q60" s="79"/>
      <c r="R60" s="91"/>
      <c r="S60" s="9"/>
      <c r="T60" s="9"/>
      <c r="U60" s="9"/>
      <c r="V60" s="9"/>
      <c r="W60" s="9"/>
      <c r="X60" s="9"/>
      <c r="Y60" s="9"/>
      <c r="Z60" s="9"/>
    </row>
    <row r="61" ht="6.75" customHeight="1">
      <c r="A61" s="20"/>
      <c r="B61" s="20"/>
      <c r="C61" s="4"/>
      <c r="D61" s="4"/>
      <c r="E61" s="4"/>
      <c r="F61" s="17"/>
      <c r="G61" s="4"/>
      <c r="H61" s="4"/>
      <c r="I61" s="4"/>
      <c r="J61" s="4"/>
      <c r="K61" s="4"/>
      <c r="L61" s="4"/>
      <c r="M61" s="4"/>
      <c r="N61" s="4"/>
      <c r="O61" s="9"/>
      <c r="P61" s="56"/>
      <c r="Q61" s="79"/>
      <c r="R61" s="91"/>
      <c r="S61" s="9"/>
      <c r="T61" s="9"/>
      <c r="U61" s="9"/>
      <c r="V61" s="9"/>
      <c r="W61" s="9"/>
      <c r="X61" s="9"/>
      <c r="Y61" s="9"/>
      <c r="Z61" s="9"/>
    </row>
    <row r="62" ht="12.0" customHeight="1">
      <c r="A62" s="26" t="s">
        <v>57</v>
      </c>
      <c r="C62" s="4"/>
      <c r="D62" s="4"/>
      <c r="E62" s="4"/>
      <c r="F62" s="17"/>
      <c r="G62" s="4"/>
      <c r="H62" s="4"/>
      <c r="I62" s="4"/>
      <c r="J62" s="4"/>
      <c r="K62" s="4"/>
      <c r="L62" s="4"/>
      <c r="M62" s="4"/>
      <c r="N62" s="4"/>
      <c r="O62" s="9"/>
      <c r="P62" s="56">
        <f>SUM(P48:P53)</f>
        <v>0.1335736334</v>
      </c>
      <c r="Q62" s="79"/>
      <c r="R62" s="91"/>
      <c r="S62" s="9"/>
      <c r="T62" s="9"/>
      <c r="U62" s="9"/>
      <c r="V62" s="9"/>
      <c r="W62" s="9"/>
      <c r="X62" s="9"/>
      <c r="Y62" s="9"/>
      <c r="Z62" s="9"/>
    </row>
    <row r="63" ht="12.0" customHeight="1">
      <c r="A63" s="4"/>
      <c r="C63" s="27" t="s">
        <v>12</v>
      </c>
      <c r="D63" s="28"/>
      <c r="E63" s="28"/>
      <c r="F63" s="29"/>
      <c r="G63" s="27" t="s">
        <v>13</v>
      </c>
      <c r="H63" s="28"/>
      <c r="I63" s="28"/>
      <c r="J63" s="29"/>
      <c r="K63" s="27" t="s">
        <v>14</v>
      </c>
      <c r="L63" s="28"/>
      <c r="M63" s="28"/>
      <c r="N63" s="29"/>
      <c r="O63" s="9"/>
      <c r="P63" s="30" t="s">
        <v>15</v>
      </c>
      <c r="S63" s="9"/>
      <c r="T63" s="9"/>
      <c r="U63" s="9"/>
      <c r="V63" s="9"/>
      <c r="W63" s="9"/>
      <c r="X63" s="9"/>
      <c r="Y63" s="9"/>
      <c r="Z63" s="9"/>
    </row>
    <row r="64" ht="12.0" customHeight="1">
      <c r="A64" s="31" t="s">
        <v>16</v>
      </c>
      <c r="B64" s="84" t="s">
        <v>17</v>
      </c>
      <c r="C64" s="33" t="s">
        <v>5</v>
      </c>
      <c r="D64" s="34" t="s">
        <v>6</v>
      </c>
      <c r="E64" s="34" t="s">
        <v>18</v>
      </c>
      <c r="F64" s="35" t="s">
        <v>10</v>
      </c>
      <c r="G64" s="36" t="s">
        <v>5</v>
      </c>
      <c r="H64" s="3" t="s">
        <v>6</v>
      </c>
      <c r="I64" s="3" t="s">
        <v>18</v>
      </c>
      <c r="J64" s="92" t="s">
        <v>10</v>
      </c>
      <c r="K64" s="33" t="s">
        <v>5</v>
      </c>
      <c r="L64" s="34" t="s">
        <v>6</v>
      </c>
      <c r="M64" s="34" t="s">
        <v>18</v>
      </c>
      <c r="N64" s="35" t="s">
        <v>10</v>
      </c>
      <c r="O64" s="9"/>
      <c r="P64" s="30" t="s">
        <v>19</v>
      </c>
      <c r="Q64" s="37" t="s">
        <v>6</v>
      </c>
      <c r="R64" s="37" t="s">
        <v>8</v>
      </c>
      <c r="S64" s="86"/>
      <c r="T64" s="9"/>
      <c r="U64" s="9"/>
      <c r="V64" s="9"/>
      <c r="W64" s="9"/>
      <c r="X64" s="9"/>
      <c r="Y64" s="9"/>
      <c r="Z64" s="9"/>
    </row>
    <row r="65" ht="12.0" customHeight="1">
      <c r="A65" s="38">
        <v>3658.0</v>
      </c>
      <c r="B65" s="39" t="s">
        <v>58</v>
      </c>
      <c r="C65" s="40">
        <v>310957.0</v>
      </c>
      <c r="D65" s="41">
        <v>2740.0</v>
      </c>
      <c r="E65" s="41">
        <v>73114.0</v>
      </c>
      <c r="F65" s="41">
        <f t="shared" ref="F65:F79" si="65">SUM(C65:E65)</f>
        <v>386811</v>
      </c>
      <c r="G65" s="43">
        <f t="shared" ref="G65:G79" si="66">+C65/$F$3*$E$3</f>
        <v>76.73386247</v>
      </c>
      <c r="H65" s="44">
        <f t="shared" ref="H65:H79" si="67">+D65/$F$4*$E$4</f>
        <v>0.1996596637</v>
      </c>
      <c r="I65" s="44">
        <f t="shared" ref="I65:I79" si="68">+E65/$F$5*$E$5</f>
        <v>12.89316846</v>
      </c>
      <c r="J65" s="93">
        <f t="shared" ref="J65:J79" si="69">SUM(G65:I65)</f>
        <v>89.82669059</v>
      </c>
      <c r="K65" s="41">
        <f t="shared" ref="K65:M65" si="64">+G65*$I$1</f>
        <v>169169.0079</v>
      </c>
      <c r="L65" s="41">
        <f t="shared" si="64"/>
        <v>440.1736878</v>
      </c>
      <c r="M65" s="41">
        <f t="shared" si="64"/>
        <v>28424.53705</v>
      </c>
      <c r="N65" s="42">
        <f t="shared" ref="N65:N79" si="71">SUM(K65:M65)</f>
        <v>198033.7186</v>
      </c>
      <c r="O65" s="56"/>
      <c r="P65" s="19">
        <f t="shared" ref="P65:P80" si="72">C65/$F$3</f>
        <v>0.005182594036</v>
      </c>
      <c r="Q65" s="19">
        <f t="shared" ref="Q65:Q80" si="73">D65/$F$4</f>
        <v>0.00009872310669</v>
      </c>
      <c r="R65" s="19">
        <f t="shared" ref="R65:R80" si="74">E65/$F$5</f>
        <v>0.003752033267</v>
      </c>
      <c r="S65" s="56"/>
      <c r="T65" s="9"/>
      <c r="U65" s="9"/>
      <c r="V65" s="9"/>
      <c r="W65" s="9"/>
      <c r="X65" s="9"/>
      <c r="Y65" s="9"/>
      <c r="Z65" s="9"/>
    </row>
    <row r="66" ht="12.0" customHeight="1">
      <c r="A66" s="45">
        <v>2364.0</v>
      </c>
      <c r="B66" s="46" t="s">
        <v>59</v>
      </c>
      <c r="C66" s="47">
        <v>680933.0</v>
      </c>
      <c r="D66" s="17">
        <v>288003.0</v>
      </c>
      <c r="E66" s="17">
        <v>597094.0</v>
      </c>
      <c r="F66" s="17">
        <f t="shared" si="65"/>
        <v>1566030</v>
      </c>
      <c r="G66" s="55">
        <f t="shared" si="66"/>
        <v>168.0316545</v>
      </c>
      <c r="H66" s="49">
        <f t="shared" si="67"/>
        <v>20.98634384</v>
      </c>
      <c r="I66" s="49">
        <f t="shared" si="68"/>
        <v>105.2935625</v>
      </c>
      <c r="J66" s="57">
        <f t="shared" si="69"/>
        <v>294.3115608</v>
      </c>
      <c r="K66" s="17">
        <f t="shared" ref="K66:M66" si="70">+G66*$I$1</f>
        <v>370445.946</v>
      </c>
      <c r="L66" s="17">
        <f t="shared" si="70"/>
        <v>46266.91336</v>
      </c>
      <c r="M66" s="17">
        <f t="shared" si="70"/>
        <v>232132.2937</v>
      </c>
      <c r="N66" s="48">
        <f t="shared" si="71"/>
        <v>648845.1531</v>
      </c>
      <c r="O66" s="56"/>
      <c r="P66" s="19">
        <f t="shared" si="72"/>
        <v>0.01134883378</v>
      </c>
      <c r="Q66" s="19">
        <f t="shared" si="73"/>
        <v>0.01037684339</v>
      </c>
      <c r="R66" s="19">
        <f t="shared" si="74"/>
        <v>0.03064141685</v>
      </c>
      <c r="S66" s="56"/>
      <c r="T66" s="9"/>
      <c r="U66" s="9"/>
      <c r="V66" s="9"/>
      <c r="W66" s="9"/>
      <c r="X66" s="9"/>
      <c r="Y66" s="9"/>
      <c r="Z66" s="9"/>
    </row>
    <row r="67" ht="12.0" customHeight="1">
      <c r="A67" s="45">
        <v>3521.0</v>
      </c>
      <c r="B67" s="46" t="s">
        <v>60</v>
      </c>
      <c r="C67" s="47">
        <v>1816063.0</v>
      </c>
      <c r="D67" s="17">
        <v>715313.0</v>
      </c>
      <c r="E67" s="17">
        <v>372236.0</v>
      </c>
      <c r="F67" s="17">
        <f t="shared" si="65"/>
        <v>2903612</v>
      </c>
      <c r="G67" s="55">
        <f t="shared" si="66"/>
        <v>448.1440472</v>
      </c>
      <c r="H67" s="49">
        <f t="shared" si="67"/>
        <v>52.12377847</v>
      </c>
      <c r="I67" s="49">
        <f t="shared" si="68"/>
        <v>65.64134713</v>
      </c>
      <c r="J67" s="57">
        <f t="shared" si="69"/>
        <v>565.9091728</v>
      </c>
      <c r="K67" s="17">
        <f t="shared" ref="K67:M67" si="75">+G67*$I$1</f>
        <v>987987.3293</v>
      </c>
      <c r="L67" s="17">
        <f t="shared" si="75"/>
        <v>114913.1245</v>
      </c>
      <c r="M67" s="17">
        <f t="shared" si="75"/>
        <v>144714.2267</v>
      </c>
      <c r="N67" s="48">
        <f t="shared" si="71"/>
        <v>1247614.681</v>
      </c>
      <c r="O67" s="56"/>
      <c r="P67" s="19">
        <f t="shared" si="72"/>
        <v>0.0302675845</v>
      </c>
      <c r="Q67" s="19">
        <f t="shared" si="73"/>
        <v>0.02577296409</v>
      </c>
      <c r="R67" s="19">
        <f t="shared" si="74"/>
        <v>0.0191022493</v>
      </c>
      <c r="S67" s="56"/>
      <c r="T67" s="9"/>
      <c r="U67" s="9"/>
      <c r="V67" s="9"/>
      <c r="W67" s="9"/>
      <c r="X67" s="9"/>
      <c r="Y67" s="9"/>
      <c r="Z67" s="9"/>
    </row>
    <row r="68" ht="12.0" customHeight="1">
      <c r="A68" s="45">
        <v>2567.0</v>
      </c>
      <c r="B68" s="46" t="s">
        <v>61</v>
      </c>
      <c r="C68" s="47">
        <v>737398.0</v>
      </c>
      <c r="D68" s="17">
        <v>476003.0</v>
      </c>
      <c r="E68" s="17">
        <v>399620.0</v>
      </c>
      <c r="F68" s="17">
        <f t="shared" si="65"/>
        <v>1613021</v>
      </c>
      <c r="G68" s="55">
        <f t="shared" si="66"/>
        <v>181.9653416</v>
      </c>
      <c r="H68" s="49">
        <f t="shared" si="67"/>
        <v>34.68562003</v>
      </c>
      <c r="I68" s="49">
        <f t="shared" si="68"/>
        <v>70.47033372</v>
      </c>
      <c r="J68" s="57">
        <f t="shared" si="69"/>
        <v>287.1212953</v>
      </c>
      <c r="K68" s="17">
        <f t="shared" ref="K68:M68" si="76">+G68*$I$1</f>
        <v>401164.4313</v>
      </c>
      <c r="L68" s="17">
        <f t="shared" si="76"/>
        <v>76468.61164</v>
      </c>
      <c r="M68" s="17">
        <f t="shared" si="76"/>
        <v>155360.3071</v>
      </c>
      <c r="N68" s="48">
        <f t="shared" si="71"/>
        <v>632993.3501</v>
      </c>
      <c r="O68" s="96"/>
      <c r="P68" s="19">
        <f t="shared" si="72"/>
        <v>0.012289913</v>
      </c>
      <c r="Q68" s="19">
        <f t="shared" si="73"/>
        <v>0.0171505456</v>
      </c>
      <c r="R68" s="19">
        <f t="shared" si="74"/>
        <v>0.0205075298</v>
      </c>
      <c r="S68" s="56"/>
      <c r="T68" s="9"/>
      <c r="U68" s="9"/>
      <c r="V68" s="9"/>
      <c r="W68" s="9"/>
      <c r="X68" s="9"/>
      <c r="Y68" s="9"/>
      <c r="Z68" s="9"/>
    </row>
    <row r="69" ht="12.0" customHeight="1">
      <c r="A69" s="45">
        <v>2278.0</v>
      </c>
      <c r="B69" s="46" t="s">
        <v>62</v>
      </c>
      <c r="C69" s="47">
        <v>1427968.0</v>
      </c>
      <c r="D69" s="17">
        <v>1015508.0</v>
      </c>
      <c r="E69" s="17">
        <v>1167975.0</v>
      </c>
      <c r="F69" s="17">
        <f t="shared" si="65"/>
        <v>3611451</v>
      </c>
      <c r="G69" s="55">
        <f t="shared" si="66"/>
        <v>352.3750876</v>
      </c>
      <c r="H69" s="49">
        <f t="shared" si="67"/>
        <v>73.99853494</v>
      </c>
      <c r="I69" s="49">
        <f t="shared" si="68"/>
        <v>205.9646365</v>
      </c>
      <c r="J69" s="57">
        <f t="shared" si="69"/>
        <v>632.338259</v>
      </c>
      <c r="K69" s="17">
        <f t="shared" ref="K69:M69" si="77">+G69*$I$1</f>
        <v>776853.1657</v>
      </c>
      <c r="L69" s="17">
        <f t="shared" si="77"/>
        <v>163138.6501</v>
      </c>
      <c r="M69" s="17">
        <f t="shared" si="77"/>
        <v>454073.7568</v>
      </c>
      <c r="N69" s="48">
        <f t="shared" si="71"/>
        <v>1394065.573</v>
      </c>
      <c r="O69" s="56"/>
      <c r="P69" s="19">
        <f t="shared" si="72"/>
        <v>0.02379936274</v>
      </c>
      <c r="Q69" s="19">
        <f t="shared" si="73"/>
        <v>0.03658908928</v>
      </c>
      <c r="R69" s="19">
        <f t="shared" si="74"/>
        <v>0.05993764607</v>
      </c>
      <c r="S69" s="56"/>
      <c r="T69" s="9"/>
      <c r="U69" s="9"/>
      <c r="V69" s="9"/>
      <c r="W69" s="9"/>
      <c r="X69" s="9"/>
      <c r="Y69" s="9"/>
      <c r="Z69" s="9"/>
    </row>
    <row r="70" ht="12.0" customHeight="1">
      <c r="A70" s="45">
        <v>2636.0</v>
      </c>
      <c r="B70" s="46" t="s">
        <v>63</v>
      </c>
      <c r="C70" s="17">
        <v>1224441.0</v>
      </c>
      <c r="D70" s="17">
        <v>786060.0</v>
      </c>
      <c r="E70" s="17">
        <v>501659.0</v>
      </c>
      <c r="F70" s="17">
        <f t="shared" si="65"/>
        <v>2512160</v>
      </c>
      <c r="G70" s="55">
        <f t="shared" si="66"/>
        <v>302.151382</v>
      </c>
      <c r="H70" s="49">
        <f t="shared" si="67"/>
        <v>57.27900556</v>
      </c>
      <c r="I70" s="49">
        <f t="shared" si="68"/>
        <v>88.46423388</v>
      </c>
      <c r="J70" s="57">
        <f t="shared" si="69"/>
        <v>447.8946215</v>
      </c>
      <c r="K70" s="17">
        <f t="shared" ref="K70:M70" si="78">+G70*$I$1</f>
        <v>666128.9798</v>
      </c>
      <c r="L70" s="17">
        <f t="shared" si="78"/>
        <v>126278.4412</v>
      </c>
      <c r="M70" s="17">
        <f t="shared" si="78"/>
        <v>195030.0193</v>
      </c>
      <c r="N70" s="48">
        <f t="shared" si="71"/>
        <v>987437.4403</v>
      </c>
      <c r="O70" s="56"/>
      <c r="P70" s="19">
        <f t="shared" si="72"/>
        <v>0.02040726089</v>
      </c>
      <c r="Q70" s="19">
        <f t="shared" si="73"/>
        <v>0.02832200191</v>
      </c>
      <c r="R70" s="19">
        <f t="shared" si="74"/>
        <v>0.02574392396</v>
      </c>
      <c r="S70" s="56"/>
      <c r="T70" s="9"/>
      <c r="U70" s="9"/>
      <c r="V70" s="9"/>
      <c r="W70" s="9"/>
      <c r="X70" s="9"/>
      <c r="Y70" s="9"/>
      <c r="Z70" s="9"/>
    </row>
    <row r="71" ht="12.0" customHeight="1">
      <c r="A71" s="45">
        <v>3144.0</v>
      </c>
      <c r="B71" s="46" t="s">
        <v>64</v>
      </c>
      <c r="C71" s="47">
        <v>216888.0</v>
      </c>
      <c r="D71" s="17">
        <v>23497.0</v>
      </c>
      <c r="E71" s="17">
        <v>64999.0</v>
      </c>
      <c r="F71" s="17">
        <f t="shared" si="65"/>
        <v>305384</v>
      </c>
      <c r="G71" s="55">
        <f t="shared" si="66"/>
        <v>53.52075677</v>
      </c>
      <c r="H71" s="49">
        <f t="shared" si="67"/>
        <v>1.712190919</v>
      </c>
      <c r="I71" s="49">
        <f t="shared" si="68"/>
        <v>11.46214209</v>
      </c>
      <c r="J71" s="57">
        <f t="shared" si="69"/>
        <v>66.69508978</v>
      </c>
      <c r="K71" s="17">
        <f t="shared" ref="K71:M71" si="79">+G71*$I$1</f>
        <v>117992.9308</v>
      </c>
      <c r="L71" s="17">
        <f t="shared" si="79"/>
        <v>3774.730343</v>
      </c>
      <c r="M71" s="17">
        <f t="shared" si="79"/>
        <v>25269.66769</v>
      </c>
      <c r="N71" s="48">
        <f t="shared" si="71"/>
        <v>147037.3288</v>
      </c>
      <c r="O71" s="56"/>
      <c r="P71" s="19">
        <f t="shared" si="72"/>
        <v>0.003614784215</v>
      </c>
      <c r="Q71" s="19">
        <f t="shared" si="73"/>
        <v>0.0008466046854</v>
      </c>
      <c r="R71" s="19">
        <f t="shared" si="74"/>
        <v>0.003335591136</v>
      </c>
      <c r="S71" s="56"/>
      <c r="T71" s="9"/>
      <c r="U71" s="9"/>
      <c r="V71" s="9"/>
      <c r="W71" s="9"/>
      <c r="X71" s="9"/>
      <c r="Y71" s="9"/>
      <c r="Z71" s="9"/>
    </row>
    <row r="72" ht="12.0" customHeight="1">
      <c r="A72" s="45">
        <v>3463.0</v>
      </c>
      <c r="B72" s="46" t="s">
        <v>65</v>
      </c>
      <c r="C72" s="47">
        <v>1527812.0</v>
      </c>
      <c r="D72" s="17">
        <v>73997.0</v>
      </c>
      <c r="E72" s="17">
        <v>12709.0</v>
      </c>
      <c r="F72" s="17">
        <f t="shared" si="65"/>
        <v>1614518</v>
      </c>
      <c r="G72" s="55">
        <f t="shared" si="66"/>
        <v>377.0132716</v>
      </c>
      <c r="H72" s="49">
        <f t="shared" si="67"/>
        <v>5.392049684</v>
      </c>
      <c r="I72" s="49">
        <f t="shared" si="68"/>
        <v>2.241147768</v>
      </c>
      <c r="J72" s="57">
        <f t="shared" si="69"/>
        <v>384.646469</v>
      </c>
      <c r="K72" s="17">
        <f t="shared" ref="K72:M72" si="80">+G72*$I$1</f>
        <v>831170.9988</v>
      </c>
      <c r="L72" s="17">
        <f t="shared" si="80"/>
        <v>11887.42057</v>
      </c>
      <c r="M72" s="17">
        <f t="shared" si="80"/>
        <v>4940.879193</v>
      </c>
      <c r="N72" s="48">
        <f t="shared" si="71"/>
        <v>847999.2985</v>
      </c>
      <c r="O72" s="56"/>
      <c r="P72" s="19">
        <f t="shared" si="72"/>
        <v>0.02546342214</v>
      </c>
      <c r="Q72" s="19">
        <f t="shared" si="73"/>
        <v>0.002666136396</v>
      </c>
      <c r="R72" s="19">
        <f t="shared" si="74"/>
        <v>0.000652195076</v>
      </c>
      <c r="S72" s="56"/>
      <c r="T72" s="9"/>
      <c r="U72" s="9"/>
      <c r="V72" s="9"/>
      <c r="W72" s="9"/>
      <c r="X72" s="9"/>
      <c r="Y72" s="9"/>
      <c r="Z72" s="9"/>
    </row>
    <row r="73" ht="12.0" customHeight="1">
      <c r="A73" s="45">
        <v>3594.0</v>
      </c>
      <c r="B73" s="4" t="s">
        <v>66</v>
      </c>
      <c r="C73" s="47">
        <v>3620616.0</v>
      </c>
      <c r="D73" s="17">
        <v>1907465.0</v>
      </c>
      <c r="E73" s="17">
        <v>1011048.0</v>
      </c>
      <c r="F73" s="17">
        <f t="shared" si="65"/>
        <v>6539129</v>
      </c>
      <c r="G73" s="55">
        <f t="shared" si="66"/>
        <v>893.4478085</v>
      </c>
      <c r="H73" s="49">
        <f t="shared" si="67"/>
        <v>138.994095</v>
      </c>
      <c r="I73" s="49">
        <f t="shared" si="68"/>
        <v>178.2916019</v>
      </c>
      <c r="J73" s="57">
        <f t="shared" si="69"/>
        <v>1210.733506</v>
      </c>
      <c r="K73" s="17">
        <f t="shared" ref="K73:M73" si="81">+G73*$I$1</f>
        <v>1969712.908</v>
      </c>
      <c r="L73" s="17">
        <f t="shared" si="81"/>
        <v>306429.1618</v>
      </c>
      <c r="M73" s="17">
        <f t="shared" si="81"/>
        <v>393065.2315</v>
      </c>
      <c r="N73" s="48">
        <f t="shared" si="71"/>
        <v>2669207.301</v>
      </c>
      <c r="O73" s="56"/>
      <c r="P73" s="19">
        <f t="shared" si="72"/>
        <v>0.0603433365</v>
      </c>
      <c r="Q73" s="19">
        <f t="shared" si="73"/>
        <v>0.06872659515</v>
      </c>
      <c r="R73" s="19">
        <f t="shared" si="74"/>
        <v>0.05188453279</v>
      </c>
      <c r="S73" s="56"/>
      <c r="T73" s="9"/>
      <c r="U73" s="9"/>
      <c r="V73" s="9"/>
      <c r="W73" s="9"/>
      <c r="X73" s="9"/>
      <c r="Y73" s="9"/>
      <c r="Z73" s="9"/>
    </row>
    <row r="74" ht="12.0" customHeight="1">
      <c r="A74" s="45">
        <v>2550.0</v>
      </c>
      <c r="B74" s="4" t="s">
        <v>67</v>
      </c>
      <c r="C74" s="47">
        <v>2637886.0</v>
      </c>
      <c r="D74" s="17">
        <v>3577753.0</v>
      </c>
      <c r="E74" s="17">
        <v>1818818.0</v>
      </c>
      <c r="F74" s="17">
        <f t="shared" si="65"/>
        <v>8034457</v>
      </c>
      <c r="G74" s="55">
        <f t="shared" si="66"/>
        <v>650.9426755</v>
      </c>
      <c r="H74" s="49">
        <f t="shared" si="67"/>
        <v>260.7054601</v>
      </c>
      <c r="I74" s="49">
        <f t="shared" si="68"/>
        <v>320.7364782</v>
      </c>
      <c r="J74" s="57">
        <f t="shared" si="69"/>
        <v>1232.384614</v>
      </c>
      <c r="K74" s="17">
        <f t="shared" ref="K74:M74" si="82">+G74*$I$1</f>
        <v>1435081.241</v>
      </c>
      <c r="L74" s="17">
        <f t="shared" si="82"/>
        <v>574756.4715</v>
      </c>
      <c r="M74" s="17">
        <f t="shared" si="82"/>
        <v>707102.0546</v>
      </c>
      <c r="N74" s="48">
        <f t="shared" si="71"/>
        <v>2716939.767</v>
      </c>
      <c r="O74" s="56"/>
      <c r="P74" s="19">
        <f t="shared" si="72"/>
        <v>0.04396457469</v>
      </c>
      <c r="Q74" s="19">
        <f t="shared" si="73"/>
        <v>0.1289076245</v>
      </c>
      <c r="R74" s="19">
        <f t="shared" si="74"/>
        <v>0.09333733131</v>
      </c>
      <c r="S74" s="56"/>
      <c r="T74" s="9"/>
      <c r="U74" s="9"/>
      <c r="V74" s="9"/>
      <c r="W74" s="9"/>
      <c r="X74" s="9"/>
      <c r="Y74" s="9"/>
      <c r="Z74" s="9"/>
    </row>
    <row r="75" ht="12.0" customHeight="1">
      <c r="A75" s="45">
        <v>2882.0</v>
      </c>
      <c r="B75" s="4" t="s">
        <v>68</v>
      </c>
      <c r="C75" s="47">
        <v>100.0</v>
      </c>
      <c r="D75" s="17">
        <v>100.0</v>
      </c>
      <c r="E75" s="17">
        <v>100.0</v>
      </c>
      <c r="F75" s="17">
        <f t="shared" si="65"/>
        <v>300</v>
      </c>
      <c r="G75" s="55">
        <f t="shared" si="66"/>
        <v>0.02467667956</v>
      </c>
      <c r="H75" s="49">
        <f t="shared" si="67"/>
        <v>0.00728684904</v>
      </c>
      <c r="I75" s="49">
        <f t="shared" si="68"/>
        <v>0.01763433605</v>
      </c>
      <c r="J75" s="57">
        <f t="shared" si="69"/>
        <v>0.04959786465</v>
      </c>
      <c r="K75" s="17">
        <f t="shared" ref="K75:M75" si="83">+G75*$I$1</f>
        <v>54.4027013</v>
      </c>
      <c r="L75" s="17">
        <f t="shared" si="83"/>
        <v>16.06473313</v>
      </c>
      <c r="M75" s="17">
        <f t="shared" si="83"/>
        <v>38.87700994</v>
      </c>
      <c r="N75" s="48">
        <f t="shared" si="71"/>
        <v>109.3444444</v>
      </c>
      <c r="O75" s="56"/>
      <c r="P75" s="19">
        <f t="shared" si="72"/>
        <v>0.000001666659389</v>
      </c>
      <c r="Q75" s="19">
        <f t="shared" si="73"/>
        <v>0.000003603033091</v>
      </c>
      <c r="R75" s="19">
        <f t="shared" si="74"/>
        <v>0.00000513175762</v>
      </c>
      <c r="S75" s="56"/>
      <c r="T75" s="9"/>
      <c r="U75" s="9"/>
      <c r="V75" s="9"/>
      <c r="W75" s="9"/>
      <c r="X75" s="9"/>
      <c r="Y75" s="9"/>
      <c r="Z75" s="9"/>
    </row>
    <row r="76" ht="12.0" customHeight="1">
      <c r="A76" s="4">
        <v>1271.0</v>
      </c>
      <c r="B76" s="4" t="s">
        <v>69</v>
      </c>
      <c r="C76" s="47">
        <v>2217284.0</v>
      </c>
      <c r="D76" s="17">
        <v>277857.0</v>
      </c>
      <c r="E76" s="17">
        <v>329514.0</v>
      </c>
      <c r="F76" s="17">
        <f t="shared" si="65"/>
        <v>2824655</v>
      </c>
      <c r="G76" s="55">
        <f t="shared" si="66"/>
        <v>547.1520677</v>
      </c>
      <c r="H76" s="49">
        <f t="shared" si="67"/>
        <v>20.24702014</v>
      </c>
      <c r="I76" s="49">
        <f t="shared" si="68"/>
        <v>58.10760609</v>
      </c>
      <c r="J76" s="57">
        <f t="shared" si="69"/>
        <v>625.5066939</v>
      </c>
      <c r="K76" s="17">
        <f t="shared" ref="K76:M76" si="84">+G76*$I$1</f>
        <v>1206262.391</v>
      </c>
      <c r="L76" s="17">
        <f t="shared" si="84"/>
        <v>44636.98553</v>
      </c>
      <c r="M76" s="17">
        <f t="shared" si="84"/>
        <v>128105.1905</v>
      </c>
      <c r="N76" s="48">
        <f t="shared" si="71"/>
        <v>1379004.568</v>
      </c>
      <c r="O76" s="56"/>
      <c r="P76" s="19">
        <f t="shared" si="72"/>
        <v>0.03695457197</v>
      </c>
      <c r="Q76" s="19">
        <f t="shared" si="73"/>
        <v>0.01001127966</v>
      </c>
      <c r="R76" s="19">
        <f t="shared" si="74"/>
        <v>0.01690985981</v>
      </c>
      <c r="S76" s="56"/>
      <c r="T76" s="9"/>
      <c r="U76" s="9"/>
      <c r="V76" s="9"/>
      <c r="W76" s="9"/>
      <c r="X76" s="9"/>
      <c r="Y76" s="9"/>
      <c r="Z76" s="9"/>
    </row>
    <row r="77" ht="12.0" customHeight="1">
      <c r="A77" s="4">
        <v>1273.0</v>
      </c>
      <c r="B77" s="4" t="s">
        <v>70</v>
      </c>
      <c r="C77" s="47">
        <v>1761985.0</v>
      </c>
      <c r="D77" s="17">
        <v>84372.0</v>
      </c>
      <c r="E77" s="17">
        <v>249873.0</v>
      </c>
      <c r="F77" s="17">
        <f t="shared" si="65"/>
        <v>2096230</v>
      </c>
      <c r="G77" s="55">
        <f t="shared" si="66"/>
        <v>434.7993924</v>
      </c>
      <c r="H77" s="49">
        <f t="shared" si="67"/>
        <v>6.148060272</v>
      </c>
      <c r="I77" s="49">
        <f t="shared" si="68"/>
        <v>44.06344452</v>
      </c>
      <c r="J77" s="57">
        <f t="shared" si="69"/>
        <v>485.0108972</v>
      </c>
      <c r="K77" s="17">
        <f t="shared" ref="K77:M77" si="85">+G77*$I$1</f>
        <v>958567.4365</v>
      </c>
      <c r="L77" s="17">
        <f t="shared" si="85"/>
        <v>13554.13664</v>
      </c>
      <c r="M77" s="17">
        <f t="shared" si="85"/>
        <v>97143.15105</v>
      </c>
      <c r="N77" s="48">
        <f t="shared" si="71"/>
        <v>1069264.724</v>
      </c>
      <c r="O77" s="56"/>
      <c r="P77" s="19">
        <f t="shared" si="72"/>
        <v>0.02936628843</v>
      </c>
      <c r="Q77" s="19">
        <f t="shared" si="73"/>
        <v>0.003039951079</v>
      </c>
      <c r="R77" s="19">
        <f t="shared" si="74"/>
        <v>0.01282287672</v>
      </c>
      <c r="S77" s="56"/>
      <c r="T77" s="9"/>
      <c r="U77" s="9"/>
      <c r="V77" s="9"/>
      <c r="W77" s="9"/>
      <c r="X77" s="9"/>
      <c r="Y77" s="9"/>
      <c r="Z77" s="9"/>
    </row>
    <row r="78" ht="12.0" customHeight="1">
      <c r="A78" s="45">
        <v>3987.0</v>
      </c>
      <c r="B78" s="4" t="s">
        <v>71</v>
      </c>
      <c r="C78" s="47">
        <v>2259085.0</v>
      </c>
      <c r="D78" s="17">
        <v>857086.0</v>
      </c>
      <c r="E78" s="17">
        <v>363764.0</v>
      </c>
      <c r="F78" s="17">
        <f t="shared" si="65"/>
        <v>3479935</v>
      </c>
      <c r="G78" s="55">
        <f t="shared" si="66"/>
        <v>557.4671665</v>
      </c>
      <c r="H78" s="49">
        <f t="shared" si="67"/>
        <v>62.45456296</v>
      </c>
      <c r="I78" s="49">
        <f t="shared" si="68"/>
        <v>64.14736618</v>
      </c>
      <c r="J78" s="57">
        <f t="shared" si="69"/>
        <v>684.0690957</v>
      </c>
      <c r="K78" s="17">
        <f t="shared" ref="K78:M78" si="86">+G78*$I$1</f>
        <v>1229003.265</v>
      </c>
      <c r="L78" s="17">
        <f t="shared" si="86"/>
        <v>137688.5786</v>
      </c>
      <c r="M78" s="17">
        <f t="shared" si="86"/>
        <v>141420.5664</v>
      </c>
      <c r="N78" s="48">
        <f t="shared" si="71"/>
        <v>1508112.41</v>
      </c>
      <c r="O78" s="56"/>
      <c r="P78" s="19">
        <f t="shared" si="72"/>
        <v>0.03765125226</v>
      </c>
      <c r="Q78" s="19">
        <f t="shared" si="73"/>
        <v>0.0308810922</v>
      </c>
      <c r="R78" s="19">
        <f t="shared" si="74"/>
        <v>0.01866748679</v>
      </c>
      <c r="S78" s="56"/>
      <c r="T78" s="9"/>
      <c r="U78" s="9"/>
      <c r="V78" s="9"/>
      <c r="W78" s="9"/>
      <c r="X78" s="9"/>
      <c r="Y78" s="9"/>
      <c r="Z78" s="9"/>
    </row>
    <row r="79" ht="12.0" customHeight="1">
      <c r="A79" s="45">
        <v>1523.0</v>
      </c>
      <c r="B79" s="4" t="s">
        <v>72</v>
      </c>
      <c r="C79" s="47">
        <v>1112779.0</v>
      </c>
      <c r="D79" s="17">
        <v>742825.0</v>
      </c>
      <c r="E79" s="17">
        <v>300249.0</v>
      </c>
      <c r="F79" s="17">
        <f t="shared" si="65"/>
        <v>2155853</v>
      </c>
      <c r="G79" s="55">
        <f t="shared" si="66"/>
        <v>274.5969081</v>
      </c>
      <c r="H79" s="49">
        <f t="shared" si="67"/>
        <v>54.12853638</v>
      </c>
      <c r="I79" s="49">
        <f t="shared" si="68"/>
        <v>52.94691764</v>
      </c>
      <c r="J79" s="57">
        <f t="shared" si="69"/>
        <v>381.6723621</v>
      </c>
      <c r="K79" s="17">
        <f t="shared" ref="K79:M79" si="87">+G79*$I$1</f>
        <v>605381.8355</v>
      </c>
      <c r="L79" s="17">
        <f t="shared" si="87"/>
        <v>119332.8539</v>
      </c>
      <c r="M79" s="17">
        <f t="shared" si="87"/>
        <v>116727.8336</v>
      </c>
      <c r="N79" s="48">
        <f t="shared" si="71"/>
        <v>841442.5229</v>
      </c>
      <c r="O79" s="56"/>
      <c r="P79" s="19">
        <f t="shared" si="72"/>
        <v>0.01854623568</v>
      </c>
      <c r="Q79" s="19">
        <f t="shared" si="73"/>
        <v>0.02676423056</v>
      </c>
      <c r="R79" s="19">
        <f t="shared" si="74"/>
        <v>0.01540805094</v>
      </c>
      <c r="S79" s="56"/>
      <c r="T79" s="9"/>
      <c r="U79" s="9"/>
      <c r="V79" s="9"/>
      <c r="W79" s="9"/>
      <c r="X79" s="9"/>
      <c r="Y79" s="9"/>
      <c r="Z79" s="9"/>
    </row>
    <row r="80" ht="12.0" customHeight="1">
      <c r="A80" s="31">
        <f>COUNT(A65:A79)</f>
        <v>15</v>
      </c>
      <c r="B80" s="32" t="s">
        <v>10</v>
      </c>
      <c r="C80" s="87">
        <f t="shared" ref="C80:N80" si="88">SUM(C65:C79)</f>
        <v>21552195</v>
      </c>
      <c r="D80" s="87">
        <f t="shared" si="88"/>
        <v>10828579</v>
      </c>
      <c r="E80" s="87">
        <f t="shared" si="88"/>
        <v>7262772</v>
      </c>
      <c r="F80" s="87">
        <f t="shared" si="88"/>
        <v>39643546</v>
      </c>
      <c r="G80" s="87">
        <f t="shared" si="88"/>
        <v>5318.366099</v>
      </c>
      <c r="H80" s="87">
        <f t="shared" si="88"/>
        <v>789.0622049</v>
      </c>
      <c r="I80" s="87">
        <f t="shared" si="88"/>
        <v>1280.741621</v>
      </c>
      <c r="J80" s="87">
        <f t="shared" si="88"/>
        <v>7388.169925</v>
      </c>
      <c r="K80" s="87">
        <f t="shared" si="88"/>
        <v>11724976.27</v>
      </c>
      <c r="L80" s="87">
        <f t="shared" si="88"/>
        <v>1739582.318</v>
      </c>
      <c r="M80" s="87">
        <f t="shared" si="88"/>
        <v>2823548.592</v>
      </c>
      <c r="N80" s="87">
        <f t="shared" si="88"/>
        <v>16288107.18</v>
      </c>
      <c r="O80" s="56"/>
      <c r="P80" s="30">
        <f t="shared" si="72"/>
        <v>0.3592016815</v>
      </c>
      <c r="Q80" s="30">
        <f t="shared" si="73"/>
        <v>0.3901572846</v>
      </c>
      <c r="R80" s="30">
        <f t="shared" si="74"/>
        <v>0.3727078556</v>
      </c>
      <c r="S80" s="56"/>
      <c r="T80" s="9"/>
      <c r="U80" s="9"/>
      <c r="V80" s="9"/>
      <c r="W80" s="9"/>
      <c r="X80" s="9"/>
      <c r="Y80" s="9"/>
      <c r="Z80" s="9"/>
    </row>
    <row r="81" ht="12.0" customHeight="1">
      <c r="A81" s="4"/>
      <c r="B81" s="4"/>
      <c r="C81" s="77">
        <f>C80/F3</f>
        <v>0.3592016815</v>
      </c>
      <c r="D81" s="19">
        <f>D80/F4</f>
        <v>0.3901572846</v>
      </c>
      <c r="E81" s="19">
        <f>E80/F5</f>
        <v>0.3727078556</v>
      </c>
      <c r="F81" s="78">
        <f>F80/F6</f>
        <v>0.3696672724</v>
      </c>
      <c r="G81" s="19">
        <f>G80/E3</f>
        <v>0.3592016815</v>
      </c>
      <c r="H81" s="19">
        <f>H80/E4</f>
        <v>0.3901572846</v>
      </c>
      <c r="I81" s="19">
        <f>I80/E5</f>
        <v>0.3727078556</v>
      </c>
      <c r="J81" s="78">
        <f>J80/E6</f>
        <v>0.3645812895</v>
      </c>
      <c r="K81" s="19">
        <f>+K80/G3</f>
        <v>0.3592016815</v>
      </c>
      <c r="L81" s="19">
        <f>+L80/G4</f>
        <v>0.3901572846</v>
      </c>
      <c r="M81" s="19">
        <f>+M80/G5</f>
        <v>0.3727078556</v>
      </c>
      <c r="N81" s="78">
        <f>N80/G6</f>
        <v>0.3645812895</v>
      </c>
      <c r="O81" s="9"/>
      <c r="P81" s="97"/>
      <c r="Q81" s="98"/>
      <c r="R81" s="56"/>
      <c r="S81" s="56"/>
      <c r="T81" s="56"/>
      <c r="U81" s="86"/>
      <c r="V81" s="86"/>
      <c r="W81" s="9"/>
      <c r="X81" s="9"/>
      <c r="Y81" s="9"/>
      <c r="Z81" s="9"/>
    </row>
    <row r="82" ht="9.0" customHeight="1">
      <c r="A82" s="20"/>
      <c r="B82" s="20"/>
      <c r="C82" s="4"/>
      <c r="D82" s="4"/>
      <c r="E82" s="4"/>
      <c r="F82" s="17"/>
      <c r="G82" s="4"/>
      <c r="H82" s="4"/>
      <c r="I82" s="4"/>
      <c r="J82" s="4"/>
      <c r="K82" s="4"/>
      <c r="L82" s="4"/>
      <c r="M82" s="4"/>
      <c r="N82" s="4"/>
      <c r="O82" s="9"/>
      <c r="P82" s="97"/>
      <c r="Q82" s="9"/>
      <c r="R82" s="9"/>
      <c r="S82" s="9"/>
      <c r="T82" s="9"/>
      <c r="U82" s="9"/>
      <c r="V82" s="9"/>
      <c r="W82" s="9"/>
      <c r="X82" s="9"/>
      <c r="Y82" s="9"/>
      <c r="Z82" s="9"/>
    </row>
    <row r="83" ht="12.0" customHeight="1">
      <c r="A83" s="20"/>
      <c r="B83" s="20"/>
      <c r="C83" s="4"/>
      <c r="D83" s="4"/>
      <c r="E83" s="82" t="s">
        <v>46</v>
      </c>
      <c r="F83" s="83">
        <f>SUM(C80:E80)</f>
        <v>39643546</v>
      </c>
      <c r="G83" s="4"/>
      <c r="H83" s="4"/>
      <c r="I83" s="82" t="s">
        <v>33</v>
      </c>
      <c r="J83" s="83">
        <f>SUM(G80:I80)</f>
        <v>7388.169925</v>
      </c>
      <c r="K83" s="4"/>
      <c r="L83" s="4"/>
      <c r="M83" s="82" t="s">
        <v>33</v>
      </c>
      <c r="N83" s="83">
        <f>SUM(K80:M80)</f>
        <v>16288107.18</v>
      </c>
      <c r="O83" s="9"/>
      <c r="P83" s="97"/>
      <c r="Q83" s="9"/>
      <c r="R83" s="9"/>
      <c r="S83" s="9"/>
      <c r="T83" s="9"/>
      <c r="U83" s="9"/>
      <c r="V83" s="9"/>
      <c r="W83" s="9"/>
      <c r="X83" s="9"/>
      <c r="Y83" s="9"/>
      <c r="Z83" s="9"/>
    </row>
    <row r="84" ht="6.0" customHeight="1">
      <c r="A84" s="20"/>
      <c r="B84" s="20"/>
      <c r="C84" s="4"/>
      <c r="D84" s="4"/>
      <c r="E84" s="4"/>
      <c r="F84" s="17"/>
      <c r="G84" s="4"/>
      <c r="H84" s="4"/>
      <c r="I84" s="4"/>
      <c r="J84" s="4"/>
      <c r="K84" s="4"/>
      <c r="L84" s="4"/>
      <c r="M84" s="4"/>
      <c r="N84" s="4"/>
      <c r="O84" s="9"/>
      <c r="P84" s="97"/>
      <c r="Q84" s="9"/>
      <c r="R84" s="9"/>
      <c r="S84" s="9"/>
      <c r="T84" s="9"/>
      <c r="U84" s="9"/>
      <c r="V84" s="9"/>
      <c r="W84" s="9"/>
      <c r="X84" s="9"/>
      <c r="Y84" s="9"/>
      <c r="Z84" s="9"/>
    </row>
    <row r="85" ht="12.0" customHeight="1">
      <c r="A85" s="4"/>
      <c r="B85" s="4"/>
      <c r="C85" s="4"/>
      <c r="D85" s="4"/>
      <c r="E85" s="4"/>
      <c r="F85" s="4"/>
      <c r="G85" s="4"/>
      <c r="H85" s="4"/>
      <c r="I85" s="4"/>
      <c r="J85" s="4"/>
      <c r="K85" s="4"/>
      <c r="L85" s="4"/>
      <c r="M85" s="4"/>
      <c r="N85" s="4"/>
      <c r="O85" s="9"/>
      <c r="P85" s="9"/>
      <c r="Q85" s="56"/>
      <c r="R85" s="9"/>
      <c r="S85" s="9"/>
      <c r="T85" s="9"/>
      <c r="U85" s="9"/>
      <c r="V85" s="9"/>
      <c r="W85" s="9"/>
      <c r="X85" s="9"/>
      <c r="Y85" s="9"/>
      <c r="Z85" s="9"/>
    </row>
    <row r="86" ht="12.0" customHeight="1">
      <c r="A86" s="31">
        <f>SUM(A22,A40,A57,A80)</f>
        <v>45</v>
      </c>
      <c r="B86" s="99" t="s">
        <v>73</v>
      </c>
      <c r="C86" s="75">
        <f t="shared" ref="C86:N86" si="89">SUM(C22,C40,C57,C80)</f>
        <v>60000262</v>
      </c>
      <c r="D86" s="75">
        <f t="shared" si="89"/>
        <v>27754394</v>
      </c>
      <c r="E86" s="75">
        <f t="shared" si="89"/>
        <v>19486501</v>
      </c>
      <c r="F86" s="75">
        <f t="shared" si="89"/>
        <v>107241157</v>
      </c>
      <c r="G86" s="75">
        <f t="shared" si="89"/>
        <v>14806.07239</v>
      </c>
      <c r="H86" s="75">
        <f t="shared" si="89"/>
        <v>2022.420793</v>
      </c>
      <c r="I86" s="75">
        <f t="shared" si="89"/>
        <v>3436.31507</v>
      </c>
      <c r="J86" s="75">
        <f t="shared" si="89"/>
        <v>20264.80825</v>
      </c>
      <c r="K86" s="75">
        <f t="shared" si="89"/>
        <v>32641763.31</v>
      </c>
      <c r="L86" s="75">
        <f t="shared" si="89"/>
        <v>4458669.328</v>
      </c>
      <c r="M86" s="75">
        <f t="shared" si="89"/>
        <v>7575768.931</v>
      </c>
      <c r="N86" s="75">
        <f t="shared" si="89"/>
        <v>44676201.57</v>
      </c>
      <c r="O86" s="9"/>
      <c r="P86" s="9"/>
      <c r="Q86" s="9"/>
      <c r="R86" s="9"/>
      <c r="S86" s="100"/>
      <c r="T86" s="74"/>
      <c r="U86" s="9"/>
      <c r="V86" s="9"/>
      <c r="W86" s="9"/>
      <c r="X86" s="9"/>
      <c r="Y86" s="9"/>
      <c r="Z86" s="9"/>
    </row>
    <row r="87" ht="12.0" customHeight="1">
      <c r="A87" s="4"/>
      <c r="B87" s="3"/>
      <c r="C87" s="101">
        <f t="shared" ref="C87:N87" si="90">C23+C41+C58+C81</f>
        <v>1</v>
      </c>
      <c r="D87" s="101">
        <f t="shared" si="90"/>
        <v>1</v>
      </c>
      <c r="E87" s="101">
        <f t="shared" si="90"/>
        <v>1</v>
      </c>
      <c r="F87" s="101">
        <f t="shared" si="90"/>
        <v>1</v>
      </c>
      <c r="G87" s="101">
        <f t="shared" si="90"/>
        <v>1</v>
      </c>
      <c r="H87" s="101">
        <f t="shared" si="90"/>
        <v>1</v>
      </c>
      <c r="I87" s="101">
        <f t="shared" si="90"/>
        <v>1</v>
      </c>
      <c r="J87" s="101">
        <f t="shared" si="90"/>
        <v>1</v>
      </c>
      <c r="K87" s="101">
        <f t="shared" si="90"/>
        <v>1</v>
      </c>
      <c r="L87" s="101">
        <f t="shared" si="90"/>
        <v>1</v>
      </c>
      <c r="M87" s="101">
        <f t="shared" si="90"/>
        <v>1</v>
      </c>
      <c r="N87" s="101">
        <f t="shared" si="90"/>
        <v>1</v>
      </c>
      <c r="O87" s="9"/>
      <c r="P87" s="97"/>
      <c r="Q87" s="9"/>
      <c r="R87" s="9"/>
      <c r="S87" s="100"/>
      <c r="T87" s="74"/>
      <c r="U87" s="9"/>
      <c r="V87" s="9"/>
      <c r="W87" s="9"/>
      <c r="X87" s="9"/>
      <c r="Y87" s="9"/>
      <c r="Z87" s="9"/>
    </row>
    <row r="88" ht="12.0" customHeight="1">
      <c r="A88" s="4"/>
      <c r="B88" s="4"/>
      <c r="C88" s="4"/>
      <c r="D88" s="4"/>
      <c r="E88" s="4"/>
      <c r="F88" s="4"/>
      <c r="G88" s="4"/>
      <c r="H88" s="4"/>
      <c r="I88" s="4"/>
      <c r="J88" s="4"/>
      <c r="K88" s="4"/>
      <c r="L88" s="4"/>
      <c r="M88" s="4"/>
      <c r="N88" s="4"/>
      <c r="O88" s="9"/>
      <c r="P88" s="9"/>
      <c r="Q88" s="9"/>
      <c r="R88" s="9"/>
      <c r="S88" s="9"/>
      <c r="T88" s="9"/>
      <c r="U88" s="9"/>
      <c r="V88" s="9"/>
      <c r="W88" s="9"/>
      <c r="X88" s="9"/>
      <c r="Y88" s="9"/>
      <c r="Z88" s="9"/>
    </row>
    <row r="89" ht="12.0" customHeight="1">
      <c r="A89" s="4"/>
      <c r="B89" s="4"/>
      <c r="C89" s="4"/>
      <c r="D89" s="4"/>
      <c r="E89" s="82" t="s">
        <v>46</v>
      </c>
      <c r="F89" s="83">
        <f>SUM(C86:E86)</f>
        <v>107241157</v>
      </c>
      <c r="G89" s="4"/>
      <c r="H89" s="4"/>
      <c r="I89" s="4"/>
      <c r="J89" s="4"/>
      <c r="K89" s="4"/>
      <c r="L89" s="4"/>
      <c r="M89" s="4"/>
      <c r="N89" s="4"/>
      <c r="O89" s="9"/>
      <c r="P89" s="9"/>
      <c r="Q89" s="9"/>
      <c r="R89" s="9"/>
      <c r="S89" s="9"/>
      <c r="T89" s="9"/>
      <c r="U89" s="9"/>
      <c r="V89" s="9"/>
      <c r="W89" s="9"/>
      <c r="X89" s="9"/>
      <c r="Y89" s="9"/>
      <c r="Z89" s="9"/>
    </row>
    <row r="90" ht="12.0" customHeight="1">
      <c r="A90" s="4"/>
      <c r="B90" s="4"/>
      <c r="C90" s="4"/>
      <c r="D90" s="4"/>
      <c r="E90" s="4"/>
      <c r="F90" s="19"/>
      <c r="G90" s="17"/>
      <c r="H90" s="17"/>
      <c r="I90" s="17"/>
      <c r="J90" s="19"/>
      <c r="K90" s="17"/>
      <c r="L90" s="17"/>
      <c r="M90" s="17"/>
      <c r="N90" s="17"/>
      <c r="O90" s="9"/>
      <c r="P90" s="9"/>
      <c r="Q90" s="9"/>
      <c r="R90" s="9"/>
      <c r="S90" s="9"/>
      <c r="T90" s="9"/>
      <c r="U90" s="9"/>
      <c r="V90" s="9"/>
      <c r="W90" s="9"/>
      <c r="X90" s="9"/>
      <c r="Y90" s="9"/>
      <c r="Z90" s="9"/>
    </row>
    <row r="91" ht="12.0" customHeight="1">
      <c r="A91" s="4"/>
      <c r="B91" s="4"/>
      <c r="C91" s="4"/>
      <c r="D91" s="4"/>
      <c r="E91" s="4"/>
      <c r="F91" s="4"/>
      <c r="G91" s="4"/>
      <c r="H91" s="4"/>
      <c r="I91" s="4"/>
      <c r="J91" s="4"/>
      <c r="K91" s="4"/>
      <c r="L91" s="4"/>
      <c r="M91" s="4"/>
      <c r="N91" s="4"/>
      <c r="O91" s="9"/>
      <c r="P91" s="9"/>
      <c r="Q91" s="9"/>
      <c r="R91" s="9"/>
      <c r="S91" s="9"/>
      <c r="T91" s="9"/>
      <c r="U91" s="9"/>
      <c r="V91" s="9"/>
      <c r="W91" s="9"/>
      <c r="X91" s="9"/>
      <c r="Y91" s="9"/>
      <c r="Z91" s="9"/>
    </row>
    <row r="92" ht="12.0" customHeight="1">
      <c r="A92" s="4"/>
      <c r="B92" s="4"/>
      <c r="C92" s="4"/>
      <c r="D92" s="4"/>
      <c r="E92" s="4"/>
      <c r="F92" s="4"/>
      <c r="G92" s="4"/>
      <c r="H92" s="4"/>
      <c r="I92" s="4"/>
      <c r="J92" s="4"/>
      <c r="K92" s="4"/>
      <c r="L92" s="4"/>
      <c r="M92" s="4"/>
      <c r="N92" s="4"/>
      <c r="O92" s="9"/>
      <c r="P92" s="9"/>
      <c r="Q92" s="9"/>
      <c r="R92" s="9"/>
      <c r="S92" s="9"/>
      <c r="T92" s="9"/>
      <c r="U92" s="9"/>
      <c r="V92" s="9"/>
      <c r="W92" s="9"/>
      <c r="X92" s="9"/>
      <c r="Y92" s="9"/>
      <c r="Z92" s="9"/>
    </row>
    <row r="93" ht="12.0" customHeight="1">
      <c r="A93" s="4"/>
      <c r="B93" s="4"/>
      <c r="C93" s="4"/>
      <c r="D93" s="4"/>
      <c r="E93" s="4"/>
      <c r="F93" s="4"/>
      <c r="G93" s="4"/>
      <c r="H93" s="4"/>
      <c r="I93" s="4"/>
      <c r="J93" s="4"/>
      <c r="K93" s="4"/>
      <c r="L93" s="4"/>
      <c r="M93" s="4"/>
      <c r="N93" s="4"/>
      <c r="O93" s="9"/>
      <c r="P93" s="9"/>
      <c r="Q93" s="9"/>
      <c r="R93" s="9"/>
      <c r="S93" s="9"/>
      <c r="T93" s="9"/>
      <c r="U93" s="9"/>
      <c r="V93" s="9"/>
      <c r="W93" s="9"/>
      <c r="X93" s="9"/>
      <c r="Y93" s="9"/>
      <c r="Z93" s="9"/>
    </row>
    <row r="94" ht="12.0" customHeight="1">
      <c r="A94" s="4"/>
      <c r="B94" s="4"/>
      <c r="C94" s="4"/>
      <c r="D94" s="4"/>
      <c r="E94" s="4"/>
      <c r="F94" s="4"/>
      <c r="G94" s="4"/>
      <c r="H94" s="4"/>
      <c r="I94" s="4"/>
      <c r="J94" s="4"/>
      <c r="K94" s="4"/>
      <c r="L94" s="4"/>
      <c r="M94" s="4"/>
      <c r="N94" s="4"/>
      <c r="O94" s="9"/>
      <c r="P94" s="9"/>
      <c r="Q94" s="9"/>
      <c r="R94" s="9"/>
      <c r="S94" s="9"/>
      <c r="T94" s="9"/>
      <c r="U94" s="9"/>
      <c r="V94" s="9"/>
      <c r="W94" s="9"/>
      <c r="X94" s="9"/>
      <c r="Y94" s="9"/>
      <c r="Z94" s="9"/>
    </row>
    <row r="95" ht="12.0" customHeight="1">
      <c r="A95" s="4"/>
      <c r="B95" s="4"/>
      <c r="C95" s="4"/>
      <c r="D95" s="4"/>
      <c r="E95" s="4"/>
      <c r="F95" s="4"/>
      <c r="G95" s="4"/>
      <c r="H95" s="4"/>
      <c r="I95" s="4"/>
      <c r="J95" s="4"/>
      <c r="K95" s="4"/>
      <c r="L95" s="4"/>
      <c r="M95" s="4"/>
      <c r="N95" s="4"/>
      <c r="O95" s="9"/>
      <c r="P95" s="9"/>
      <c r="Q95" s="9"/>
      <c r="R95" s="9"/>
      <c r="S95" s="9"/>
      <c r="T95" s="9"/>
      <c r="U95" s="9"/>
      <c r="V95" s="9"/>
      <c r="W95" s="9"/>
      <c r="X95" s="9"/>
      <c r="Y95" s="9"/>
      <c r="Z95" s="9"/>
    </row>
    <row r="96" ht="12.0" customHeight="1">
      <c r="A96" s="4"/>
      <c r="B96" s="4"/>
      <c r="C96" s="4"/>
      <c r="D96" s="4"/>
      <c r="E96" s="4"/>
      <c r="F96" s="4"/>
      <c r="G96" s="4"/>
      <c r="H96" s="4"/>
      <c r="I96" s="4"/>
      <c r="J96" s="4"/>
      <c r="K96" s="4"/>
      <c r="L96" s="4"/>
      <c r="M96" s="4"/>
      <c r="N96" s="4"/>
      <c r="O96" s="9"/>
      <c r="P96" s="9"/>
      <c r="Q96" s="9"/>
      <c r="R96" s="9"/>
      <c r="S96" s="9"/>
      <c r="T96" s="9"/>
      <c r="U96" s="9"/>
      <c r="V96" s="9"/>
      <c r="W96" s="9"/>
      <c r="X96" s="9"/>
      <c r="Y96" s="9"/>
      <c r="Z96" s="9"/>
    </row>
    <row r="97" ht="12.0" customHeight="1">
      <c r="A97" s="4"/>
      <c r="B97" s="4"/>
      <c r="C97" s="4"/>
      <c r="D97" s="4"/>
      <c r="E97" s="4"/>
      <c r="F97" s="4"/>
      <c r="G97" s="4"/>
      <c r="H97" s="4"/>
      <c r="I97" s="4"/>
      <c r="J97" s="4"/>
      <c r="K97" s="4"/>
      <c r="L97" s="4"/>
      <c r="M97" s="4"/>
      <c r="N97" s="4"/>
      <c r="O97" s="9"/>
      <c r="P97" s="9"/>
      <c r="Q97" s="9"/>
      <c r="R97" s="9"/>
      <c r="S97" s="9"/>
      <c r="T97" s="9"/>
      <c r="U97" s="9"/>
      <c r="V97" s="9"/>
      <c r="W97" s="9"/>
      <c r="X97" s="9"/>
      <c r="Y97" s="9"/>
      <c r="Z97" s="9"/>
    </row>
    <row r="98" ht="12.0" customHeight="1">
      <c r="A98" s="4"/>
      <c r="B98" s="4"/>
      <c r="C98" s="4"/>
      <c r="D98" s="4"/>
      <c r="E98" s="4"/>
      <c r="F98" s="4"/>
      <c r="G98" s="4"/>
      <c r="H98" s="4"/>
      <c r="I98" s="4"/>
      <c r="J98" s="4"/>
      <c r="K98" s="4"/>
      <c r="L98" s="4"/>
      <c r="M98" s="4"/>
      <c r="N98" s="4"/>
      <c r="O98" s="9"/>
      <c r="P98" s="9"/>
      <c r="Q98" s="9"/>
      <c r="R98" s="9"/>
      <c r="S98" s="9"/>
      <c r="T98" s="9"/>
      <c r="U98" s="9"/>
      <c r="V98" s="9"/>
      <c r="W98" s="9"/>
      <c r="X98" s="9"/>
      <c r="Y98" s="9"/>
      <c r="Z98" s="9"/>
    </row>
    <row r="99" ht="12.0" customHeight="1">
      <c r="A99" s="4"/>
      <c r="B99" s="4"/>
      <c r="C99" s="4"/>
      <c r="D99" s="4"/>
      <c r="E99" s="4"/>
      <c r="F99" s="4"/>
      <c r="G99" s="4"/>
      <c r="H99" s="4"/>
      <c r="I99" s="4"/>
      <c r="J99" s="4"/>
      <c r="K99" s="4"/>
      <c r="L99" s="4"/>
      <c r="M99" s="4"/>
      <c r="N99" s="4"/>
      <c r="O99" s="9"/>
      <c r="P99" s="9"/>
      <c r="Q99" s="9"/>
      <c r="R99" s="9"/>
      <c r="S99" s="9"/>
      <c r="T99" s="9"/>
      <c r="U99" s="9"/>
      <c r="V99" s="9"/>
      <c r="W99" s="9"/>
      <c r="X99" s="9"/>
      <c r="Y99" s="9"/>
      <c r="Z99" s="9"/>
    </row>
    <row r="100" ht="12.0" customHeight="1">
      <c r="A100" s="4"/>
      <c r="B100" s="17"/>
      <c r="C100" s="4"/>
      <c r="D100" s="4"/>
      <c r="E100" s="4"/>
      <c r="F100" s="4"/>
      <c r="G100" s="4"/>
      <c r="H100" s="4"/>
      <c r="I100" s="4"/>
      <c r="J100" s="4"/>
      <c r="K100" s="4"/>
      <c r="L100" s="4"/>
      <c r="M100" s="4"/>
      <c r="N100" s="4"/>
      <c r="O100" s="9"/>
      <c r="P100" s="9"/>
      <c r="Q100" s="9"/>
      <c r="R100" s="9"/>
      <c r="S100" s="9"/>
      <c r="T100" s="9"/>
      <c r="U100" s="9"/>
      <c r="V100" s="9"/>
      <c r="W100" s="9"/>
      <c r="X100" s="9"/>
      <c r="Y100" s="9"/>
      <c r="Z100" s="9"/>
    </row>
    <row r="101" ht="12.0" customHeight="1">
      <c r="A101" s="4"/>
      <c r="B101" s="17"/>
      <c r="C101" s="4"/>
      <c r="D101" s="4"/>
      <c r="E101" s="4"/>
      <c r="F101" s="4"/>
      <c r="G101" s="4"/>
      <c r="H101" s="4"/>
      <c r="I101" s="4"/>
      <c r="J101" s="4"/>
      <c r="K101" s="4"/>
      <c r="L101" s="4"/>
      <c r="M101" s="4"/>
      <c r="N101" s="4"/>
      <c r="O101" s="9"/>
      <c r="P101" s="9"/>
      <c r="Q101" s="9"/>
      <c r="R101" s="9"/>
      <c r="S101" s="9"/>
      <c r="T101" s="9"/>
      <c r="U101" s="9"/>
      <c r="V101" s="9"/>
      <c r="W101" s="9"/>
      <c r="X101" s="9"/>
      <c r="Y101" s="9"/>
      <c r="Z101" s="9"/>
    </row>
    <row r="102" ht="12.0" customHeight="1">
      <c r="A102" s="4"/>
      <c r="B102" s="17"/>
      <c r="C102" s="4"/>
      <c r="D102" s="4"/>
      <c r="E102" s="4"/>
      <c r="F102" s="4"/>
      <c r="G102" s="4"/>
      <c r="H102" s="4"/>
      <c r="I102" s="4"/>
      <c r="J102" s="4"/>
      <c r="K102" s="4"/>
      <c r="L102" s="4"/>
      <c r="M102" s="4"/>
      <c r="N102" s="4"/>
      <c r="O102" s="9"/>
      <c r="P102" s="9"/>
      <c r="Q102" s="9"/>
      <c r="R102" s="9"/>
      <c r="S102" s="9"/>
      <c r="T102" s="9"/>
      <c r="U102" s="9"/>
      <c r="V102" s="9"/>
      <c r="W102" s="9"/>
      <c r="X102" s="9"/>
      <c r="Y102" s="9"/>
      <c r="Z102" s="9"/>
    </row>
    <row r="103" ht="12.0" customHeight="1">
      <c r="A103" s="4"/>
      <c r="B103" s="17"/>
      <c r="C103" s="4"/>
      <c r="D103" s="4"/>
      <c r="E103" s="4"/>
      <c r="F103" s="4"/>
      <c r="G103" s="4"/>
      <c r="H103" s="4"/>
      <c r="I103" s="4"/>
      <c r="J103" s="4"/>
      <c r="K103" s="4"/>
      <c r="L103" s="4"/>
      <c r="M103" s="4"/>
      <c r="N103" s="4"/>
      <c r="O103" s="9"/>
      <c r="P103" s="9"/>
      <c r="Q103" s="9"/>
      <c r="R103" s="9"/>
      <c r="S103" s="9"/>
      <c r="T103" s="9"/>
      <c r="U103" s="9"/>
      <c r="V103" s="9"/>
      <c r="W103" s="9"/>
      <c r="X103" s="9"/>
      <c r="Y103" s="9"/>
      <c r="Z103" s="9"/>
    </row>
    <row r="104" ht="12.0" customHeight="1">
      <c r="A104" s="4"/>
      <c r="B104" s="17"/>
      <c r="C104" s="4"/>
      <c r="D104" s="4"/>
      <c r="E104" s="4"/>
      <c r="F104" s="4"/>
      <c r="G104" s="4"/>
      <c r="H104" s="4"/>
      <c r="I104" s="4"/>
      <c r="J104" s="4"/>
      <c r="K104" s="4"/>
      <c r="L104" s="4"/>
      <c r="M104" s="4"/>
      <c r="N104" s="4"/>
      <c r="O104" s="9"/>
      <c r="P104" s="9"/>
      <c r="Q104" s="9"/>
      <c r="R104" s="9"/>
      <c r="S104" s="9"/>
      <c r="T104" s="9"/>
      <c r="U104" s="9"/>
      <c r="V104" s="9"/>
      <c r="W104" s="9"/>
      <c r="X104" s="9"/>
      <c r="Y104" s="9"/>
      <c r="Z104" s="9"/>
    </row>
    <row r="105" ht="12.0" customHeight="1">
      <c r="A105" s="4"/>
      <c r="B105" s="17"/>
      <c r="C105" s="4"/>
      <c r="D105" s="4"/>
      <c r="E105" s="4"/>
      <c r="F105" s="4"/>
      <c r="G105" s="4"/>
      <c r="H105" s="4"/>
      <c r="I105" s="4"/>
      <c r="J105" s="4"/>
      <c r="K105" s="4"/>
      <c r="L105" s="4"/>
      <c r="M105" s="4"/>
      <c r="N105" s="4"/>
      <c r="O105" s="9"/>
      <c r="P105" s="9"/>
      <c r="Q105" s="9"/>
      <c r="R105" s="9"/>
      <c r="S105" s="9"/>
      <c r="T105" s="9"/>
      <c r="U105" s="9"/>
      <c r="V105" s="9"/>
      <c r="W105" s="9"/>
      <c r="X105" s="9"/>
      <c r="Y105" s="9"/>
      <c r="Z105" s="9"/>
    </row>
    <row r="106" ht="12.0" customHeight="1">
      <c r="A106" s="4"/>
      <c r="B106" s="17"/>
      <c r="C106" s="4"/>
      <c r="D106" s="4"/>
      <c r="E106" s="4"/>
      <c r="F106" s="4"/>
      <c r="G106" s="4"/>
      <c r="H106" s="4"/>
      <c r="I106" s="4"/>
      <c r="J106" s="4"/>
      <c r="K106" s="4"/>
      <c r="L106" s="4"/>
      <c r="M106" s="4"/>
      <c r="N106" s="4"/>
      <c r="O106" s="9"/>
      <c r="P106" s="9"/>
      <c r="Q106" s="9"/>
      <c r="R106" s="9"/>
      <c r="S106" s="9"/>
      <c r="T106" s="9"/>
      <c r="U106" s="9"/>
      <c r="V106" s="9"/>
      <c r="W106" s="9"/>
      <c r="X106" s="9"/>
      <c r="Y106" s="9"/>
      <c r="Z106" s="9"/>
    </row>
    <row r="107" ht="12.0" customHeight="1">
      <c r="A107" s="4"/>
      <c r="B107" s="17"/>
      <c r="C107" s="4"/>
      <c r="D107" s="4"/>
      <c r="E107" s="4"/>
      <c r="F107" s="4"/>
      <c r="G107" s="4"/>
      <c r="H107" s="4"/>
      <c r="I107" s="4"/>
      <c r="J107" s="4"/>
      <c r="K107" s="4"/>
      <c r="L107" s="4"/>
      <c r="M107" s="4"/>
      <c r="N107" s="4"/>
      <c r="O107" s="9"/>
      <c r="P107" s="9"/>
      <c r="Q107" s="9"/>
      <c r="R107" s="9"/>
      <c r="S107" s="9"/>
      <c r="T107" s="9"/>
      <c r="U107" s="9"/>
      <c r="V107" s="9"/>
      <c r="W107" s="9"/>
      <c r="X107" s="9"/>
      <c r="Y107" s="9"/>
      <c r="Z107" s="9"/>
    </row>
    <row r="108" ht="12.0" customHeight="1">
      <c r="A108" s="4"/>
      <c r="B108" s="4"/>
      <c r="C108" s="4"/>
      <c r="D108" s="4"/>
      <c r="E108" s="4"/>
      <c r="F108" s="4"/>
      <c r="G108" s="4"/>
      <c r="H108" s="4"/>
      <c r="I108" s="4"/>
      <c r="J108" s="4"/>
      <c r="K108" s="4"/>
      <c r="L108" s="4"/>
      <c r="M108" s="4"/>
      <c r="N108" s="4"/>
      <c r="O108" s="9"/>
      <c r="P108" s="9"/>
      <c r="Q108" s="9"/>
      <c r="R108" s="9"/>
      <c r="S108" s="9"/>
      <c r="T108" s="9"/>
      <c r="U108" s="9"/>
      <c r="V108" s="9"/>
      <c r="W108" s="9"/>
      <c r="X108" s="9"/>
      <c r="Y108" s="9"/>
      <c r="Z108" s="9"/>
    </row>
    <row r="109" ht="12.0" customHeight="1">
      <c r="A109" s="4"/>
      <c r="B109" s="17"/>
      <c r="C109" s="4"/>
      <c r="D109" s="4"/>
      <c r="E109" s="4"/>
      <c r="F109" s="4"/>
      <c r="G109" s="4"/>
      <c r="H109" s="4"/>
      <c r="I109" s="4"/>
      <c r="J109" s="4"/>
      <c r="K109" s="4"/>
      <c r="L109" s="4"/>
      <c r="M109" s="4"/>
      <c r="N109" s="4"/>
      <c r="O109" s="9"/>
      <c r="P109" s="9"/>
      <c r="Q109" s="9"/>
      <c r="R109" s="9"/>
      <c r="S109" s="9"/>
      <c r="T109" s="9"/>
      <c r="U109" s="9"/>
      <c r="V109" s="9"/>
      <c r="W109" s="9"/>
      <c r="X109" s="9"/>
      <c r="Y109" s="9"/>
      <c r="Z109" s="9"/>
    </row>
    <row r="110" ht="12.0" customHeight="1">
      <c r="A110" s="4"/>
      <c r="B110" s="4"/>
      <c r="C110" s="4"/>
      <c r="D110" s="4"/>
      <c r="E110" s="4"/>
      <c r="F110" s="4"/>
      <c r="G110" s="4"/>
      <c r="H110" s="4"/>
      <c r="I110" s="4"/>
      <c r="J110" s="4"/>
      <c r="K110" s="4"/>
      <c r="L110" s="4"/>
      <c r="M110" s="4"/>
      <c r="N110" s="4"/>
      <c r="O110" s="9"/>
      <c r="P110" s="9"/>
      <c r="Q110" s="9"/>
      <c r="R110" s="9"/>
      <c r="S110" s="9"/>
      <c r="T110" s="9"/>
      <c r="U110" s="9"/>
      <c r="V110" s="9"/>
      <c r="W110" s="9"/>
      <c r="X110" s="9"/>
      <c r="Y110" s="9"/>
      <c r="Z110" s="9"/>
    </row>
    <row r="111" ht="12.0" customHeight="1">
      <c r="A111" s="4"/>
      <c r="B111" s="17"/>
      <c r="C111" s="4"/>
      <c r="D111" s="4"/>
      <c r="E111" s="4"/>
      <c r="F111" s="4"/>
      <c r="G111" s="4"/>
      <c r="H111" s="4"/>
      <c r="I111" s="4"/>
      <c r="J111" s="4"/>
      <c r="K111" s="4"/>
      <c r="L111" s="4"/>
      <c r="M111" s="4"/>
      <c r="N111" s="4"/>
      <c r="O111" s="9"/>
      <c r="P111" s="9"/>
      <c r="Q111" s="9"/>
      <c r="R111" s="9"/>
      <c r="S111" s="9"/>
      <c r="T111" s="9"/>
      <c r="U111" s="9"/>
      <c r="V111" s="9"/>
      <c r="W111" s="9"/>
      <c r="X111" s="9"/>
      <c r="Y111" s="9"/>
      <c r="Z111" s="9"/>
    </row>
    <row r="112" ht="12.0" customHeight="1">
      <c r="A112" s="4"/>
      <c r="B112" s="4"/>
      <c r="C112" s="4"/>
      <c r="D112" s="4"/>
      <c r="E112" s="4"/>
      <c r="F112" s="4"/>
      <c r="G112" s="4"/>
      <c r="H112" s="4"/>
      <c r="I112" s="4"/>
      <c r="J112" s="4"/>
      <c r="K112" s="4"/>
      <c r="L112" s="4"/>
      <c r="M112" s="4"/>
      <c r="N112" s="4"/>
      <c r="O112" s="9"/>
      <c r="P112" s="9"/>
      <c r="Q112" s="9"/>
      <c r="R112" s="9"/>
      <c r="S112" s="9"/>
      <c r="T112" s="9"/>
      <c r="U112" s="9"/>
      <c r="V112" s="9"/>
      <c r="W112" s="9"/>
      <c r="X112" s="9"/>
      <c r="Y112" s="9"/>
      <c r="Z112" s="9"/>
    </row>
    <row r="113" ht="12.0" customHeight="1">
      <c r="A113" s="4"/>
      <c r="B113" s="4"/>
      <c r="C113" s="4"/>
      <c r="D113" s="4"/>
      <c r="E113" s="4"/>
      <c r="F113" s="4"/>
      <c r="G113" s="4"/>
      <c r="H113" s="4"/>
      <c r="I113" s="4"/>
      <c r="J113" s="4"/>
      <c r="K113" s="4"/>
      <c r="L113" s="4"/>
      <c r="M113" s="4"/>
      <c r="N113" s="4"/>
      <c r="O113" s="9"/>
      <c r="P113" s="9"/>
      <c r="Q113" s="9"/>
      <c r="R113" s="9"/>
      <c r="S113" s="9"/>
      <c r="T113" s="9"/>
      <c r="U113" s="9"/>
      <c r="V113" s="9"/>
      <c r="W113" s="9"/>
      <c r="X113" s="9"/>
      <c r="Y113" s="9"/>
      <c r="Z113" s="9"/>
    </row>
    <row r="114" ht="12.0" customHeight="1">
      <c r="A114" s="4"/>
      <c r="B114" s="4"/>
      <c r="C114" s="4"/>
      <c r="D114" s="4"/>
      <c r="E114" s="4"/>
      <c r="F114" s="4"/>
      <c r="G114" s="4"/>
      <c r="H114" s="4"/>
      <c r="I114" s="4"/>
      <c r="J114" s="4"/>
      <c r="K114" s="4"/>
      <c r="L114" s="4"/>
      <c r="M114" s="4"/>
      <c r="N114" s="4"/>
      <c r="O114" s="9"/>
      <c r="P114" s="9"/>
      <c r="Q114" s="9"/>
      <c r="R114" s="9"/>
      <c r="S114" s="9"/>
      <c r="T114" s="9"/>
      <c r="U114" s="9"/>
      <c r="V114" s="9"/>
      <c r="W114" s="9"/>
      <c r="X114" s="9"/>
      <c r="Y114" s="9"/>
      <c r="Z114" s="9"/>
    </row>
    <row r="115" ht="12.0" customHeight="1">
      <c r="A115" s="4"/>
      <c r="B115" s="4"/>
      <c r="C115" s="4"/>
      <c r="D115" s="4"/>
      <c r="E115" s="4"/>
      <c r="F115" s="4"/>
      <c r="G115" s="4"/>
      <c r="H115" s="4"/>
      <c r="I115" s="4"/>
      <c r="J115" s="4"/>
      <c r="K115" s="4"/>
      <c r="L115" s="4"/>
      <c r="M115" s="4"/>
      <c r="N115" s="4"/>
      <c r="O115" s="9"/>
      <c r="P115" s="9"/>
      <c r="Q115" s="9"/>
      <c r="R115" s="9"/>
      <c r="S115" s="9"/>
      <c r="T115" s="9"/>
      <c r="U115" s="9"/>
      <c r="V115" s="9"/>
      <c r="W115" s="9"/>
      <c r="X115" s="9"/>
      <c r="Y115" s="9"/>
      <c r="Z115" s="9"/>
    </row>
    <row r="116" ht="12.0" customHeight="1">
      <c r="A116" s="4"/>
      <c r="B116" s="4"/>
      <c r="C116" s="4"/>
      <c r="D116" s="4"/>
      <c r="E116" s="4"/>
      <c r="F116" s="4"/>
      <c r="G116" s="4"/>
      <c r="H116" s="4"/>
      <c r="I116" s="4"/>
      <c r="J116" s="4"/>
      <c r="K116" s="4"/>
      <c r="L116" s="4"/>
      <c r="M116" s="4"/>
      <c r="N116" s="4"/>
      <c r="O116" s="9"/>
      <c r="P116" s="9"/>
      <c r="Q116" s="9"/>
      <c r="R116" s="9"/>
      <c r="S116" s="9"/>
      <c r="T116" s="9"/>
      <c r="U116" s="9"/>
      <c r="V116" s="9"/>
      <c r="W116" s="9"/>
      <c r="X116" s="9"/>
      <c r="Y116" s="9"/>
      <c r="Z116" s="9"/>
    </row>
    <row r="117" ht="12.0" customHeight="1">
      <c r="A117" s="4"/>
      <c r="B117" s="4"/>
      <c r="C117" s="4"/>
      <c r="D117" s="4"/>
      <c r="E117" s="4"/>
      <c r="F117" s="4"/>
      <c r="G117" s="4"/>
      <c r="H117" s="4"/>
      <c r="I117" s="4"/>
      <c r="J117" s="4"/>
      <c r="K117" s="4"/>
      <c r="L117" s="4"/>
      <c r="M117" s="4"/>
      <c r="N117" s="4"/>
      <c r="O117" s="9"/>
      <c r="P117" s="9"/>
      <c r="Q117" s="9"/>
      <c r="R117" s="9"/>
      <c r="S117" s="9"/>
      <c r="T117" s="9"/>
      <c r="U117" s="9"/>
      <c r="V117" s="9"/>
      <c r="W117" s="9"/>
      <c r="X117" s="9"/>
      <c r="Y117" s="9"/>
      <c r="Z117" s="9"/>
    </row>
    <row r="118" ht="12.0" customHeight="1">
      <c r="A118" s="4"/>
      <c r="B118" s="4"/>
      <c r="C118" s="4"/>
      <c r="D118" s="4"/>
      <c r="E118" s="4"/>
      <c r="F118" s="4"/>
      <c r="G118" s="4"/>
      <c r="H118" s="4"/>
      <c r="I118" s="4"/>
      <c r="J118" s="4"/>
      <c r="K118" s="4"/>
      <c r="L118" s="4"/>
      <c r="M118" s="4"/>
      <c r="N118" s="4"/>
      <c r="O118" s="9"/>
      <c r="P118" s="9"/>
      <c r="Q118" s="9"/>
      <c r="R118" s="9"/>
      <c r="S118" s="9"/>
      <c r="T118" s="9"/>
      <c r="U118" s="9"/>
      <c r="V118" s="9"/>
      <c r="W118" s="9"/>
      <c r="X118" s="9"/>
      <c r="Y118" s="9"/>
      <c r="Z118" s="9"/>
    </row>
    <row r="119" ht="12.0" customHeight="1">
      <c r="A119" s="4"/>
      <c r="B119" s="4"/>
      <c r="C119" s="4"/>
      <c r="D119" s="4"/>
      <c r="E119" s="4"/>
      <c r="F119" s="4"/>
      <c r="G119" s="4"/>
      <c r="H119" s="4"/>
      <c r="I119" s="4"/>
      <c r="J119" s="4"/>
      <c r="K119" s="4"/>
      <c r="L119" s="4"/>
      <c r="M119" s="4"/>
      <c r="N119" s="4"/>
      <c r="O119" s="9"/>
      <c r="P119" s="9"/>
      <c r="Q119" s="9"/>
      <c r="R119" s="9"/>
      <c r="S119" s="9"/>
      <c r="T119" s="9"/>
      <c r="U119" s="9"/>
      <c r="V119" s="9"/>
      <c r="W119" s="9"/>
      <c r="X119" s="9"/>
      <c r="Y119" s="9"/>
      <c r="Z119" s="9"/>
    </row>
    <row r="120" ht="12.0" customHeight="1">
      <c r="A120" s="4"/>
      <c r="B120" s="4"/>
      <c r="C120" s="4"/>
      <c r="D120" s="4"/>
      <c r="E120" s="4"/>
      <c r="F120" s="4"/>
      <c r="G120" s="4"/>
      <c r="H120" s="4"/>
      <c r="I120" s="4"/>
      <c r="J120" s="4"/>
      <c r="K120" s="4"/>
      <c r="L120" s="4"/>
      <c r="M120" s="4"/>
      <c r="N120" s="4"/>
      <c r="O120" s="9"/>
      <c r="P120" s="9"/>
      <c r="Q120" s="9"/>
      <c r="R120" s="9"/>
      <c r="S120" s="9"/>
      <c r="T120" s="9"/>
      <c r="U120" s="9"/>
      <c r="V120" s="9"/>
      <c r="W120" s="9"/>
      <c r="X120" s="9"/>
      <c r="Y120" s="9"/>
      <c r="Z120" s="9"/>
    </row>
    <row r="121" ht="12.0" customHeight="1">
      <c r="A121" s="4"/>
      <c r="B121" s="4"/>
      <c r="C121" s="4"/>
      <c r="D121" s="4"/>
      <c r="E121" s="4"/>
      <c r="F121" s="4"/>
      <c r="G121" s="4"/>
      <c r="H121" s="4"/>
      <c r="I121" s="4"/>
      <c r="J121" s="4"/>
      <c r="K121" s="4"/>
      <c r="L121" s="4"/>
      <c r="M121" s="4"/>
      <c r="N121" s="4"/>
      <c r="O121" s="9"/>
      <c r="P121" s="9"/>
      <c r="Q121" s="9"/>
      <c r="R121" s="9"/>
      <c r="S121" s="9"/>
      <c r="T121" s="9"/>
      <c r="U121" s="9"/>
      <c r="V121" s="9"/>
      <c r="W121" s="9"/>
      <c r="X121" s="9"/>
      <c r="Y121" s="9"/>
      <c r="Z121" s="9"/>
    </row>
    <row r="122" ht="12.0" customHeight="1">
      <c r="A122" s="4"/>
      <c r="B122" s="4"/>
      <c r="C122" s="4"/>
      <c r="D122" s="4"/>
      <c r="E122" s="4"/>
      <c r="F122" s="4"/>
      <c r="G122" s="4"/>
      <c r="H122" s="4"/>
      <c r="I122" s="4"/>
      <c r="J122" s="4"/>
      <c r="K122" s="4"/>
      <c r="L122" s="4"/>
      <c r="M122" s="4"/>
      <c r="N122" s="4"/>
      <c r="O122" s="9"/>
      <c r="P122" s="9"/>
      <c r="Q122" s="9"/>
      <c r="R122" s="9"/>
      <c r="S122" s="9"/>
      <c r="T122" s="9"/>
      <c r="U122" s="9"/>
      <c r="V122" s="9"/>
      <c r="W122" s="9"/>
      <c r="X122" s="9"/>
      <c r="Y122" s="9"/>
      <c r="Z122" s="9"/>
    </row>
    <row r="123" ht="12.0" customHeight="1">
      <c r="A123" s="4"/>
      <c r="B123" s="4"/>
      <c r="C123" s="4"/>
      <c r="D123" s="4"/>
      <c r="E123" s="4"/>
      <c r="F123" s="4"/>
      <c r="G123" s="4"/>
      <c r="H123" s="4"/>
      <c r="I123" s="4"/>
      <c r="J123" s="4"/>
      <c r="K123" s="4"/>
      <c r="L123" s="4"/>
      <c r="M123" s="4"/>
      <c r="N123" s="4"/>
      <c r="O123" s="9"/>
      <c r="P123" s="9"/>
      <c r="Q123" s="9"/>
      <c r="R123" s="9"/>
      <c r="S123" s="9"/>
      <c r="T123" s="9"/>
      <c r="U123" s="9"/>
      <c r="V123" s="9"/>
      <c r="W123" s="9"/>
      <c r="X123" s="9"/>
      <c r="Y123" s="9"/>
      <c r="Z123" s="9"/>
    </row>
    <row r="124" ht="12.0" customHeight="1">
      <c r="A124" s="4"/>
      <c r="B124" s="4"/>
      <c r="C124" s="4"/>
      <c r="D124" s="4"/>
      <c r="E124" s="4"/>
      <c r="F124" s="4"/>
      <c r="G124" s="4"/>
      <c r="H124" s="4"/>
      <c r="I124" s="4"/>
      <c r="J124" s="4"/>
      <c r="K124" s="4"/>
      <c r="L124" s="4"/>
      <c r="M124" s="4"/>
      <c r="N124" s="4"/>
      <c r="O124" s="9"/>
      <c r="P124" s="9"/>
      <c r="Q124" s="9"/>
      <c r="R124" s="9"/>
      <c r="S124" s="9"/>
      <c r="T124" s="9"/>
      <c r="U124" s="9"/>
      <c r="V124" s="9"/>
      <c r="W124" s="9"/>
      <c r="X124" s="9"/>
      <c r="Y124" s="9"/>
      <c r="Z124" s="9"/>
    </row>
    <row r="125" ht="12.0" customHeight="1">
      <c r="A125" s="4"/>
      <c r="B125" s="4"/>
      <c r="C125" s="4"/>
      <c r="D125" s="4"/>
      <c r="E125" s="4"/>
      <c r="F125" s="4"/>
      <c r="G125" s="4"/>
      <c r="H125" s="4"/>
      <c r="I125" s="4"/>
      <c r="J125" s="4"/>
      <c r="K125" s="4"/>
      <c r="L125" s="4"/>
      <c r="M125" s="4"/>
      <c r="N125" s="4"/>
      <c r="O125" s="9"/>
      <c r="P125" s="9"/>
      <c r="Q125" s="9"/>
      <c r="R125" s="9"/>
      <c r="S125" s="9"/>
      <c r="T125" s="9"/>
      <c r="U125" s="9"/>
      <c r="V125" s="9"/>
      <c r="W125" s="9"/>
      <c r="X125" s="9"/>
      <c r="Y125" s="9"/>
      <c r="Z125" s="9"/>
    </row>
    <row r="126" ht="12.0" customHeight="1">
      <c r="A126" s="4"/>
      <c r="B126" s="4"/>
      <c r="C126" s="4"/>
      <c r="D126" s="4"/>
      <c r="E126" s="4"/>
      <c r="F126" s="4"/>
      <c r="G126" s="4"/>
      <c r="H126" s="4"/>
      <c r="I126" s="4"/>
      <c r="J126" s="4"/>
      <c r="K126" s="4"/>
      <c r="L126" s="4"/>
      <c r="M126" s="4"/>
      <c r="N126" s="4"/>
      <c r="O126" s="9"/>
      <c r="P126" s="9"/>
      <c r="Q126" s="9"/>
      <c r="R126" s="9"/>
      <c r="S126" s="9"/>
      <c r="T126" s="9"/>
      <c r="U126" s="9"/>
      <c r="V126" s="9"/>
      <c r="W126" s="9"/>
      <c r="X126" s="9"/>
      <c r="Y126" s="9"/>
      <c r="Z126" s="9"/>
    </row>
    <row r="127" ht="12.0" customHeight="1">
      <c r="A127" s="4"/>
      <c r="B127" s="4"/>
      <c r="C127" s="4"/>
      <c r="D127" s="4"/>
      <c r="E127" s="4"/>
      <c r="F127" s="4"/>
      <c r="G127" s="4"/>
      <c r="H127" s="4"/>
      <c r="I127" s="4"/>
      <c r="J127" s="4"/>
      <c r="K127" s="4"/>
      <c r="L127" s="4"/>
      <c r="M127" s="4"/>
      <c r="N127" s="4"/>
      <c r="O127" s="9"/>
      <c r="P127" s="9"/>
      <c r="Q127" s="9"/>
      <c r="R127" s="9"/>
      <c r="S127" s="9"/>
      <c r="T127" s="9"/>
      <c r="U127" s="9"/>
      <c r="V127" s="9"/>
      <c r="W127" s="9"/>
      <c r="X127" s="9"/>
      <c r="Y127" s="9"/>
      <c r="Z127" s="9"/>
    </row>
    <row r="128" ht="12.0" customHeight="1">
      <c r="A128" s="4"/>
      <c r="B128" s="4"/>
      <c r="C128" s="4"/>
      <c r="D128" s="4"/>
      <c r="E128" s="4"/>
      <c r="F128" s="4"/>
      <c r="G128" s="4"/>
      <c r="H128" s="4"/>
      <c r="I128" s="4"/>
      <c r="J128" s="4"/>
      <c r="K128" s="4"/>
      <c r="L128" s="4"/>
      <c r="M128" s="4"/>
      <c r="N128" s="4"/>
      <c r="O128" s="9"/>
      <c r="P128" s="9"/>
      <c r="Q128" s="9"/>
      <c r="R128" s="9"/>
      <c r="S128" s="9"/>
      <c r="T128" s="9"/>
      <c r="U128" s="9"/>
      <c r="V128" s="9"/>
      <c r="W128" s="9"/>
      <c r="X128" s="9"/>
      <c r="Y128" s="9"/>
      <c r="Z128" s="9"/>
    </row>
    <row r="129" ht="12.0" customHeight="1">
      <c r="A129" s="4"/>
      <c r="B129" s="4"/>
      <c r="C129" s="4"/>
      <c r="D129" s="4"/>
      <c r="E129" s="4"/>
      <c r="F129" s="4"/>
      <c r="G129" s="4"/>
      <c r="H129" s="4"/>
      <c r="I129" s="4"/>
      <c r="J129" s="4"/>
      <c r="K129" s="4"/>
      <c r="L129" s="4"/>
      <c r="M129" s="4"/>
      <c r="N129" s="4"/>
      <c r="O129" s="9"/>
      <c r="P129" s="9"/>
      <c r="Q129" s="9"/>
      <c r="R129" s="9"/>
      <c r="S129" s="9"/>
      <c r="T129" s="9"/>
      <c r="U129" s="9"/>
      <c r="V129" s="9"/>
      <c r="W129" s="9"/>
      <c r="X129" s="9"/>
      <c r="Y129" s="9"/>
      <c r="Z129" s="9"/>
    </row>
    <row r="130" ht="12.0" customHeight="1">
      <c r="A130" s="4"/>
      <c r="B130" s="4"/>
      <c r="C130" s="4"/>
      <c r="D130" s="4"/>
      <c r="E130" s="4"/>
      <c r="F130" s="4"/>
      <c r="G130" s="4"/>
      <c r="H130" s="4"/>
      <c r="I130" s="4"/>
      <c r="J130" s="4"/>
      <c r="K130" s="4"/>
      <c r="L130" s="4"/>
      <c r="M130" s="4"/>
      <c r="N130" s="4"/>
      <c r="O130" s="9"/>
      <c r="P130" s="9"/>
      <c r="Q130" s="9"/>
      <c r="R130" s="9"/>
      <c r="S130" s="9"/>
      <c r="T130" s="9"/>
      <c r="U130" s="9"/>
      <c r="V130" s="9"/>
      <c r="W130" s="9"/>
      <c r="X130" s="9"/>
      <c r="Y130" s="9"/>
      <c r="Z130" s="9"/>
    </row>
    <row r="131" ht="12.0" customHeight="1">
      <c r="A131" s="4"/>
      <c r="B131" s="4"/>
      <c r="C131" s="4"/>
      <c r="D131" s="4"/>
      <c r="E131" s="4"/>
      <c r="F131" s="4"/>
      <c r="G131" s="4"/>
      <c r="H131" s="4"/>
      <c r="I131" s="4"/>
      <c r="J131" s="4"/>
      <c r="K131" s="4"/>
      <c r="L131" s="4"/>
      <c r="M131" s="4"/>
      <c r="N131" s="4"/>
      <c r="O131" s="9"/>
      <c r="P131" s="9"/>
      <c r="Q131" s="9"/>
      <c r="R131" s="9"/>
      <c r="S131" s="9"/>
      <c r="T131" s="9"/>
      <c r="U131" s="9"/>
      <c r="V131" s="9"/>
      <c r="W131" s="9"/>
      <c r="X131" s="9"/>
      <c r="Y131" s="9"/>
      <c r="Z131" s="9"/>
    </row>
    <row r="132" ht="12.0" customHeight="1">
      <c r="A132" s="4"/>
      <c r="B132" s="4"/>
      <c r="C132" s="4"/>
      <c r="D132" s="4"/>
      <c r="E132" s="4"/>
      <c r="F132" s="4"/>
      <c r="G132" s="4"/>
      <c r="H132" s="4"/>
      <c r="I132" s="4"/>
      <c r="J132" s="4"/>
      <c r="K132" s="4"/>
      <c r="L132" s="4"/>
      <c r="M132" s="4"/>
      <c r="N132" s="4"/>
      <c r="O132" s="9"/>
      <c r="P132" s="9"/>
      <c r="Q132" s="9"/>
      <c r="R132" s="9"/>
      <c r="S132" s="9"/>
      <c r="T132" s="9"/>
      <c r="U132" s="9"/>
      <c r="V132" s="9"/>
      <c r="W132" s="9"/>
      <c r="X132" s="9"/>
      <c r="Y132" s="9"/>
      <c r="Z132" s="9"/>
    </row>
    <row r="133" ht="12.0" customHeight="1">
      <c r="A133" s="4"/>
      <c r="B133" s="4"/>
      <c r="C133" s="4"/>
      <c r="D133" s="4"/>
      <c r="E133" s="4"/>
      <c r="F133" s="4"/>
      <c r="G133" s="4"/>
      <c r="H133" s="4"/>
      <c r="I133" s="4"/>
      <c r="J133" s="4"/>
      <c r="K133" s="4"/>
      <c r="L133" s="4"/>
      <c r="M133" s="4"/>
      <c r="N133" s="4"/>
      <c r="O133" s="9"/>
      <c r="P133" s="9"/>
      <c r="Q133" s="9"/>
      <c r="R133" s="9"/>
      <c r="S133" s="9"/>
      <c r="T133" s="9"/>
      <c r="U133" s="9"/>
      <c r="V133" s="9"/>
      <c r="W133" s="9"/>
      <c r="X133" s="9"/>
      <c r="Y133" s="9"/>
      <c r="Z133" s="9"/>
    </row>
    <row r="134" ht="12.0" customHeight="1">
      <c r="A134" s="4"/>
      <c r="B134" s="4"/>
      <c r="C134" s="4"/>
      <c r="D134" s="4"/>
      <c r="E134" s="4"/>
      <c r="F134" s="4"/>
      <c r="G134" s="4"/>
      <c r="H134" s="4"/>
      <c r="I134" s="4"/>
      <c r="J134" s="4"/>
      <c r="K134" s="4"/>
      <c r="L134" s="4"/>
      <c r="M134" s="4"/>
      <c r="N134" s="4"/>
      <c r="O134" s="9"/>
      <c r="P134" s="9"/>
      <c r="Q134" s="9"/>
      <c r="R134" s="9"/>
      <c r="S134" s="9"/>
      <c r="T134" s="9"/>
      <c r="U134" s="9"/>
      <c r="V134" s="9"/>
      <c r="W134" s="9"/>
      <c r="X134" s="9"/>
      <c r="Y134" s="9"/>
      <c r="Z134" s="9"/>
    </row>
    <row r="135" ht="12.0" customHeight="1">
      <c r="A135" s="4"/>
      <c r="B135" s="4"/>
      <c r="C135" s="4"/>
      <c r="D135" s="4"/>
      <c r="E135" s="4"/>
      <c r="F135" s="4"/>
      <c r="G135" s="4"/>
      <c r="H135" s="4"/>
      <c r="I135" s="4"/>
      <c r="J135" s="4"/>
      <c r="K135" s="4"/>
      <c r="L135" s="4"/>
      <c r="M135" s="4"/>
      <c r="N135" s="4"/>
      <c r="O135" s="9"/>
      <c r="P135" s="9"/>
      <c r="Q135" s="9"/>
      <c r="R135" s="9"/>
      <c r="S135" s="9"/>
      <c r="T135" s="9"/>
      <c r="U135" s="9"/>
      <c r="V135" s="9"/>
      <c r="W135" s="9"/>
      <c r="X135" s="9"/>
      <c r="Y135" s="9"/>
      <c r="Z135" s="9"/>
    </row>
    <row r="136" ht="12.0" customHeight="1">
      <c r="A136" s="4"/>
      <c r="B136" s="4"/>
      <c r="C136" s="4"/>
      <c r="D136" s="4"/>
      <c r="E136" s="4"/>
      <c r="F136" s="4"/>
      <c r="G136" s="4"/>
      <c r="H136" s="4"/>
      <c r="I136" s="4"/>
      <c r="J136" s="4"/>
      <c r="K136" s="4"/>
      <c r="L136" s="4"/>
      <c r="M136" s="4"/>
      <c r="N136" s="4"/>
      <c r="O136" s="9"/>
      <c r="P136" s="9"/>
      <c r="Q136" s="9"/>
      <c r="R136" s="9"/>
      <c r="S136" s="9"/>
      <c r="T136" s="9"/>
      <c r="U136" s="9"/>
      <c r="V136" s="9"/>
      <c r="W136" s="9"/>
      <c r="X136" s="9"/>
      <c r="Y136" s="9"/>
      <c r="Z136" s="9"/>
    </row>
    <row r="137" ht="12.0" customHeight="1">
      <c r="A137" s="4"/>
      <c r="B137" s="4"/>
      <c r="C137" s="4"/>
      <c r="D137" s="4"/>
      <c r="E137" s="4"/>
      <c r="F137" s="4"/>
      <c r="G137" s="4"/>
      <c r="H137" s="4"/>
      <c r="I137" s="4"/>
      <c r="J137" s="4"/>
      <c r="K137" s="4"/>
      <c r="L137" s="4"/>
      <c r="M137" s="4"/>
      <c r="N137" s="4"/>
      <c r="O137" s="9"/>
      <c r="P137" s="9"/>
      <c r="Q137" s="9"/>
      <c r="R137" s="9"/>
      <c r="S137" s="9"/>
      <c r="T137" s="9"/>
      <c r="U137" s="9"/>
      <c r="V137" s="9"/>
      <c r="W137" s="9"/>
      <c r="X137" s="9"/>
      <c r="Y137" s="9"/>
      <c r="Z137" s="9"/>
    </row>
    <row r="138" ht="12.0" customHeight="1">
      <c r="A138" s="4"/>
      <c r="B138" s="4"/>
      <c r="C138" s="4"/>
      <c r="D138" s="4"/>
      <c r="E138" s="4"/>
      <c r="F138" s="4"/>
      <c r="G138" s="4"/>
      <c r="H138" s="4"/>
      <c r="I138" s="4"/>
      <c r="J138" s="4"/>
      <c r="K138" s="4"/>
      <c r="L138" s="4"/>
      <c r="M138" s="4"/>
      <c r="N138" s="4"/>
      <c r="O138" s="9"/>
      <c r="P138" s="9"/>
      <c r="Q138" s="9"/>
      <c r="R138" s="9"/>
      <c r="S138" s="9"/>
      <c r="T138" s="9"/>
      <c r="U138" s="9"/>
      <c r="V138" s="9"/>
      <c r="W138" s="9"/>
      <c r="X138" s="9"/>
      <c r="Y138" s="9"/>
      <c r="Z138" s="9"/>
    </row>
    <row r="139" ht="12.0" customHeight="1">
      <c r="A139" s="4"/>
      <c r="B139" s="4"/>
      <c r="C139" s="4"/>
      <c r="D139" s="4"/>
      <c r="E139" s="4"/>
      <c r="F139" s="4"/>
      <c r="G139" s="4"/>
      <c r="H139" s="4"/>
      <c r="I139" s="4"/>
      <c r="J139" s="4"/>
      <c r="K139" s="4"/>
      <c r="L139" s="4"/>
      <c r="M139" s="4"/>
      <c r="N139" s="4"/>
      <c r="O139" s="9"/>
      <c r="P139" s="9"/>
      <c r="Q139" s="9"/>
      <c r="R139" s="9"/>
      <c r="S139" s="9"/>
      <c r="T139" s="9"/>
      <c r="U139" s="9"/>
      <c r="V139" s="9"/>
      <c r="W139" s="9"/>
      <c r="X139" s="9"/>
      <c r="Y139" s="9"/>
      <c r="Z139" s="9"/>
    </row>
    <row r="140" ht="12.0" customHeight="1">
      <c r="A140" s="4"/>
      <c r="B140" s="4"/>
      <c r="C140" s="4"/>
      <c r="D140" s="4"/>
      <c r="E140" s="4"/>
      <c r="F140" s="4"/>
      <c r="G140" s="4"/>
      <c r="H140" s="4"/>
      <c r="I140" s="4"/>
      <c r="J140" s="4"/>
      <c r="K140" s="4"/>
      <c r="L140" s="4"/>
      <c r="M140" s="4"/>
      <c r="N140" s="4"/>
      <c r="O140" s="9"/>
      <c r="P140" s="9"/>
      <c r="Q140" s="9"/>
      <c r="R140" s="9"/>
      <c r="S140" s="9"/>
      <c r="T140" s="9"/>
      <c r="U140" s="9"/>
      <c r="V140" s="9"/>
      <c r="W140" s="9"/>
      <c r="X140" s="9"/>
      <c r="Y140" s="9"/>
      <c r="Z140" s="9"/>
    </row>
    <row r="141" ht="12.0" customHeight="1">
      <c r="A141" s="4"/>
      <c r="B141" s="4"/>
      <c r="C141" s="4"/>
      <c r="D141" s="4"/>
      <c r="E141" s="4"/>
      <c r="F141" s="4"/>
      <c r="G141" s="4"/>
      <c r="H141" s="4"/>
      <c r="I141" s="4"/>
      <c r="J141" s="4"/>
      <c r="K141" s="4"/>
      <c r="L141" s="4"/>
      <c r="M141" s="4"/>
      <c r="N141" s="4"/>
      <c r="O141" s="9"/>
      <c r="P141" s="9"/>
      <c r="Q141" s="9"/>
      <c r="R141" s="9"/>
      <c r="S141" s="9"/>
      <c r="T141" s="9"/>
      <c r="U141" s="9"/>
      <c r="V141" s="9"/>
      <c r="W141" s="9"/>
      <c r="X141" s="9"/>
      <c r="Y141" s="9"/>
      <c r="Z141" s="9"/>
    </row>
    <row r="142" ht="12.0" customHeight="1">
      <c r="A142" s="4"/>
      <c r="B142" s="4"/>
      <c r="C142" s="4"/>
      <c r="D142" s="4"/>
      <c r="E142" s="4"/>
      <c r="F142" s="4"/>
      <c r="G142" s="4"/>
      <c r="H142" s="4"/>
      <c r="I142" s="4"/>
      <c r="J142" s="4"/>
      <c r="K142" s="4"/>
      <c r="L142" s="4"/>
      <c r="M142" s="4"/>
      <c r="N142" s="4"/>
      <c r="O142" s="9"/>
      <c r="P142" s="9"/>
      <c r="Q142" s="9"/>
      <c r="R142" s="9"/>
      <c r="S142" s="9"/>
      <c r="T142" s="9"/>
      <c r="U142" s="9"/>
      <c r="V142" s="9"/>
      <c r="W142" s="9"/>
      <c r="X142" s="9"/>
      <c r="Y142" s="9"/>
      <c r="Z142" s="9"/>
    </row>
    <row r="143" ht="12.0" customHeight="1">
      <c r="A143" s="4"/>
      <c r="B143" s="4"/>
      <c r="C143" s="4"/>
      <c r="D143" s="4"/>
      <c r="E143" s="4"/>
      <c r="F143" s="4"/>
      <c r="G143" s="4"/>
      <c r="H143" s="4"/>
      <c r="I143" s="4"/>
      <c r="J143" s="4"/>
      <c r="K143" s="4"/>
      <c r="L143" s="4"/>
      <c r="M143" s="4"/>
      <c r="N143" s="4"/>
      <c r="O143" s="9"/>
      <c r="P143" s="9"/>
      <c r="Q143" s="9"/>
      <c r="R143" s="9"/>
      <c r="S143" s="9"/>
      <c r="T143" s="9"/>
      <c r="U143" s="9"/>
      <c r="V143" s="9"/>
      <c r="W143" s="9"/>
      <c r="X143" s="9"/>
      <c r="Y143" s="9"/>
      <c r="Z143" s="9"/>
    </row>
    <row r="144" ht="12.0" customHeight="1">
      <c r="A144" s="4"/>
      <c r="B144" s="4"/>
      <c r="C144" s="4"/>
      <c r="D144" s="4"/>
      <c r="E144" s="4"/>
      <c r="F144" s="4"/>
      <c r="G144" s="4"/>
      <c r="H144" s="4"/>
      <c r="I144" s="4"/>
      <c r="J144" s="4"/>
      <c r="K144" s="4"/>
      <c r="L144" s="4"/>
      <c r="M144" s="4"/>
      <c r="N144" s="4"/>
      <c r="O144" s="9"/>
      <c r="P144" s="9"/>
      <c r="Q144" s="9"/>
      <c r="R144" s="9"/>
      <c r="S144" s="9"/>
      <c r="T144" s="9"/>
      <c r="U144" s="9"/>
      <c r="V144" s="9"/>
      <c r="W144" s="9"/>
      <c r="X144" s="9"/>
      <c r="Y144" s="9"/>
      <c r="Z144" s="9"/>
    </row>
    <row r="145" ht="12.0" customHeight="1">
      <c r="A145" s="4"/>
      <c r="B145" s="4"/>
      <c r="C145" s="4"/>
      <c r="D145" s="4"/>
      <c r="E145" s="4"/>
      <c r="F145" s="4"/>
      <c r="G145" s="4"/>
      <c r="H145" s="4"/>
      <c r="I145" s="4"/>
      <c r="J145" s="4"/>
      <c r="K145" s="4"/>
      <c r="L145" s="4"/>
      <c r="M145" s="4"/>
      <c r="N145" s="4"/>
      <c r="O145" s="9"/>
      <c r="P145" s="9"/>
      <c r="Q145" s="9"/>
      <c r="R145" s="9"/>
      <c r="S145" s="9"/>
      <c r="T145" s="9"/>
      <c r="U145" s="9"/>
      <c r="V145" s="9"/>
      <c r="W145" s="9"/>
      <c r="X145" s="9"/>
      <c r="Y145" s="9"/>
      <c r="Z145" s="9"/>
    </row>
    <row r="146" ht="12.0" customHeight="1">
      <c r="A146" s="4"/>
      <c r="B146" s="4"/>
      <c r="C146" s="4"/>
      <c r="D146" s="4"/>
      <c r="E146" s="4"/>
      <c r="F146" s="4"/>
      <c r="G146" s="4"/>
      <c r="H146" s="4"/>
      <c r="I146" s="4"/>
      <c r="J146" s="4"/>
      <c r="K146" s="4"/>
      <c r="L146" s="4"/>
      <c r="M146" s="4"/>
      <c r="N146" s="4"/>
      <c r="O146" s="9"/>
      <c r="P146" s="9"/>
      <c r="Q146" s="9"/>
      <c r="R146" s="9"/>
      <c r="S146" s="9"/>
      <c r="T146" s="9"/>
      <c r="U146" s="9"/>
      <c r="V146" s="9"/>
      <c r="W146" s="9"/>
      <c r="X146" s="9"/>
      <c r="Y146" s="9"/>
      <c r="Z146" s="9"/>
    </row>
    <row r="147" ht="12.0" customHeight="1">
      <c r="A147" s="4"/>
      <c r="B147" s="4"/>
      <c r="C147" s="4"/>
      <c r="D147" s="4"/>
      <c r="E147" s="4"/>
      <c r="F147" s="4"/>
      <c r="G147" s="4"/>
      <c r="H147" s="4"/>
      <c r="I147" s="4"/>
      <c r="J147" s="4"/>
      <c r="K147" s="4"/>
      <c r="L147" s="4"/>
      <c r="M147" s="4"/>
      <c r="N147" s="4"/>
      <c r="O147" s="9"/>
      <c r="P147" s="9"/>
      <c r="Q147" s="9"/>
      <c r="R147" s="9"/>
      <c r="S147" s="9"/>
      <c r="T147" s="9"/>
      <c r="U147" s="9"/>
      <c r="V147" s="9"/>
      <c r="W147" s="9"/>
      <c r="X147" s="9"/>
      <c r="Y147" s="9"/>
      <c r="Z147" s="9"/>
    </row>
    <row r="148" ht="12.0" customHeight="1">
      <c r="A148" s="4"/>
      <c r="B148" s="4"/>
      <c r="C148" s="4"/>
      <c r="D148" s="4"/>
      <c r="E148" s="4"/>
      <c r="F148" s="4"/>
      <c r="G148" s="4"/>
      <c r="H148" s="4"/>
      <c r="I148" s="4"/>
      <c r="J148" s="4"/>
      <c r="K148" s="4"/>
      <c r="L148" s="4"/>
      <c r="M148" s="4"/>
      <c r="N148" s="4"/>
      <c r="O148" s="9"/>
      <c r="P148" s="9"/>
      <c r="Q148" s="9"/>
      <c r="R148" s="9"/>
      <c r="S148" s="9"/>
      <c r="T148" s="9"/>
      <c r="U148" s="9"/>
      <c r="V148" s="9"/>
      <c r="W148" s="9"/>
      <c r="X148" s="9"/>
      <c r="Y148" s="9"/>
      <c r="Z148" s="9"/>
    </row>
    <row r="149" ht="12.0" customHeight="1">
      <c r="A149" s="4"/>
      <c r="B149" s="4"/>
      <c r="C149" s="4"/>
      <c r="D149" s="4"/>
      <c r="E149" s="4"/>
      <c r="F149" s="4"/>
      <c r="G149" s="4"/>
      <c r="H149" s="4"/>
      <c r="I149" s="4"/>
      <c r="J149" s="4"/>
      <c r="K149" s="4"/>
      <c r="L149" s="4"/>
      <c r="M149" s="4"/>
      <c r="N149" s="4"/>
      <c r="O149" s="9"/>
      <c r="P149" s="9"/>
      <c r="Q149" s="9"/>
      <c r="R149" s="9"/>
      <c r="S149" s="9"/>
      <c r="T149" s="9"/>
      <c r="U149" s="9"/>
      <c r="V149" s="9"/>
      <c r="W149" s="9"/>
      <c r="X149" s="9"/>
      <c r="Y149" s="9"/>
      <c r="Z149" s="9"/>
    </row>
    <row r="150" ht="12.0" customHeight="1">
      <c r="A150" s="4"/>
      <c r="B150" s="4"/>
      <c r="C150" s="4"/>
      <c r="D150" s="4"/>
      <c r="E150" s="4"/>
      <c r="F150" s="4"/>
      <c r="G150" s="4"/>
      <c r="H150" s="4"/>
      <c r="I150" s="4"/>
      <c r="J150" s="4"/>
      <c r="K150" s="4"/>
      <c r="L150" s="4"/>
      <c r="M150" s="4"/>
      <c r="N150" s="4"/>
      <c r="O150" s="9"/>
      <c r="P150" s="9"/>
      <c r="Q150" s="9"/>
      <c r="R150" s="9"/>
      <c r="S150" s="9"/>
      <c r="T150" s="9"/>
      <c r="U150" s="9"/>
      <c r="V150" s="9"/>
      <c r="W150" s="9"/>
      <c r="X150" s="9"/>
      <c r="Y150" s="9"/>
      <c r="Z150" s="9"/>
    </row>
    <row r="151" ht="12.0" customHeight="1">
      <c r="A151" s="4"/>
      <c r="B151" s="4"/>
      <c r="C151" s="4"/>
      <c r="D151" s="4"/>
      <c r="E151" s="4"/>
      <c r="F151" s="4"/>
      <c r="G151" s="4"/>
      <c r="H151" s="4"/>
      <c r="I151" s="4"/>
      <c r="J151" s="4"/>
      <c r="K151" s="4"/>
      <c r="L151" s="4"/>
      <c r="M151" s="4"/>
      <c r="N151" s="4"/>
      <c r="O151" s="9"/>
      <c r="P151" s="9"/>
      <c r="Q151" s="9"/>
      <c r="R151" s="9"/>
      <c r="S151" s="9"/>
      <c r="T151" s="9"/>
      <c r="U151" s="9"/>
      <c r="V151" s="9"/>
      <c r="W151" s="9"/>
      <c r="X151" s="9"/>
      <c r="Y151" s="9"/>
      <c r="Z151" s="9"/>
    </row>
    <row r="152" ht="12.0" customHeight="1">
      <c r="A152" s="4"/>
      <c r="B152" s="4"/>
      <c r="C152" s="4"/>
      <c r="D152" s="4"/>
      <c r="E152" s="4"/>
      <c r="F152" s="4"/>
      <c r="G152" s="4"/>
      <c r="H152" s="4"/>
      <c r="I152" s="4"/>
      <c r="J152" s="4"/>
      <c r="K152" s="4"/>
      <c r="L152" s="4"/>
      <c r="M152" s="4"/>
      <c r="N152" s="4"/>
      <c r="O152" s="9"/>
      <c r="P152" s="9"/>
      <c r="Q152" s="9"/>
      <c r="R152" s="9"/>
      <c r="S152" s="9"/>
      <c r="T152" s="9"/>
      <c r="U152" s="9"/>
      <c r="V152" s="9"/>
      <c r="W152" s="9"/>
      <c r="X152" s="9"/>
      <c r="Y152" s="9"/>
      <c r="Z152" s="9"/>
    </row>
    <row r="153" ht="12.0" customHeight="1">
      <c r="A153" s="4"/>
      <c r="B153" s="4"/>
      <c r="C153" s="4"/>
      <c r="D153" s="4"/>
      <c r="E153" s="4"/>
      <c r="F153" s="4"/>
      <c r="G153" s="4"/>
      <c r="H153" s="4"/>
      <c r="I153" s="4"/>
      <c r="J153" s="4"/>
      <c r="K153" s="4"/>
      <c r="L153" s="4"/>
      <c r="M153" s="4"/>
      <c r="N153" s="4"/>
      <c r="O153" s="9"/>
      <c r="P153" s="9"/>
      <c r="Q153" s="9"/>
      <c r="R153" s="9"/>
      <c r="S153" s="9"/>
      <c r="T153" s="9"/>
      <c r="U153" s="9"/>
      <c r="V153" s="9"/>
      <c r="W153" s="9"/>
      <c r="X153" s="9"/>
      <c r="Y153" s="9"/>
      <c r="Z153" s="9"/>
    </row>
    <row r="154" ht="12.0" customHeight="1">
      <c r="A154" s="4"/>
      <c r="B154" s="4"/>
      <c r="C154" s="4"/>
      <c r="D154" s="4"/>
      <c r="E154" s="4"/>
      <c r="F154" s="4"/>
      <c r="G154" s="4"/>
      <c r="H154" s="4"/>
      <c r="I154" s="4"/>
      <c r="J154" s="4"/>
      <c r="K154" s="4"/>
      <c r="L154" s="4"/>
      <c r="M154" s="4"/>
      <c r="N154" s="4"/>
      <c r="O154" s="9"/>
      <c r="P154" s="9"/>
      <c r="Q154" s="9"/>
      <c r="R154" s="9"/>
      <c r="S154" s="9"/>
      <c r="T154" s="9"/>
      <c r="U154" s="9"/>
      <c r="V154" s="9"/>
      <c r="W154" s="9"/>
      <c r="X154" s="9"/>
      <c r="Y154" s="9"/>
      <c r="Z154" s="9"/>
    </row>
    <row r="155" ht="12.0" customHeight="1">
      <c r="A155" s="4"/>
      <c r="B155" s="4"/>
      <c r="C155" s="4"/>
      <c r="D155" s="4"/>
      <c r="E155" s="4"/>
      <c r="F155" s="4"/>
      <c r="G155" s="4"/>
      <c r="H155" s="4"/>
      <c r="I155" s="4"/>
      <c r="J155" s="4"/>
      <c r="K155" s="4"/>
      <c r="L155" s="4"/>
      <c r="M155" s="4"/>
      <c r="N155" s="4"/>
      <c r="O155" s="9"/>
      <c r="P155" s="9"/>
      <c r="Q155" s="9"/>
      <c r="R155" s="9"/>
      <c r="S155" s="9"/>
      <c r="T155" s="9"/>
      <c r="U155" s="9"/>
      <c r="V155" s="9"/>
      <c r="W155" s="9"/>
      <c r="X155" s="9"/>
      <c r="Y155" s="9"/>
      <c r="Z155" s="9"/>
    </row>
    <row r="156" ht="12.0" customHeight="1">
      <c r="A156" s="4"/>
      <c r="B156" s="4"/>
      <c r="C156" s="4"/>
      <c r="D156" s="4"/>
      <c r="E156" s="4"/>
      <c r="F156" s="4"/>
      <c r="G156" s="4"/>
      <c r="H156" s="4"/>
      <c r="I156" s="4"/>
      <c r="J156" s="4"/>
      <c r="K156" s="4"/>
      <c r="L156" s="4"/>
      <c r="M156" s="4"/>
      <c r="N156" s="4"/>
      <c r="O156" s="9"/>
      <c r="P156" s="9"/>
      <c r="Q156" s="9"/>
      <c r="R156" s="9"/>
      <c r="S156" s="9"/>
      <c r="T156" s="9"/>
      <c r="U156" s="9"/>
      <c r="V156" s="9"/>
      <c r="W156" s="9"/>
      <c r="X156" s="9"/>
      <c r="Y156" s="9"/>
      <c r="Z156" s="9"/>
    </row>
    <row r="157" ht="12.0" customHeight="1">
      <c r="A157" s="4"/>
      <c r="B157" s="4"/>
      <c r="C157" s="4"/>
      <c r="D157" s="4"/>
      <c r="E157" s="4"/>
      <c r="F157" s="4"/>
      <c r="G157" s="4"/>
      <c r="H157" s="4"/>
      <c r="I157" s="4"/>
      <c r="J157" s="4"/>
      <c r="K157" s="4"/>
      <c r="L157" s="4"/>
      <c r="M157" s="4"/>
      <c r="N157" s="4"/>
      <c r="O157" s="9"/>
      <c r="P157" s="9"/>
      <c r="Q157" s="9"/>
      <c r="R157" s="9"/>
      <c r="S157" s="9"/>
      <c r="T157" s="9"/>
      <c r="U157" s="9"/>
      <c r="V157" s="9"/>
      <c r="W157" s="9"/>
      <c r="X157" s="9"/>
      <c r="Y157" s="9"/>
      <c r="Z157" s="9"/>
    </row>
    <row r="158" ht="12.0" customHeight="1">
      <c r="A158" s="4"/>
      <c r="B158" s="4"/>
      <c r="C158" s="4"/>
      <c r="D158" s="4"/>
      <c r="E158" s="4"/>
      <c r="F158" s="4"/>
      <c r="G158" s="4"/>
      <c r="H158" s="4"/>
      <c r="I158" s="4"/>
      <c r="J158" s="4"/>
      <c r="K158" s="4"/>
      <c r="L158" s="4"/>
      <c r="M158" s="4"/>
      <c r="N158" s="4"/>
      <c r="O158" s="9"/>
      <c r="P158" s="9"/>
      <c r="Q158" s="9"/>
      <c r="R158" s="9"/>
      <c r="S158" s="9"/>
      <c r="T158" s="9"/>
      <c r="U158" s="9"/>
      <c r="V158" s="9"/>
      <c r="W158" s="9"/>
      <c r="X158" s="9"/>
      <c r="Y158" s="9"/>
      <c r="Z158" s="9"/>
    </row>
    <row r="159" ht="12.0" customHeight="1">
      <c r="A159" s="4"/>
      <c r="B159" s="4"/>
      <c r="C159" s="4"/>
      <c r="D159" s="4"/>
      <c r="E159" s="4"/>
      <c r="F159" s="4"/>
      <c r="G159" s="4"/>
      <c r="H159" s="4"/>
      <c r="I159" s="4"/>
      <c r="J159" s="4"/>
      <c r="K159" s="4"/>
      <c r="L159" s="4"/>
      <c r="M159" s="4"/>
      <c r="N159" s="4"/>
      <c r="O159" s="9"/>
      <c r="P159" s="9"/>
      <c r="Q159" s="9"/>
      <c r="R159" s="9"/>
      <c r="S159" s="9"/>
      <c r="T159" s="9"/>
      <c r="U159" s="9"/>
      <c r="V159" s="9"/>
      <c r="W159" s="9"/>
      <c r="X159" s="9"/>
      <c r="Y159" s="9"/>
      <c r="Z159" s="9"/>
    </row>
    <row r="160" ht="12.0" customHeight="1">
      <c r="A160" s="4"/>
      <c r="B160" s="4"/>
      <c r="C160" s="4"/>
      <c r="D160" s="4"/>
      <c r="E160" s="4"/>
      <c r="F160" s="4"/>
      <c r="G160" s="4"/>
      <c r="H160" s="4"/>
      <c r="I160" s="4"/>
      <c r="J160" s="4"/>
      <c r="K160" s="4"/>
      <c r="L160" s="4"/>
      <c r="M160" s="4"/>
      <c r="N160" s="4"/>
      <c r="O160" s="9"/>
      <c r="P160" s="9"/>
      <c r="Q160" s="9"/>
      <c r="R160" s="9"/>
      <c r="S160" s="9"/>
      <c r="T160" s="9"/>
      <c r="U160" s="9"/>
      <c r="V160" s="9"/>
      <c r="W160" s="9"/>
      <c r="X160" s="9"/>
      <c r="Y160" s="9"/>
      <c r="Z160" s="9"/>
    </row>
    <row r="161" ht="12.0" customHeight="1">
      <c r="A161" s="4"/>
      <c r="B161" s="4"/>
      <c r="C161" s="4"/>
      <c r="D161" s="4"/>
      <c r="E161" s="4"/>
      <c r="F161" s="4"/>
      <c r="G161" s="4"/>
      <c r="H161" s="4"/>
      <c r="I161" s="4"/>
      <c r="J161" s="4"/>
      <c r="K161" s="4"/>
      <c r="L161" s="4"/>
      <c r="M161" s="4"/>
      <c r="N161" s="4"/>
      <c r="O161" s="9"/>
      <c r="P161" s="9"/>
      <c r="Q161" s="9"/>
      <c r="R161" s="9"/>
      <c r="S161" s="9"/>
      <c r="T161" s="9"/>
      <c r="U161" s="9"/>
      <c r="V161" s="9"/>
      <c r="W161" s="9"/>
      <c r="X161" s="9"/>
      <c r="Y161" s="9"/>
      <c r="Z161" s="9"/>
    </row>
    <row r="162" ht="12.0" customHeight="1">
      <c r="A162" s="4"/>
      <c r="B162" s="4"/>
      <c r="C162" s="4"/>
      <c r="D162" s="4"/>
      <c r="E162" s="4"/>
      <c r="F162" s="4"/>
      <c r="G162" s="4"/>
      <c r="H162" s="4"/>
      <c r="I162" s="4"/>
      <c r="J162" s="4"/>
      <c r="K162" s="4"/>
      <c r="L162" s="4"/>
      <c r="M162" s="4"/>
      <c r="N162" s="4"/>
      <c r="O162" s="9"/>
      <c r="P162" s="9"/>
      <c r="Q162" s="9"/>
      <c r="R162" s="9"/>
      <c r="S162" s="9"/>
      <c r="T162" s="9"/>
      <c r="U162" s="9"/>
      <c r="V162" s="9"/>
      <c r="W162" s="9"/>
      <c r="X162" s="9"/>
      <c r="Y162" s="9"/>
      <c r="Z162" s="9"/>
    </row>
    <row r="163" ht="12.0" customHeight="1">
      <c r="A163" s="4"/>
      <c r="B163" s="4"/>
      <c r="C163" s="4"/>
      <c r="D163" s="4"/>
      <c r="E163" s="4"/>
      <c r="F163" s="4"/>
      <c r="G163" s="4"/>
      <c r="H163" s="4"/>
      <c r="I163" s="4"/>
      <c r="J163" s="4"/>
      <c r="K163" s="4"/>
      <c r="L163" s="4"/>
      <c r="M163" s="4"/>
      <c r="N163" s="4"/>
      <c r="O163" s="9"/>
      <c r="P163" s="9"/>
      <c r="Q163" s="9"/>
      <c r="R163" s="9"/>
      <c r="S163" s="9"/>
      <c r="T163" s="9"/>
      <c r="U163" s="9"/>
      <c r="V163" s="9"/>
      <c r="W163" s="9"/>
      <c r="X163" s="9"/>
      <c r="Y163" s="9"/>
      <c r="Z163" s="9"/>
    </row>
    <row r="164" ht="12.0" customHeight="1">
      <c r="A164" s="4"/>
      <c r="B164" s="4"/>
      <c r="C164" s="4"/>
      <c r="D164" s="4"/>
      <c r="E164" s="4"/>
      <c r="F164" s="4"/>
      <c r="G164" s="4"/>
      <c r="H164" s="4"/>
      <c r="I164" s="4"/>
      <c r="J164" s="4"/>
      <c r="K164" s="4"/>
      <c r="L164" s="4"/>
      <c r="M164" s="4"/>
      <c r="N164" s="4"/>
      <c r="O164" s="9"/>
      <c r="P164" s="9"/>
      <c r="Q164" s="9"/>
      <c r="R164" s="9"/>
      <c r="S164" s="9"/>
      <c r="T164" s="9"/>
      <c r="U164" s="9"/>
      <c r="V164" s="9"/>
      <c r="W164" s="9"/>
      <c r="X164" s="9"/>
      <c r="Y164" s="9"/>
      <c r="Z164" s="9"/>
    </row>
    <row r="165" ht="12.0" customHeight="1">
      <c r="A165" s="4"/>
      <c r="B165" s="4"/>
      <c r="C165" s="4"/>
      <c r="D165" s="4"/>
      <c r="E165" s="4"/>
      <c r="F165" s="4"/>
      <c r="G165" s="4"/>
      <c r="H165" s="4"/>
      <c r="I165" s="4"/>
      <c r="J165" s="4"/>
      <c r="K165" s="4"/>
      <c r="L165" s="4"/>
      <c r="M165" s="4"/>
      <c r="N165" s="4"/>
      <c r="O165" s="9"/>
      <c r="P165" s="9"/>
      <c r="Q165" s="9"/>
      <c r="R165" s="9"/>
      <c r="S165" s="9"/>
      <c r="T165" s="9"/>
      <c r="U165" s="9"/>
      <c r="V165" s="9"/>
      <c r="W165" s="9"/>
      <c r="X165" s="9"/>
      <c r="Y165" s="9"/>
      <c r="Z165" s="9"/>
    </row>
    <row r="166" ht="12.0" customHeight="1">
      <c r="A166" s="4"/>
      <c r="B166" s="4"/>
      <c r="C166" s="4"/>
      <c r="D166" s="4"/>
      <c r="E166" s="4"/>
      <c r="F166" s="4"/>
      <c r="G166" s="4"/>
      <c r="H166" s="4"/>
      <c r="I166" s="4"/>
      <c r="J166" s="4"/>
      <c r="K166" s="4"/>
      <c r="L166" s="4"/>
      <c r="M166" s="4"/>
      <c r="N166" s="4"/>
      <c r="O166" s="9"/>
      <c r="P166" s="9"/>
      <c r="Q166" s="9"/>
      <c r="R166" s="9"/>
      <c r="S166" s="9"/>
      <c r="T166" s="9"/>
      <c r="U166" s="9"/>
      <c r="V166" s="9"/>
      <c r="W166" s="9"/>
      <c r="X166" s="9"/>
      <c r="Y166" s="9"/>
      <c r="Z166" s="9"/>
    </row>
    <row r="167" ht="12.0" customHeight="1">
      <c r="A167" s="4"/>
      <c r="B167" s="4"/>
      <c r="C167" s="4"/>
      <c r="D167" s="4"/>
      <c r="E167" s="4"/>
      <c r="F167" s="4"/>
      <c r="G167" s="4"/>
      <c r="H167" s="4"/>
      <c r="I167" s="4"/>
      <c r="J167" s="4"/>
      <c r="K167" s="4"/>
      <c r="L167" s="4"/>
      <c r="M167" s="4"/>
      <c r="N167" s="4"/>
      <c r="O167" s="9"/>
      <c r="P167" s="9"/>
      <c r="Q167" s="9"/>
      <c r="R167" s="9"/>
      <c r="S167" s="9"/>
      <c r="T167" s="9"/>
      <c r="U167" s="9"/>
      <c r="V167" s="9"/>
      <c r="W167" s="9"/>
      <c r="X167" s="9"/>
      <c r="Y167" s="9"/>
      <c r="Z167" s="9"/>
    </row>
    <row r="168" ht="12.0" customHeight="1">
      <c r="A168" s="4"/>
      <c r="B168" s="4"/>
      <c r="C168" s="4"/>
      <c r="D168" s="4"/>
      <c r="E168" s="4"/>
      <c r="F168" s="4"/>
      <c r="G168" s="4"/>
      <c r="H168" s="4"/>
      <c r="I168" s="4"/>
      <c r="J168" s="4"/>
      <c r="K168" s="4"/>
      <c r="L168" s="4"/>
      <c r="M168" s="4"/>
      <c r="N168" s="4"/>
      <c r="O168" s="9"/>
      <c r="P168" s="9"/>
      <c r="Q168" s="9"/>
      <c r="R168" s="9"/>
      <c r="S168" s="9"/>
      <c r="T168" s="9"/>
      <c r="U168" s="9"/>
      <c r="V168" s="9"/>
      <c r="W168" s="9"/>
      <c r="X168" s="9"/>
      <c r="Y168" s="9"/>
      <c r="Z168" s="9"/>
    </row>
    <row r="169" ht="12.0" customHeight="1">
      <c r="A169" s="4"/>
      <c r="B169" s="4"/>
      <c r="C169" s="4"/>
      <c r="D169" s="4"/>
      <c r="E169" s="4"/>
      <c r="F169" s="4"/>
      <c r="G169" s="4"/>
      <c r="H169" s="4"/>
      <c r="I169" s="4"/>
      <c r="J169" s="4"/>
      <c r="K169" s="4"/>
      <c r="L169" s="4"/>
      <c r="M169" s="4"/>
      <c r="N169" s="4"/>
      <c r="O169" s="9"/>
      <c r="P169" s="9"/>
      <c r="Q169" s="9"/>
      <c r="R169" s="9"/>
      <c r="S169" s="9"/>
      <c r="T169" s="9"/>
      <c r="U169" s="9"/>
      <c r="V169" s="9"/>
      <c r="W169" s="9"/>
      <c r="X169" s="9"/>
      <c r="Y169" s="9"/>
      <c r="Z169" s="9"/>
    </row>
    <row r="170" ht="12.0" customHeight="1">
      <c r="A170" s="4"/>
      <c r="B170" s="4"/>
      <c r="C170" s="4"/>
      <c r="D170" s="4"/>
      <c r="E170" s="4"/>
      <c r="F170" s="4"/>
      <c r="G170" s="4"/>
      <c r="H170" s="4"/>
      <c r="I170" s="4"/>
      <c r="J170" s="4"/>
      <c r="K170" s="4"/>
      <c r="L170" s="4"/>
      <c r="M170" s="4"/>
      <c r="N170" s="4"/>
      <c r="O170" s="9"/>
      <c r="P170" s="9"/>
      <c r="Q170" s="9"/>
      <c r="R170" s="9"/>
      <c r="S170" s="9"/>
      <c r="T170" s="9"/>
      <c r="U170" s="9"/>
      <c r="V170" s="9"/>
      <c r="W170" s="9"/>
      <c r="X170" s="9"/>
      <c r="Y170" s="9"/>
      <c r="Z170" s="9"/>
    </row>
    <row r="171" ht="12.0" customHeight="1">
      <c r="A171" s="4"/>
      <c r="B171" s="4"/>
      <c r="C171" s="4"/>
      <c r="D171" s="4"/>
      <c r="E171" s="4"/>
      <c r="F171" s="4"/>
      <c r="G171" s="4"/>
      <c r="H171" s="4"/>
      <c r="I171" s="4"/>
      <c r="J171" s="4"/>
      <c r="K171" s="4"/>
      <c r="L171" s="4"/>
      <c r="M171" s="4"/>
      <c r="N171" s="4"/>
      <c r="O171" s="9"/>
      <c r="P171" s="9"/>
      <c r="Q171" s="9"/>
      <c r="R171" s="9"/>
      <c r="S171" s="9"/>
      <c r="T171" s="9"/>
      <c r="U171" s="9"/>
      <c r="V171" s="9"/>
      <c r="W171" s="9"/>
      <c r="X171" s="9"/>
      <c r="Y171" s="9"/>
      <c r="Z171" s="9"/>
    </row>
    <row r="172" ht="12.0" customHeight="1">
      <c r="A172" s="4"/>
      <c r="B172" s="4"/>
      <c r="C172" s="4"/>
      <c r="D172" s="4"/>
      <c r="E172" s="4"/>
      <c r="F172" s="4"/>
      <c r="G172" s="4"/>
      <c r="H172" s="4"/>
      <c r="I172" s="4"/>
      <c r="J172" s="4"/>
      <c r="K172" s="4"/>
      <c r="L172" s="4"/>
      <c r="M172" s="4"/>
      <c r="N172" s="4"/>
      <c r="O172" s="9"/>
      <c r="P172" s="9"/>
      <c r="Q172" s="9"/>
      <c r="R172" s="9"/>
      <c r="S172" s="9"/>
      <c r="T172" s="9"/>
      <c r="U172" s="9"/>
      <c r="V172" s="9"/>
      <c r="W172" s="9"/>
      <c r="X172" s="9"/>
      <c r="Y172" s="9"/>
      <c r="Z172" s="9"/>
    </row>
    <row r="173" ht="12.0" customHeight="1">
      <c r="A173" s="4"/>
      <c r="B173" s="4"/>
      <c r="C173" s="4"/>
      <c r="D173" s="4"/>
      <c r="E173" s="4"/>
      <c r="F173" s="4"/>
      <c r="G173" s="4"/>
      <c r="H173" s="4"/>
      <c r="I173" s="4"/>
      <c r="J173" s="4"/>
      <c r="K173" s="4"/>
      <c r="L173" s="4"/>
      <c r="M173" s="4"/>
      <c r="N173" s="4"/>
      <c r="O173" s="9"/>
      <c r="P173" s="9"/>
      <c r="Q173" s="9"/>
      <c r="R173" s="9"/>
      <c r="S173" s="9"/>
      <c r="T173" s="9"/>
      <c r="U173" s="9"/>
      <c r="V173" s="9"/>
      <c r="W173" s="9"/>
      <c r="X173" s="9"/>
      <c r="Y173" s="9"/>
      <c r="Z173" s="9"/>
    </row>
    <row r="174" ht="12.0" customHeight="1">
      <c r="A174" s="4"/>
      <c r="B174" s="4"/>
      <c r="C174" s="4"/>
      <c r="D174" s="4"/>
      <c r="E174" s="4"/>
      <c r="F174" s="4"/>
      <c r="G174" s="4"/>
      <c r="H174" s="4"/>
      <c r="I174" s="4"/>
      <c r="J174" s="4"/>
      <c r="K174" s="4"/>
      <c r="L174" s="4"/>
      <c r="M174" s="4"/>
      <c r="N174" s="4"/>
      <c r="O174" s="9"/>
      <c r="P174" s="9"/>
      <c r="Q174" s="9"/>
      <c r="R174" s="9"/>
      <c r="S174" s="9"/>
      <c r="T174" s="9"/>
      <c r="U174" s="9"/>
      <c r="V174" s="9"/>
      <c r="W174" s="9"/>
      <c r="X174" s="9"/>
      <c r="Y174" s="9"/>
      <c r="Z174" s="9"/>
    </row>
    <row r="175" ht="12.0" customHeight="1">
      <c r="A175" s="4"/>
      <c r="B175" s="4"/>
      <c r="C175" s="4"/>
      <c r="D175" s="4"/>
      <c r="E175" s="4"/>
      <c r="F175" s="4"/>
      <c r="G175" s="4"/>
      <c r="H175" s="4"/>
      <c r="I175" s="4"/>
      <c r="J175" s="4"/>
      <c r="K175" s="4"/>
      <c r="L175" s="4"/>
      <c r="M175" s="4"/>
      <c r="N175" s="4"/>
      <c r="O175" s="9"/>
      <c r="P175" s="9"/>
      <c r="Q175" s="9"/>
      <c r="R175" s="9"/>
      <c r="S175" s="9"/>
      <c r="T175" s="9"/>
      <c r="U175" s="9"/>
      <c r="V175" s="9"/>
      <c r="W175" s="9"/>
      <c r="X175" s="9"/>
      <c r="Y175" s="9"/>
      <c r="Z175" s="9"/>
    </row>
    <row r="176" ht="12.0" customHeight="1">
      <c r="A176" s="4"/>
      <c r="B176" s="4"/>
      <c r="C176" s="4"/>
      <c r="D176" s="4"/>
      <c r="E176" s="4"/>
      <c r="F176" s="4"/>
      <c r="G176" s="4"/>
      <c r="H176" s="4"/>
      <c r="I176" s="4"/>
      <c r="J176" s="4"/>
      <c r="K176" s="4"/>
      <c r="L176" s="4"/>
      <c r="M176" s="4"/>
      <c r="N176" s="4"/>
      <c r="O176" s="9"/>
      <c r="P176" s="9"/>
      <c r="Q176" s="9"/>
      <c r="R176" s="9"/>
      <c r="S176" s="9"/>
      <c r="T176" s="9"/>
      <c r="U176" s="9"/>
      <c r="V176" s="9"/>
      <c r="W176" s="9"/>
      <c r="X176" s="9"/>
      <c r="Y176" s="9"/>
      <c r="Z176" s="9"/>
    </row>
    <row r="177" ht="12.0" customHeight="1">
      <c r="A177" s="4"/>
      <c r="B177" s="4"/>
      <c r="C177" s="4"/>
      <c r="D177" s="4"/>
      <c r="E177" s="4"/>
      <c r="F177" s="4"/>
      <c r="G177" s="4"/>
      <c r="H177" s="4"/>
      <c r="I177" s="4"/>
      <c r="J177" s="4"/>
      <c r="K177" s="4"/>
      <c r="L177" s="4"/>
      <c r="M177" s="4"/>
      <c r="N177" s="4"/>
      <c r="O177" s="9"/>
      <c r="P177" s="9"/>
      <c r="Q177" s="9"/>
      <c r="R177" s="9"/>
      <c r="S177" s="9"/>
      <c r="T177" s="9"/>
      <c r="U177" s="9"/>
      <c r="V177" s="9"/>
      <c r="W177" s="9"/>
      <c r="X177" s="9"/>
      <c r="Y177" s="9"/>
      <c r="Z177" s="9"/>
    </row>
    <row r="178" ht="12.0" customHeight="1">
      <c r="A178" s="4"/>
      <c r="B178" s="4"/>
      <c r="C178" s="4"/>
      <c r="D178" s="4"/>
      <c r="E178" s="4"/>
      <c r="F178" s="4"/>
      <c r="G178" s="4"/>
      <c r="H178" s="4"/>
      <c r="I178" s="4"/>
      <c r="J178" s="4"/>
      <c r="K178" s="4"/>
      <c r="L178" s="4"/>
      <c r="M178" s="4"/>
      <c r="N178" s="4"/>
      <c r="O178" s="9"/>
      <c r="P178" s="9"/>
      <c r="Q178" s="9"/>
      <c r="R178" s="9"/>
      <c r="S178" s="9"/>
      <c r="T178" s="9"/>
      <c r="U178" s="9"/>
      <c r="V178" s="9"/>
      <c r="W178" s="9"/>
      <c r="X178" s="9"/>
      <c r="Y178" s="9"/>
      <c r="Z178" s="9"/>
    </row>
    <row r="179" ht="12.0" customHeight="1">
      <c r="A179" s="4"/>
      <c r="B179" s="4"/>
      <c r="C179" s="4"/>
      <c r="D179" s="4"/>
      <c r="E179" s="4"/>
      <c r="F179" s="4"/>
      <c r="G179" s="4"/>
      <c r="H179" s="4"/>
      <c r="I179" s="4"/>
      <c r="J179" s="4"/>
      <c r="K179" s="4"/>
      <c r="L179" s="4"/>
      <c r="M179" s="4"/>
      <c r="N179" s="4"/>
      <c r="O179" s="9"/>
      <c r="P179" s="9"/>
      <c r="Q179" s="9"/>
      <c r="R179" s="9"/>
      <c r="S179" s="9"/>
      <c r="T179" s="9"/>
      <c r="U179" s="9"/>
      <c r="V179" s="9"/>
      <c r="W179" s="9"/>
      <c r="X179" s="9"/>
      <c r="Y179" s="9"/>
      <c r="Z179" s="9"/>
    </row>
    <row r="180" ht="12.0" customHeight="1">
      <c r="A180" s="4"/>
      <c r="B180" s="4"/>
      <c r="C180" s="4"/>
      <c r="D180" s="4"/>
      <c r="E180" s="4"/>
      <c r="F180" s="4"/>
      <c r="G180" s="4"/>
      <c r="H180" s="4"/>
      <c r="I180" s="4"/>
      <c r="J180" s="4"/>
      <c r="K180" s="4"/>
      <c r="L180" s="4"/>
      <c r="M180" s="4"/>
      <c r="N180" s="4"/>
      <c r="O180" s="9"/>
      <c r="P180" s="9"/>
      <c r="Q180" s="9"/>
      <c r="R180" s="9"/>
      <c r="S180" s="9"/>
      <c r="T180" s="9"/>
      <c r="U180" s="9"/>
      <c r="V180" s="9"/>
      <c r="W180" s="9"/>
      <c r="X180" s="9"/>
      <c r="Y180" s="9"/>
      <c r="Z180" s="9"/>
    </row>
    <row r="181" ht="12.0" customHeight="1">
      <c r="A181" s="4"/>
      <c r="B181" s="4"/>
      <c r="C181" s="4"/>
      <c r="D181" s="4"/>
      <c r="E181" s="4"/>
      <c r="F181" s="4"/>
      <c r="G181" s="4"/>
      <c r="H181" s="4"/>
      <c r="I181" s="4"/>
      <c r="J181" s="4"/>
      <c r="K181" s="4"/>
      <c r="L181" s="4"/>
      <c r="M181" s="4"/>
      <c r="N181" s="4"/>
      <c r="O181" s="9"/>
      <c r="P181" s="9"/>
      <c r="Q181" s="9"/>
      <c r="R181" s="9"/>
      <c r="S181" s="9"/>
      <c r="T181" s="9"/>
      <c r="U181" s="9"/>
      <c r="V181" s="9"/>
      <c r="W181" s="9"/>
      <c r="X181" s="9"/>
      <c r="Y181" s="9"/>
      <c r="Z181" s="9"/>
    </row>
    <row r="182" ht="12.0" customHeight="1">
      <c r="A182" s="4"/>
      <c r="B182" s="4"/>
      <c r="C182" s="4"/>
      <c r="D182" s="4"/>
      <c r="E182" s="4"/>
      <c r="F182" s="4"/>
      <c r="G182" s="4"/>
      <c r="H182" s="4"/>
      <c r="I182" s="4"/>
      <c r="J182" s="4"/>
      <c r="K182" s="4"/>
      <c r="L182" s="4"/>
      <c r="M182" s="4"/>
      <c r="N182" s="4"/>
      <c r="O182" s="9"/>
      <c r="P182" s="9"/>
      <c r="Q182" s="9"/>
      <c r="R182" s="9"/>
      <c r="S182" s="9"/>
      <c r="T182" s="9"/>
      <c r="U182" s="9"/>
      <c r="V182" s="9"/>
      <c r="W182" s="9"/>
      <c r="X182" s="9"/>
      <c r="Y182" s="9"/>
      <c r="Z182" s="9"/>
    </row>
    <row r="183" ht="12.0" customHeight="1">
      <c r="A183" s="4"/>
      <c r="B183" s="4"/>
      <c r="C183" s="4"/>
      <c r="D183" s="4"/>
      <c r="E183" s="4"/>
      <c r="F183" s="4"/>
      <c r="G183" s="4"/>
      <c r="H183" s="4"/>
      <c r="I183" s="4"/>
      <c r="J183" s="4"/>
      <c r="K183" s="4"/>
      <c r="L183" s="4"/>
      <c r="M183" s="4"/>
      <c r="N183" s="4"/>
      <c r="O183" s="9"/>
      <c r="P183" s="9"/>
      <c r="Q183" s="9"/>
      <c r="R183" s="9"/>
      <c r="S183" s="9"/>
      <c r="T183" s="9"/>
      <c r="U183" s="9"/>
      <c r="V183" s="9"/>
      <c r="W183" s="9"/>
      <c r="X183" s="9"/>
      <c r="Y183" s="9"/>
      <c r="Z183" s="9"/>
    </row>
    <row r="184" ht="12.0" customHeight="1">
      <c r="A184" s="4"/>
      <c r="B184" s="4"/>
      <c r="C184" s="4"/>
      <c r="D184" s="4"/>
      <c r="E184" s="4"/>
      <c r="F184" s="4"/>
      <c r="G184" s="4"/>
      <c r="H184" s="4"/>
      <c r="I184" s="4"/>
      <c r="J184" s="4"/>
      <c r="K184" s="4"/>
      <c r="L184" s="4"/>
      <c r="M184" s="4"/>
      <c r="N184" s="4"/>
      <c r="O184" s="9"/>
      <c r="P184" s="9"/>
      <c r="Q184" s="9"/>
      <c r="R184" s="9"/>
      <c r="S184" s="9"/>
      <c r="T184" s="9"/>
      <c r="U184" s="9"/>
      <c r="V184" s="9"/>
      <c r="W184" s="9"/>
      <c r="X184" s="9"/>
      <c r="Y184" s="9"/>
      <c r="Z184" s="9"/>
    </row>
    <row r="185" ht="12.0" customHeight="1">
      <c r="A185" s="4"/>
      <c r="B185" s="4"/>
      <c r="C185" s="4"/>
      <c r="D185" s="4"/>
      <c r="E185" s="4"/>
      <c r="F185" s="4"/>
      <c r="G185" s="4"/>
      <c r="H185" s="4"/>
      <c r="I185" s="4"/>
      <c r="J185" s="4"/>
      <c r="K185" s="4"/>
      <c r="L185" s="4"/>
      <c r="M185" s="4"/>
      <c r="N185" s="4"/>
      <c r="O185" s="9"/>
      <c r="P185" s="9"/>
      <c r="Q185" s="9"/>
      <c r="R185" s="9"/>
      <c r="S185" s="9"/>
      <c r="T185" s="9"/>
      <c r="U185" s="9"/>
      <c r="V185" s="9"/>
      <c r="W185" s="9"/>
      <c r="X185" s="9"/>
      <c r="Y185" s="9"/>
      <c r="Z185" s="9"/>
    </row>
    <row r="186" ht="12.0" customHeight="1">
      <c r="A186" s="4"/>
      <c r="B186" s="4"/>
      <c r="C186" s="4"/>
      <c r="D186" s="4"/>
      <c r="E186" s="4"/>
      <c r="F186" s="4"/>
      <c r="G186" s="4"/>
      <c r="H186" s="4"/>
      <c r="I186" s="4"/>
      <c r="J186" s="4"/>
      <c r="K186" s="4"/>
      <c r="L186" s="4"/>
      <c r="M186" s="4"/>
      <c r="N186" s="4"/>
      <c r="O186" s="9"/>
      <c r="P186" s="9"/>
      <c r="Q186" s="9"/>
      <c r="R186" s="9"/>
      <c r="S186" s="9"/>
      <c r="T186" s="9"/>
      <c r="U186" s="9"/>
      <c r="V186" s="9"/>
      <c r="W186" s="9"/>
      <c r="X186" s="9"/>
      <c r="Y186" s="9"/>
      <c r="Z186" s="9"/>
    </row>
    <row r="187" ht="12.0" customHeight="1">
      <c r="A187" s="4"/>
      <c r="B187" s="4"/>
      <c r="C187" s="4"/>
      <c r="D187" s="4"/>
      <c r="E187" s="4"/>
      <c r="F187" s="4"/>
      <c r="G187" s="4"/>
      <c r="H187" s="4"/>
      <c r="I187" s="4"/>
      <c r="J187" s="4"/>
      <c r="K187" s="4"/>
      <c r="L187" s="4"/>
      <c r="M187" s="4"/>
      <c r="N187" s="4"/>
      <c r="O187" s="9"/>
      <c r="P187" s="9"/>
      <c r="Q187" s="9"/>
      <c r="R187" s="9"/>
      <c r="S187" s="9"/>
      <c r="T187" s="9"/>
      <c r="U187" s="9"/>
      <c r="V187" s="9"/>
      <c r="W187" s="9"/>
      <c r="X187" s="9"/>
      <c r="Y187" s="9"/>
      <c r="Z187" s="9"/>
    </row>
    <row r="188" ht="12.0" customHeight="1">
      <c r="A188" s="4"/>
      <c r="B188" s="4"/>
      <c r="C188" s="4"/>
      <c r="D188" s="4"/>
      <c r="E188" s="4"/>
      <c r="F188" s="4"/>
      <c r="G188" s="4"/>
      <c r="H188" s="4"/>
      <c r="I188" s="4"/>
      <c r="J188" s="4"/>
      <c r="K188" s="4"/>
      <c r="L188" s="4"/>
      <c r="M188" s="4"/>
      <c r="N188" s="4"/>
      <c r="O188" s="9"/>
      <c r="P188" s="9"/>
      <c r="Q188" s="9"/>
      <c r="R188" s="9"/>
      <c r="S188" s="9"/>
      <c r="T188" s="9"/>
      <c r="U188" s="9"/>
      <c r="V188" s="9"/>
      <c r="W188" s="9"/>
      <c r="X188" s="9"/>
      <c r="Y188" s="9"/>
      <c r="Z188" s="9"/>
    </row>
    <row r="189" ht="12.0" customHeight="1">
      <c r="A189" s="4"/>
      <c r="B189" s="4"/>
      <c r="C189" s="4"/>
      <c r="D189" s="4"/>
      <c r="E189" s="4"/>
      <c r="F189" s="4"/>
      <c r="G189" s="4"/>
      <c r="H189" s="4"/>
      <c r="I189" s="4"/>
      <c r="J189" s="4"/>
      <c r="K189" s="4"/>
      <c r="L189" s="4"/>
      <c r="M189" s="4"/>
      <c r="N189" s="4"/>
      <c r="O189" s="9"/>
      <c r="P189" s="9"/>
      <c r="Q189" s="9"/>
      <c r="R189" s="9"/>
      <c r="S189" s="9"/>
      <c r="T189" s="9"/>
      <c r="U189" s="9"/>
      <c r="V189" s="9"/>
      <c r="W189" s="9"/>
      <c r="X189" s="9"/>
      <c r="Y189" s="9"/>
      <c r="Z189" s="9"/>
    </row>
    <row r="190" ht="12.0" customHeight="1">
      <c r="A190" s="4"/>
      <c r="B190" s="4"/>
      <c r="C190" s="4"/>
      <c r="D190" s="4"/>
      <c r="E190" s="4"/>
      <c r="F190" s="4"/>
      <c r="G190" s="4"/>
      <c r="H190" s="4"/>
      <c r="I190" s="4"/>
      <c r="J190" s="4"/>
      <c r="K190" s="4"/>
      <c r="L190" s="4"/>
      <c r="M190" s="4"/>
      <c r="N190" s="4"/>
      <c r="O190" s="9"/>
      <c r="P190" s="9"/>
      <c r="Q190" s="9"/>
      <c r="R190" s="9"/>
      <c r="S190" s="9"/>
      <c r="T190" s="9"/>
      <c r="U190" s="9"/>
      <c r="V190" s="9"/>
      <c r="W190" s="9"/>
      <c r="X190" s="9"/>
      <c r="Y190" s="9"/>
      <c r="Z190" s="9"/>
    </row>
    <row r="191" ht="12.0" customHeight="1">
      <c r="A191" s="4"/>
      <c r="B191" s="4"/>
      <c r="C191" s="4"/>
      <c r="D191" s="4"/>
      <c r="E191" s="4"/>
      <c r="F191" s="4"/>
      <c r="G191" s="4"/>
      <c r="H191" s="4"/>
      <c r="I191" s="4"/>
      <c r="J191" s="4"/>
      <c r="K191" s="4"/>
      <c r="L191" s="4"/>
      <c r="M191" s="4"/>
      <c r="N191" s="4"/>
      <c r="O191" s="9"/>
      <c r="P191" s="9"/>
      <c r="Q191" s="9"/>
      <c r="R191" s="9"/>
      <c r="S191" s="9"/>
      <c r="T191" s="9"/>
      <c r="U191" s="9"/>
      <c r="V191" s="9"/>
      <c r="W191" s="9"/>
      <c r="X191" s="9"/>
      <c r="Y191" s="9"/>
      <c r="Z191" s="9"/>
    </row>
    <row r="192" ht="12.0" customHeight="1">
      <c r="A192" s="4"/>
      <c r="B192" s="4"/>
      <c r="C192" s="4"/>
      <c r="D192" s="4"/>
      <c r="E192" s="4"/>
      <c r="F192" s="4"/>
      <c r="G192" s="4"/>
      <c r="H192" s="4"/>
      <c r="I192" s="4"/>
      <c r="J192" s="4"/>
      <c r="K192" s="4"/>
      <c r="L192" s="4"/>
      <c r="M192" s="4"/>
      <c r="N192" s="4"/>
      <c r="O192" s="9"/>
      <c r="P192" s="9"/>
      <c r="Q192" s="9"/>
      <c r="R192" s="9"/>
      <c r="S192" s="9"/>
      <c r="T192" s="9"/>
      <c r="U192" s="9"/>
      <c r="V192" s="9"/>
      <c r="W192" s="9"/>
      <c r="X192" s="9"/>
      <c r="Y192" s="9"/>
      <c r="Z192" s="9"/>
    </row>
    <row r="193" ht="12.0" customHeight="1">
      <c r="A193" s="4"/>
      <c r="B193" s="4"/>
      <c r="C193" s="4"/>
      <c r="D193" s="4"/>
      <c r="E193" s="4"/>
      <c r="F193" s="4"/>
      <c r="G193" s="4"/>
      <c r="H193" s="4"/>
      <c r="I193" s="4"/>
      <c r="J193" s="4"/>
      <c r="K193" s="4"/>
      <c r="L193" s="4"/>
      <c r="M193" s="4"/>
      <c r="N193" s="4"/>
      <c r="O193" s="9"/>
      <c r="P193" s="9"/>
      <c r="Q193" s="9"/>
      <c r="R193" s="9"/>
      <c r="S193" s="9"/>
      <c r="T193" s="9"/>
      <c r="U193" s="9"/>
      <c r="V193" s="9"/>
      <c r="W193" s="9"/>
      <c r="X193" s="9"/>
      <c r="Y193" s="9"/>
      <c r="Z193" s="9"/>
    </row>
    <row r="194" ht="12.0" customHeight="1">
      <c r="A194" s="4"/>
      <c r="B194" s="4"/>
      <c r="C194" s="4"/>
      <c r="D194" s="4"/>
      <c r="E194" s="4"/>
      <c r="F194" s="4"/>
      <c r="G194" s="4"/>
      <c r="H194" s="4"/>
      <c r="I194" s="4"/>
      <c r="J194" s="4"/>
      <c r="K194" s="4"/>
      <c r="L194" s="4"/>
      <c r="M194" s="4"/>
      <c r="N194" s="4"/>
      <c r="O194" s="9"/>
      <c r="P194" s="9"/>
      <c r="Q194" s="9"/>
      <c r="R194" s="9"/>
      <c r="S194" s="9"/>
      <c r="T194" s="9"/>
      <c r="U194" s="9"/>
      <c r="V194" s="9"/>
      <c r="W194" s="9"/>
      <c r="X194" s="9"/>
      <c r="Y194" s="9"/>
      <c r="Z194" s="9"/>
    </row>
    <row r="195" ht="12.0" customHeight="1">
      <c r="A195" s="4"/>
      <c r="B195" s="4"/>
      <c r="C195" s="4"/>
      <c r="D195" s="4"/>
      <c r="E195" s="4"/>
      <c r="F195" s="4"/>
      <c r="G195" s="4"/>
      <c r="H195" s="4"/>
      <c r="I195" s="4"/>
      <c r="J195" s="4"/>
      <c r="K195" s="4"/>
      <c r="L195" s="4"/>
      <c r="M195" s="4"/>
      <c r="N195" s="4"/>
      <c r="O195" s="9"/>
      <c r="P195" s="9"/>
      <c r="Q195" s="9"/>
      <c r="R195" s="9"/>
      <c r="S195" s="9"/>
      <c r="T195" s="9"/>
      <c r="U195" s="9"/>
      <c r="V195" s="9"/>
      <c r="W195" s="9"/>
      <c r="X195" s="9"/>
      <c r="Y195" s="9"/>
      <c r="Z195" s="9"/>
    </row>
    <row r="196" ht="12.0" customHeight="1">
      <c r="A196" s="4"/>
      <c r="B196" s="4"/>
      <c r="C196" s="4"/>
      <c r="D196" s="4"/>
      <c r="E196" s="4"/>
      <c r="F196" s="4"/>
      <c r="G196" s="4"/>
      <c r="H196" s="4"/>
      <c r="I196" s="4"/>
      <c r="J196" s="4"/>
      <c r="K196" s="4"/>
      <c r="L196" s="4"/>
      <c r="M196" s="4"/>
      <c r="N196" s="4"/>
      <c r="O196" s="9"/>
      <c r="P196" s="9"/>
      <c r="Q196" s="9"/>
      <c r="R196" s="9"/>
      <c r="S196" s="9"/>
      <c r="T196" s="9"/>
      <c r="U196" s="9"/>
      <c r="V196" s="9"/>
      <c r="W196" s="9"/>
      <c r="X196" s="9"/>
      <c r="Y196" s="9"/>
      <c r="Z196" s="9"/>
    </row>
    <row r="197" ht="12.0" customHeight="1">
      <c r="A197" s="4"/>
      <c r="B197" s="4"/>
      <c r="C197" s="4"/>
      <c r="D197" s="4"/>
      <c r="E197" s="4"/>
      <c r="F197" s="4"/>
      <c r="G197" s="4"/>
      <c r="H197" s="4"/>
      <c r="I197" s="4"/>
      <c r="J197" s="4"/>
      <c r="K197" s="4"/>
      <c r="L197" s="4"/>
      <c r="M197" s="4"/>
      <c r="N197" s="4"/>
      <c r="O197" s="9"/>
      <c r="P197" s="9"/>
      <c r="Q197" s="9"/>
      <c r="R197" s="9"/>
      <c r="S197" s="9"/>
      <c r="T197" s="9"/>
      <c r="U197" s="9"/>
      <c r="V197" s="9"/>
      <c r="W197" s="9"/>
      <c r="X197" s="9"/>
      <c r="Y197" s="9"/>
      <c r="Z197" s="9"/>
    </row>
    <row r="198" ht="12.0" customHeight="1">
      <c r="A198" s="4"/>
      <c r="B198" s="4"/>
      <c r="C198" s="4"/>
      <c r="D198" s="4"/>
      <c r="E198" s="4"/>
      <c r="F198" s="4"/>
      <c r="G198" s="4"/>
      <c r="H198" s="4"/>
      <c r="I198" s="4"/>
      <c r="J198" s="4"/>
      <c r="K198" s="4"/>
      <c r="L198" s="4"/>
      <c r="M198" s="4"/>
      <c r="N198" s="4"/>
      <c r="O198" s="9"/>
      <c r="P198" s="9"/>
      <c r="Q198" s="9"/>
      <c r="R198" s="9"/>
      <c r="S198" s="9"/>
      <c r="T198" s="9"/>
      <c r="U198" s="9"/>
      <c r="V198" s="9"/>
      <c r="W198" s="9"/>
      <c r="X198" s="9"/>
      <c r="Y198" s="9"/>
      <c r="Z198" s="9"/>
    </row>
    <row r="199" ht="12.0" customHeight="1">
      <c r="A199" s="4"/>
      <c r="B199" s="4"/>
      <c r="C199" s="4"/>
      <c r="D199" s="4"/>
      <c r="E199" s="4"/>
      <c r="F199" s="4"/>
      <c r="G199" s="4"/>
      <c r="H199" s="4"/>
      <c r="I199" s="4"/>
      <c r="J199" s="4"/>
      <c r="K199" s="4"/>
      <c r="L199" s="4"/>
      <c r="M199" s="4"/>
      <c r="N199" s="4"/>
      <c r="O199" s="9"/>
      <c r="P199" s="9"/>
      <c r="Q199" s="9"/>
      <c r="R199" s="9"/>
      <c r="S199" s="9"/>
      <c r="T199" s="9"/>
      <c r="U199" s="9"/>
      <c r="V199" s="9"/>
      <c r="W199" s="9"/>
      <c r="X199" s="9"/>
      <c r="Y199" s="9"/>
      <c r="Z199" s="9"/>
    </row>
    <row r="200" ht="12.0" customHeight="1">
      <c r="A200" s="4"/>
      <c r="B200" s="4"/>
      <c r="C200" s="4"/>
      <c r="D200" s="4"/>
      <c r="E200" s="4"/>
      <c r="F200" s="4"/>
      <c r="G200" s="4"/>
      <c r="H200" s="4"/>
      <c r="I200" s="4"/>
      <c r="J200" s="4"/>
      <c r="K200" s="4"/>
      <c r="L200" s="4"/>
      <c r="M200" s="4"/>
      <c r="N200" s="4"/>
      <c r="O200" s="9"/>
      <c r="P200" s="9"/>
      <c r="Q200" s="9"/>
      <c r="R200" s="9"/>
      <c r="S200" s="9"/>
      <c r="T200" s="9"/>
      <c r="U200" s="9"/>
      <c r="V200" s="9"/>
      <c r="W200" s="9"/>
      <c r="X200" s="9"/>
      <c r="Y200" s="9"/>
      <c r="Z200" s="9"/>
    </row>
    <row r="201" ht="12.0" customHeight="1">
      <c r="A201" s="4"/>
      <c r="B201" s="4"/>
      <c r="C201" s="4"/>
      <c r="D201" s="4"/>
      <c r="E201" s="4"/>
      <c r="F201" s="4"/>
      <c r="G201" s="4"/>
      <c r="H201" s="4"/>
      <c r="I201" s="4"/>
      <c r="J201" s="4"/>
      <c r="K201" s="4"/>
      <c r="L201" s="4"/>
      <c r="M201" s="4"/>
      <c r="N201" s="4"/>
      <c r="O201" s="9"/>
      <c r="P201" s="9"/>
      <c r="Q201" s="9"/>
      <c r="R201" s="9"/>
      <c r="S201" s="9"/>
      <c r="T201" s="9"/>
      <c r="U201" s="9"/>
      <c r="V201" s="9"/>
      <c r="W201" s="9"/>
      <c r="X201" s="9"/>
      <c r="Y201" s="9"/>
      <c r="Z201" s="9"/>
    </row>
    <row r="202" ht="12.0" customHeight="1">
      <c r="A202" s="4"/>
      <c r="B202" s="4"/>
      <c r="C202" s="4"/>
      <c r="D202" s="4"/>
      <c r="E202" s="4"/>
      <c r="F202" s="4"/>
      <c r="G202" s="4"/>
      <c r="H202" s="4"/>
      <c r="I202" s="4"/>
      <c r="J202" s="4"/>
      <c r="K202" s="4"/>
      <c r="L202" s="4"/>
      <c r="M202" s="4"/>
      <c r="N202" s="4"/>
      <c r="O202" s="9"/>
      <c r="P202" s="9"/>
      <c r="Q202" s="9"/>
      <c r="R202" s="9"/>
      <c r="S202" s="9"/>
      <c r="T202" s="9"/>
      <c r="U202" s="9"/>
      <c r="V202" s="9"/>
      <c r="W202" s="9"/>
      <c r="X202" s="9"/>
      <c r="Y202" s="9"/>
      <c r="Z202" s="9"/>
    </row>
    <row r="203" ht="12.0" customHeight="1">
      <c r="A203" s="4"/>
      <c r="B203" s="4"/>
      <c r="C203" s="4"/>
      <c r="D203" s="4"/>
      <c r="E203" s="4"/>
      <c r="F203" s="4"/>
      <c r="G203" s="4"/>
      <c r="H203" s="4"/>
      <c r="I203" s="4"/>
      <c r="J203" s="4"/>
      <c r="K203" s="4"/>
      <c r="L203" s="4"/>
      <c r="M203" s="4"/>
      <c r="N203" s="4"/>
      <c r="O203" s="9"/>
      <c r="P203" s="9"/>
      <c r="Q203" s="9"/>
      <c r="R203" s="9"/>
      <c r="S203" s="9"/>
      <c r="T203" s="9"/>
      <c r="U203" s="9"/>
      <c r="V203" s="9"/>
      <c r="W203" s="9"/>
      <c r="X203" s="9"/>
      <c r="Y203" s="9"/>
      <c r="Z203" s="9"/>
    </row>
    <row r="204" ht="12.0" customHeight="1">
      <c r="A204" s="4"/>
      <c r="B204" s="4"/>
      <c r="C204" s="4"/>
      <c r="D204" s="4"/>
      <c r="E204" s="4"/>
      <c r="F204" s="4"/>
      <c r="G204" s="4"/>
      <c r="H204" s="4"/>
      <c r="I204" s="4"/>
      <c r="J204" s="4"/>
      <c r="K204" s="4"/>
      <c r="L204" s="4"/>
      <c r="M204" s="4"/>
      <c r="N204" s="4"/>
      <c r="O204" s="9"/>
      <c r="P204" s="9"/>
      <c r="Q204" s="9"/>
      <c r="R204" s="9"/>
      <c r="S204" s="9"/>
      <c r="T204" s="9"/>
      <c r="U204" s="9"/>
      <c r="V204" s="9"/>
      <c r="W204" s="9"/>
      <c r="X204" s="9"/>
      <c r="Y204" s="9"/>
      <c r="Z204" s="9"/>
    </row>
    <row r="205" ht="12.0" customHeight="1">
      <c r="A205" s="4"/>
      <c r="B205" s="4"/>
      <c r="C205" s="4"/>
      <c r="D205" s="4"/>
      <c r="E205" s="4"/>
      <c r="F205" s="4"/>
      <c r="G205" s="4"/>
      <c r="H205" s="4"/>
      <c r="I205" s="4"/>
      <c r="J205" s="4"/>
      <c r="K205" s="4"/>
      <c r="L205" s="4"/>
      <c r="M205" s="4"/>
      <c r="N205" s="4"/>
      <c r="O205" s="9"/>
      <c r="P205" s="9"/>
      <c r="Q205" s="9"/>
      <c r="R205" s="9"/>
      <c r="S205" s="9"/>
      <c r="T205" s="9"/>
      <c r="U205" s="9"/>
      <c r="V205" s="9"/>
      <c r="W205" s="9"/>
      <c r="X205" s="9"/>
      <c r="Y205" s="9"/>
      <c r="Z205" s="9"/>
    </row>
    <row r="206" ht="12.0" customHeight="1">
      <c r="A206" s="4"/>
      <c r="B206" s="4"/>
      <c r="C206" s="4"/>
      <c r="D206" s="4"/>
      <c r="E206" s="4"/>
      <c r="F206" s="4"/>
      <c r="G206" s="4"/>
      <c r="H206" s="4"/>
      <c r="I206" s="4"/>
      <c r="J206" s="4"/>
      <c r="K206" s="4"/>
      <c r="L206" s="4"/>
      <c r="M206" s="4"/>
      <c r="N206" s="4"/>
      <c r="O206" s="9"/>
      <c r="P206" s="9"/>
      <c r="Q206" s="9"/>
      <c r="R206" s="9"/>
      <c r="S206" s="9"/>
      <c r="T206" s="9"/>
      <c r="U206" s="9"/>
      <c r="V206" s="9"/>
      <c r="W206" s="9"/>
      <c r="X206" s="9"/>
      <c r="Y206" s="9"/>
      <c r="Z206" s="9"/>
    </row>
    <row r="207" ht="12.0" customHeight="1">
      <c r="A207" s="4"/>
      <c r="B207" s="4"/>
      <c r="C207" s="4"/>
      <c r="D207" s="4"/>
      <c r="E207" s="4"/>
      <c r="F207" s="4"/>
      <c r="G207" s="4"/>
      <c r="H207" s="4"/>
      <c r="I207" s="4"/>
      <c r="J207" s="4"/>
      <c r="K207" s="4"/>
      <c r="L207" s="4"/>
      <c r="M207" s="4"/>
      <c r="N207" s="4"/>
      <c r="O207" s="9"/>
      <c r="P207" s="9"/>
      <c r="Q207" s="9"/>
      <c r="R207" s="9"/>
      <c r="S207" s="9"/>
      <c r="T207" s="9"/>
      <c r="U207" s="9"/>
      <c r="V207" s="9"/>
      <c r="W207" s="9"/>
      <c r="X207" s="9"/>
      <c r="Y207" s="9"/>
      <c r="Z207" s="9"/>
    </row>
    <row r="208" ht="12.0" customHeight="1">
      <c r="A208" s="4"/>
      <c r="B208" s="4"/>
      <c r="C208" s="4"/>
      <c r="D208" s="4"/>
      <c r="E208" s="4"/>
      <c r="F208" s="4"/>
      <c r="G208" s="4"/>
      <c r="H208" s="4"/>
      <c r="I208" s="4"/>
      <c r="J208" s="4"/>
      <c r="K208" s="4"/>
      <c r="L208" s="4"/>
      <c r="M208" s="4"/>
      <c r="N208" s="4"/>
      <c r="O208" s="9"/>
      <c r="P208" s="9"/>
      <c r="Q208" s="9"/>
      <c r="R208" s="9"/>
      <c r="S208" s="9"/>
      <c r="T208" s="9"/>
      <c r="U208" s="9"/>
      <c r="V208" s="9"/>
      <c r="W208" s="9"/>
      <c r="X208" s="9"/>
      <c r="Y208" s="9"/>
      <c r="Z208" s="9"/>
    </row>
    <row r="209" ht="12.0" customHeight="1">
      <c r="A209" s="4"/>
      <c r="B209" s="4"/>
      <c r="C209" s="4"/>
      <c r="D209" s="4"/>
      <c r="E209" s="4"/>
      <c r="F209" s="4"/>
      <c r="G209" s="4"/>
      <c r="H209" s="4"/>
      <c r="I209" s="4"/>
      <c r="J209" s="4"/>
      <c r="K209" s="4"/>
      <c r="L209" s="4"/>
      <c r="M209" s="4"/>
      <c r="N209" s="4"/>
      <c r="O209" s="9"/>
      <c r="P209" s="9"/>
      <c r="Q209" s="9"/>
      <c r="R209" s="9"/>
      <c r="S209" s="9"/>
      <c r="T209" s="9"/>
      <c r="U209" s="9"/>
      <c r="V209" s="9"/>
      <c r="W209" s="9"/>
      <c r="X209" s="9"/>
      <c r="Y209" s="9"/>
      <c r="Z209" s="9"/>
    </row>
    <row r="210" ht="12.0" customHeight="1">
      <c r="A210" s="4"/>
      <c r="B210" s="4"/>
      <c r="C210" s="4"/>
      <c r="D210" s="4"/>
      <c r="E210" s="4"/>
      <c r="F210" s="4"/>
      <c r="G210" s="4"/>
      <c r="H210" s="4"/>
      <c r="I210" s="4"/>
      <c r="J210" s="4"/>
      <c r="K210" s="4"/>
      <c r="L210" s="4"/>
      <c r="M210" s="4"/>
      <c r="N210" s="4"/>
      <c r="O210" s="9"/>
      <c r="P210" s="9"/>
      <c r="Q210" s="9"/>
      <c r="R210" s="9"/>
      <c r="S210" s="9"/>
      <c r="T210" s="9"/>
      <c r="U210" s="9"/>
      <c r="V210" s="9"/>
      <c r="W210" s="9"/>
      <c r="X210" s="9"/>
      <c r="Y210" s="9"/>
      <c r="Z210" s="9"/>
    </row>
    <row r="211" ht="12.0" customHeight="1">
      <c r="A211" s="4"/>
      <c r="B211" s="4"/>
      <c r="C211" s="4"/>
      <c r="D211" s="4"/>
      <c r="E211" s="4"/>
      <c r="F211" s="4"/>
      <c r="G211" s="4"/>
      <c r="H211" s="4"/>
      <c r="I211" s="4"/>
      <c r="J211" s="4"/>
      <c r="K211" s="4"/>
      <c r="L211" s="4"/>
      <c r="M211" s="4"/>
      <c r="N211" s="4"/>
      <c r="O211" s="9"/>
      <c r="P211" s="9"/>
      <c r="Q211" s="9"/>
      <c r="R211" s="9"/>
      <c r="S211" s="9"/>
      <c r="T211" s="9"/>
      <c r="U211" s="9"/>
      <c r="V211" s="9"/>
      <c r="W211" s="9"/>
      <c r="X211" s="9"/>
      <c r="Y211" s="9"/>
      <c r="Z211" s="9"/>
    </row>
    <row r="212" ht="12.0" customHeight="1">
      <c r="A212" s="4"/>
      <c r="B212" s="4"/>
      <c r="C212" s="4"/>
      <c r="D212" s="4"/>
      <c r="E212" s="4"/>
      <c r="F212" s="4"/>
      <c r="G212" s="4"/>
      <c r="H212" s="4"/>
      <c r="I212" s="4"/>
      <c r="J212" s="4"/>
      <c r="K212" s="4"/>
      <c r="L212" s="4"/>
      <c r="M212" s="4"/>
      <c r="N212" s="4"/>
      <c r="O212" s="9"/>
      <c r="P212" s="9"/>
      <c r="Q212" s="9"/>
      <c r="R212" s="9"/>
      <c r="S212" s="9"/>
      <c r="T212" s="9"/>
      <c r="U212" s="9"/>
      <c r="V212" s="9"/>
      <c r="W212" s="9"/>
      <c r="X212" s="9"/>
      <c r="Y212" s="9"/>
      <c r="Z212" s="9"/>
    </row>
    <row r="213" ht="12.0" customHeight="1">
      <c r="A213" s="4"/>
      <c r="B213" s="4"/>
      <c r="C213" s="4"/>
      <c r="D213" s="4"/>
      <c r="E213" s="4"/>
      <c r="F213" s="4"/>
      <c r="G213" s="4"/>
      <c r="H213" s="4"/>
      <c r="I213" s="4"/>
      <c r="J213" s="4"/>
      <c r="K213" s="4"/>
      <c r="L213" s="4"/>
      <c r="M213" s="4"/>
      <c r="N213" s="4"/>
      <c r="O213" s="9"/>
      <c r="P213" s="9"/>
      <c r="Q213" s="9"/>
      <c r="R213" s="9"/>
      <c r="S213" s="9"/>
      <c r="T213" s="9"/>
      <c r="U213" s="9"/>
      <c r="V213" s="9"/>
      <c r="W213" s="9"/>
      <c r="X213" s="9"/>
      <c r="Y213" s="9"/>
      <c r="Z213" s="9"/>
    </row>
    <row r="214" ht="12.0" customHeight="1">
      <c r="A214" s="4"/>
      <c r="B214" s="4"/>
      <c r="C214" s="4"/>
      <c r="D214" s="4"/>
      <c r="E214" s="4"/>
      <c r="F214" s="4"/>
      <c r="G214" s="4"/>
      <c r="H214" s="4"/>
      <c r="I214" s="4"/>
      <c r="J214" s="4"/>
      <c r="K214" s="4"/>
      <c r="L214" s="4"/>
      <c r="M214" s="4"/>
      <c r="N214" s="4"/>
      <c r="O214" s="9"/>
      <c r="P214" s="9"/>
      <c r="Q214" s="9"/>
      <c r="R214" s="9"/>
      <c r="S214" s="9"/>
      <c r="T214" s="9"/>
      <c r="U214" s="9"/>
      <c r="V214" s="9"/>
      <c r="W214" s="9"/>
      <c r="X214" s="9"/>
      <c r="Y214" s="9"/>
      <c r="Z214" s="9"/>
    </row>
    <row r="215" ht="12.0" customHeight="1">
      <c r="A215" s="4"/>
      <c r="B215" s="4"/>
      <c r="C215" s="4"/>
      <c r="D215" s="4"/>
      <c r="E215" s="4"/>
      <c r="F215" s="4"/>
      <c r="G215" s="4"/>
      <c r="H215" s="4"/>
      <c r="I215" s="4"/>
      <c r="J215" s="4"/>
      <c r="K215" s="4"/>
      <c r="L215" s="4"/>
      <c r="M215" s="4"/>
      <c r="N215" s="4"/>
      <c r="O215" s="9"/>
      <c r="P215" s="9"/>
      <c r="Q215" s="9"/>
      <c r="R215" s="9"/>
      <c r="S215" s="9"/>
      <c r="T215" s="9"/>
      <c r="U215" s="9"/>
      <c r="V215" s="9"/>
      <c r="W215" s="9"/>
      <c r="X215" s="9"/>
      <c r="Y215" s="9"/>
      <c r="Z215" s="9"/>
    </row>
    <row r="216" ht="12.0" customHeight="1">
      <c r="A216" s="4"/>
      <c r="B216" s="4"/>
      <c r="C216" s="4"/>
      <c r="D216" s="4"/>
      <c r="E216" s="4"/>
      <c r="F216" s="4"/>
      <c r="G216" s="4"/>
      <c r="H216" s="4"/>
      <c r="I216" s="4"/>
      <c r="J216" s="4"/>
      <c r="K216" s="4"/>
      <c r="L216" s="4"/>
      <c r="M216" s="4"/>
      <c r="N216" s="4"/>
      <c r="O216" s="9"/>
      <c r="P216" s="9"/>
      <c r="Q216" s="9"/>
      <c r="R216" s="9"/>
      <c r="S216" s="9"/>
      <c r="T216" s="9"/>
      <c r="U216" s="9"/>
      <c r="V216" s="9"/>
      <c r="W216" s="9"/>
      <c r="X216" s="9"/>
      <c r="Y216" s="9"/>
      <c r="Z216" s="9"/>
    </row>
    <row r="217" ht="12.0" customHeight="1">
      <c r="A217" s="4"/>
      <c r="B217" s="4"/>
      <c r="C217" s="4"/>
      <c r="D217" s="4"/>
      <c r="E217" s="4"/>
      <c r="F217" s="4"/>
      <c r="G217" s="4"/>
      <c r="H217" s="4"/>
      <c r="I217" s="4"/>
      <c r="J217" s="4"/>
      <c r="K217" s="4"/>
      <c r="L217" s="4"/>
      <c r="M217" s="4"/>
      <c r="N217" s="4"/>
      <c r="O217" s="9"/>
      <c r="P217" s="9"/>
      <c r="Q217" s="9"/>
      <c r="R217" s="9"/>
      <c r="S217" s="9"/>
      <c r="T217" s="9"/>
      <c r="U217" s="9"/>
      <c r="V217" s="9"/>
      <c r="W217" s="9"/>
      <c r="X217" s="9"/>
      <c r="Y217" s="9"/>
      <c r="Z217" s="9"/>
    </row>
    <row r="218" ht="12.0" customHeight="1">
      <c r="A218" s="4"/>
      <c r="B218" s="4"/>
      <c r="C218" s="4"/>
      <c r="D218" s="4"/>
      <c r="E218" s="4"/>
      <c r="F218" s="4"/>
      <c r="G218" s="4"/>
      <c r="H218" s="4"/>
      <c r="I218" s="4"/>
      <c r="J218" s="4"/>
      <c r="K218" s="4"/>
      <c r="L218" s="4"/>
      <c r="M218" s="4"/>
      <c r="N218" s="4"/>
      <c r="O218" s="9"/>
      <c r="P218" s="9"/>
      <c r="Q218" s="9"/>
      <c r="R218" s="9"/>
      <c r="S218" s="9"/>
      <c r="T218" s="9"/>
      <c r="U218" s="9"/>
      <c r="V218" s="9"/>
      <c r="W218" s="9"/>
      <c r="X218" s="9"/>
      <c r="Y218" s="9"/>
      <c r="Z218" s="9"/>
    </row>
    <row r="219" ht="12.0" customHeight="1">
      <c r="A219" s="4"/>
      <c r="B219" s="4"/>
      <c r="C219" s="4"/>
      <c r="D219" s="4"/>
      <c r="E219" s="4"/>
      <c r="F219" s="4"/>
      <c r="G219" s="4"/>
      <c r="H219" s="4"/>
      <c r="I219" s="4"/>
      <c r="J219" s="4"/>
      <c r="K219" s="4"/>
      <c r="L219" s="4"/>
      <c r="M219" s="4"/>
      <c r="N219" s="4"/>
      <c r="O219" s="9"/>
      <c r="P219" s="9"/>
      <c r="Q219" s="9"/>
      <c r="R219" s="9"/>
      <c r="S219" s="9"/>
      <c r="T219" s="9"/>
      <c r="U219" s="9"/>
      <c r="V219" s="9"/>
      <c r="W219" s="9"/>
      <c r="X219" s="9"/>
      <c r="Y219" s="9"/>
      <c r="Z219" s="9"/>
    </row>
    <row r="220" ht="12.0" customHeight="1">
      <c r="A220" s="4"/>
      <c r="B220" s="4"/>
      <c r="C220" s="4"/>
      <c r="D220" s="4"/>
      <c r="E220" s="4"/>
      <c r="F220" s="4"/>
      <c r="G220" s="4"/>
      <c r="H220" s="4"/>
      <c r="I220" s="4"/>
      <c r="J220" s="4"/>
      <c r="K220" s="4"/>
      <c r="L220" s="4"/>
      <c r="M220" s="4"/>
      <c r="N220" s="4"/>
      <c r="O220" s="9"/>
      <c r="P220" s="9"/>
      <c r="Q220" s="9"/>
      <c r="R220" s="9"/>
      <c r="S220" s="9"/>
      <c r="T220" s="9"/>
      <c r="U220" s="9"/>
      <c r="V220" s="9"/>
      <c r="W220" s="9"/>
      <c r="X220" s="9"/>
      <c r="Y220" s="9"/>
      <c r="Z220" s="9"/>
    </row>
    <row r="221" ht="12.0" customHeight="1">
      <c r="A221" s="4"/>
      <c r="B221" s="4"/>
      <c r="C221" s="4"/>
      <c r="D221" s="4"/>
      <c r="E221" s="4"/>
      <c r="F221" s="4"/>
      <c r="G221" s="4"/>
      <c r="H221" s="4"/>
      <c r="I221" s="4"/>
      <c r="J221" s="4"/>
      <c r="K221" s="4"/>
      <c r="L221" s="4"/>
      <c r="M221" s="4"/>
      <c r="N221" s="4"/>
      <c r="O221" s="9"/>
      <c r="P221" s="9"/>
      <c r="Q221" s="9"/>
      <c r="R221" s="9"/>
      <c r="S221" s="9"/>
      <c r="T221" s="9"/>
      <c r="U221" s="9"/>
      <c r="V221" s="9"/>
      <c r="W221" s="9"/>
      <c r="X221" s="9"/>
      <c r="Y221" s="9"/>
      <c r="Z221" s="9"/>
    </row>
    <row r="222" ht="12.0" customHeight="1">
      <c r="A222" s="4"/>
      <c r="B222" s="4"/>
      <c r="C222" s="4"/>
      <c r="D222" s="4"/>
      <c r="E222" s="4"/>
      <c r="F222" s="4"/>
      <c r="G222" s="4"/>
      <c r="H222" s="4"/>
      <c r="I222" s="4"/>
      <c r="J222" s="4"/>
      <c r="K222" s="4"/>
      <c r="L222" s="4"/>
      <c r="M222" s="4"/>
      <c r="N222" s="4"/>
      <c r="O222" s="9"/>
      <c r="P222" s="9"/>
      <c r="Q222" s="9"/>
      <c r="R222" s="9"/>
      <c r="S222" s="9"/>
      <c r="T222" s="9"/>
      <c r="U222" s="9"/>
      <c r="V222" s="9"/>
      <c r="W222" s="9"/>
      <c r="X222" s="9"/>
      <c r="Y222" s="9"/>
      <c r="Z222" s="9"/>
    </row>
    <row r="223" ht="12.0" customHeight="1">
      <c r="A223" s="4"/>
      <c r="B223" s="4"/>
      <c r="C223" s="4"/>
      <c r="D223" s="4"/>
      <c r="E223" s="4"/>
      <c r="F223" s="4"/>
      <c r="G223" s="4"/>
      <c r="H223" s="4"/>
      <c r="I223" s="4"/>
      <c r="J223" s="4"/>
      <c r="K223" s="4"/>
      <c r="L223" s="4"/>
      <c r="M223" s="4"/>
      <c r="N223" s="4"/>
      <c r="O223" s="9"/>
      <c r="P223" s="9"/>
      <c r="Q223" s="9"/>
      <c r="R223" s="9"/>
      <c r="S223" s="9"/>
      <c r="T223" s="9"/>
      <c r="U223" s="9"/>
      <c r="V223" s="9"/>
      <c r="W223" s="9"/>
      <c r="X223" s="9"/>
      <c r="Y223" s="9"/>
      <c r="Z223" s="9"/>
    </row>
    <row r="224" ht="12.0" customHeight="1">
      <c r="A224" s="4"/>
      <c r="B224" s="4"/>
      <c r="C224" s="4"/>
      <c r="D224" s="4"/>
      <c r="E224" s="4"/>
      <c r="F224" s="4"/>
      <c r="G224" s="4"/>
      <c r="H224" s="4"/>
      <c r="I224" s="4"/>
      <c r="J224" s="4"/>
      <c r="K224" s="4"/>
      <c r="L224" s="4"/>
      <c r="M224" s="4"/>
      <c r="N224" s="4"/>
      <c r="O224" s="9"/>
      <c r="P224" s="9"/>
      <c r="Q224" s="9"/>
      <c r="R224" s="9"/>
      <c r="S224" s="9"/>
      <c r="T224" s="9"/>
      <c r="U224" s="9"/>
      <c r="V224" s="9"/>
      <c r="W224" s="9"/>
      <c r="X224" s="9"/>
      <c r="Y224" s="9"/>
      <c r="Z224" s="9"/>
    </row>
    <row r="225" ht="12.0" customHeight="1">
      <c r="A225" s="4"/>
      <c r="B225" s="4"/>
      <c r="C225" s="4"/>
      <c r="D225" s="4"/>
      <c r="E225" s="4"/>
      <c r="F225" s="4"/>
      <c r="G225" s="4"/>
      <c r="H225" s="4"/>
      <c r="I225" s="4"/>
      <c r="J225" s="4"/>
      <c r="K225" s="4"/>
      <c r="L225" s="4"/>
      <c r="M225" s="4"/>
      <c r="N225" s="4"/>
      <c r="O225" s="9"/>
      <c r="P225" s="9"/>
      <c r="Q225" s="9"/>
      <c r="R225" s="9"/>
      <c r="S225" s="9"/>
      <c r="T225" s="9"/>
      <c r="U225" s="9"/>
      <c r="V225" s="9"/>
      <c r="W225" s="9"/>
      <c r="X225" s="9"/>
      <c r="Y225" s="9"/>
      <c r="Z225" s="9"/>
    </row>
    <row r="226" ht="12.0" customHeight="1">
      <c r="A226" s="4"/>
      <c r="B226" s="4"/>
      <c r="C226" s="4"/>
      <c r="D226" s="4"/>
      <c r="E226" s="4"/>
      <c r="F226" s="4"/>
      <c r="G226" s="4"/>
      <c r="H226" s="4"/>
      <c r="I226" s="4"/>
      <c r="J226" s="4"/>
      <c r="K226" s="4"/>
      <c r="L226" s="4"/>
      <c r="M226" s="4"/>
      <c r="N226" s="4"/>
      <c r="O226" s="9"/>
      <c r="P226" s="9"/>
      <c r="Q226" s="9"/>
      <c r="R226" s="9"/>
      <c r="S226" s="9"/>
      <c r="T226" s="9"/>
      <c r="U226" s="9"/>
      <c r="V226" s="9"/>
      <c r="W226" s="9"/>
      <c r="X226" s="9"/>
      <c r="Y226" s="9"/>
      <c r="Z226" s="9"/>
    </row>
    <row r="227" ht="12.0" customHeight="1">
      <c r="A227" s="4"/>
      <c r="B227" s="4"/>
      <c r="C227" s="4"/>
      <c r="D227" s="4"/>
      <c r="E227" s="4"/>
      <c r="F227" s="4"/>
      <c r="G227" s="4"/>
      <c r="H227" s="4"/>
      <c r="I227" s="4"/>
      <c r="J227" s="4"/>
      <c r="K227" s="4"/>
      <c r="L227" s="4"/>
      <c r="M227" s="4"/>
      <c r="N227" s="4"/>
      <c r="O227" s="9"/>
      <c r="P227" s="9"/>
      <c r="Q227" s="9"/>
      <c r="R227" s="9"/>
      <c r="S227" s="9"/>
      <c r="T227" s="9"/>
      <c r="U227" s="9"/>
      <c r="V227" s="9"/>
      <c r="W227" s="9"/>
      <c r="X227" s="9"/>
      <c r="Y227" s="9"/>
      <c r="Z227" s="9"/>
    </row>
    <row r="228" ht="12.0" customHeight="1">
      <c r="A228" s="4"/>
      <c r="B228" s="4"/>
      <c r="C228" s="4"/>
      <c r="D228" s="4"/>
      <c r="E228" s="4"/>
      <c r="F228" s="4"/>
      <c r="G228" s="4"/>
      <c r="H228" s="4"/>
      <c r="I228" s="4"/>
      <c r="J228" s="4"/>
      <c r="K228" s="4"/>
      <c r="L228" s="4"/>
      <c r="M228" s="4"/>
      <c r="N228" s="4"/>
      <c r="O228" s="9"/>
      <c r="P228" s="9"/>
      <c r="Q228" s="9"/>
      <c r="R228" s="9"/>
      <c r="S228" s="9"/>
      <c r="T228" s="9"/>
      <c r="U228" s="9"/>
      <c r="V228" s="9"/>
      <c r="W228" s="9"/>
      <c r="X228" s="9"/>
      <c r="Y228" s="9"/>
      <c r="Z228" s="9"/>
    </row>
    <row r="229" ht="12.0" customHeight="1">
      <c r="A229" s="4"/>
      <c r="B229" s="4"/>
      <c r="C229" s="4"/>
      <c r="D229" s="4"/>
      <c r="E229" s="4"/>
      <c r="F229" s="4"/>
      <c r="G229" s="4"/>
      <c r="H229" s="4"/>
      <c r="I229" s="4"/>
      <c r="J229" s="4"/>
      <c r="K229" s="4"/>
      <c r="L229" s="4"/>
      <c r="M229" s="4"/>
      <c r="N229" s="4"/>
      <c r="O229" s="9"/>
      <c r="P229" s="9"/>
      <c r="Q229" s="9"/>
      <c r="R229" s="9"/>
      <c r="S229" s="9"/>
      <c r="T229" s="9"/>
      <c r="U229" s="9"/>
      <c r="V229" s="9"/>
      <c r="W229" s="9"/>
      <c r="X229" s="9"/>
      <c r="Y229" s="9"/>
      <c r="Z229" s="9"/>
    </row>
    <row r="230" ht="12.0" customHeight="1">
      <c r="A230" s="4"/>
      <c r="B230" s="4"/>
      <c r="C230" s="4"/>
      <c r="D230" s="4"/>
      <c r="E230" s="4"/>
      <c r="F230" s="4"/>
      <c r="G230" s="4"/>
      <c r="H230" s="4"/>
      <c r="I230" s="4"/>
      <c r="J230" s="4"/>
      <c r="K230" s="4"/>
      <c r="L230" s="4"/>
      <c r="M230" s="4"/>
      <c r="N230" s="4"/>
      <c r="O230" s="9"/>
      <c r="P230" s="9"/>
      <c r="Q230" s="9"/>
      <c r="R230" s="9"/>
      <c r="S230" s="9"/>
      <c r="T230" s="9"/>
      <c r="U230" s="9"/>
      <c r="V230" s="9"/>
      <c r="W230" s="9"/>
      <c r="X230" s="9"/>
      <c r="Y230" s="9"/>
      <c r="Z230" s="9"/>
    </row>
    <row r="231" ht="12.0" customHeight="1">
      <c r="A231" s="4"/>
      <c r="B231" s="4"/>
      <c r="C231" s="4"/>
      <c r="D231" s="4"/>
      <c r="E231" s="4"/>
      <c r="F231" s="4"/>
      <c r="G231" s="4"/>
      <c r="H231" s="4"/>
      <c r="I231" s="4"/>
      <c r="J231" s="4"/>
      <c r="K231" s="4"/>
      <c r="L231" s="4"/>
      <c r="M231" s="4"/>
      <c r="N231" s="4"/>
      <c r="O231" s="9"/>
      <c r="P231" s="9"/>
      <c r="Q231" s="9"/>
      <c r="R231" s="9"/>
      <c r="S231" s="9"/>
      <c r="T231" s="9"/>
      <c r="U231" s="9"/>
      <c r="V231" s="9"/>
      <c r="W231" s="9"/>
      <c r="X231" s="9"/>
      <c r="Y231" s="9"/>
      <c r="Z231" s="9"/>
    </row>
    <row r="232" ht="12.0" customHeight="1">
      <c r="A232" s="4"/>
      <c r="B232" s="4"/>
      <c r="C232" s="4"/>
      <c r="D232" s="4"/>
      <c r="E232" s="4"/>
      <c r="F232" s="4"/>
      <c r="G232" s="4"/>
      <c r="H232" s="4"/>
      <c r="I232" s="4"/>
      <c r="J232" s="4"/>
      <c r="K232" s="4"/>
      <c r="L232" s="4"/>
      <c r="M232" s="4"/>
      <c r="N232" s="4"/>
      <c r="O232" s="9"/>
      <c r="P232" s="9"/>
      <c r="Q232" s="9"/>
      <c r="R232" s="9"/>
      <c r="S232" s="9"/>
      <c r="T232" s="9"/>
      <c r="U232" s="9"/>
      <c r="V232" s="9"/>
      <c r="W232" s="9"/>
      <c r="X232" s="9"/>
      <c r="Y232" s="9"/>
      <c r="Z232" s="9"/>
    </row>
    <row r="233" ht="12.0" customHeight="1">
      <c r="A233" s="4"/>
      <c r="B233" s="4"/>
      <c r="C233" s="4"/>
      <c r="D233" s="4"/>
      <c r="E233" s="4"/>
      <c r="F233" s="4"/>
      <c r="G233" s="4"/>
      <c r="H233" s="4"/>
      <c r="I233" s="4"/>
      <c r="J233" s="4"/>
      <c r="K233" s="4"/>
      <c r="L233" s="4"/>
      <c r="M233" s="4"/>
      <c r="N233" s="4"/>
      <c r="O233" s="9"/>
      <c r="P233" s="9"/>
      <c r="Q233" s="9"/>
      <c r="R233" s="9"/>
      <c r="S233" s="9"/>
      <c r="T233" s="9"/>
      <c r="U233" s="9"/>
      <c r="V233" s="9"/>
      <c r="W233" s="9"/>
      <c r="X233" s="9"/>
      <c r="Y233" s="9"/>
      <c r="Z233" s="9"/>
    </row>
    <row r="234" ht="12.0" customHeight="1">
      <c r="A234" s="4"/>
      <c r="B234" s="4"/>
      <c r="C234" s="4"/>
      <c r="D234" s="4"/>
      <c r="E234" s="4"/>
      <c r="F234" s="4"/>
      <c r="G234" s="4"/>
      <c r="H234" s="4"/>
      <c r="I234" s="4"/>
      <c r="J234" s="4"/>
      <c r="K234" s="4"/>
      <c r="L234" s="4"/>
      <c r="M234" s="4"/>
      <c r="N234" s="4"/>
      <c r="O234" s="9"/>
      <c r="P234" s="9"/>
      <c r="Q234" s="9"/>
      <c r="R234" s="9"/>
      <c r="S234" s="9"/>
      <c r="T234" s="9"/>
      <c r="U234" s="9"/>
      <c r="V234" s="9"/>
      <c r="W234" s="9"/>
      <c r="X234" s="9"/>
      <c r="Y234" s="9"/>
      <c r="Z234" s="9"/>
    </row>
    <row r="235" ht="12.0" customHeight="1">
      <c r="A235" s="4"/>
      <c r="B235" s="4"/>
      <c r="C235" s="4"/>
      <c r="D235" s="4"/>
      <c r="E235" s="4"/>
      <c r="F235" s="4"/>
      <c r="G235" s="4"/>
      <c r="H235" s="4"/>
      <c r="I235" s="4"/>
      <c r="J235" s="4"/>
      <c r="K235" s="4"/>
      <c r="L235" s="4"/>
      <c r="M235" s="4"/>
      <c r="N235" s="4"/>
      <c r="O235" s="9"/>
      <c r="P235" s="9"/>
      <c r="Q235" s="9"/>
      <c r="R235" s="9"/>
      <c r="S235" s="9"/>
      <c r="T235" s="9"/>
      <c r="U235" s="9"/>
      <c r="V235" s="9"/>
      <c r="W235" s="9"/>
      <c r="X235" s="9"/>
      <c r="Y235" s="9"/>
      <c r="Z235" s="9"/>
    </row>
    <row r="236" ht="12.0" customHeight="1">
      <c r="A236" s="4"/>
      <c r="B236" s="4"/>
      <c r="C236" s="4"/>
      <c r="D236" s="4"/>
      <c r="E236" s="4"/>
      <c r="F236" s="4"/>
      <c r="G236" s="4"/>
      <c r="H236" s="4"/>
      <c r="I236" s="4"/>
      <c r="J236" s="4"/>
      <c r="K236" s="4"/>
      <c r="L236" s="4"/>
      <c r="M236" s="4"/>
      <c r="N236" s="4"/>
      <c r="O236" s="9"/>
      <c r="P236" s="9"/>
      <c r="Q236" s="9"/>
      <c r="R236" s="9"/>
      <c r="S236" s="9"/>
      <c r="T236" s="9"/>
      <c r="U236" s="9"/>
      <c r="V236" s="9"/>
      <c r="W236" s="9"/>
      <c r="X236" s="9"/>
      <c r="Y236" s="9"/>
      <c r="Z236" s="9"/>
    </row>
    <row r="237" ht="12.0" customHeight="1">
      <c r="A237" s="4"/>
      <c r="B237" s="4"/>
      <c r="C237" s="4"/>
      <c r="D237" s="4"/>
      <c r="E237" s="4"/>
      <c r="F237" s="4"/>
      <c r="G237" s="4"/>
      <c r="H237" s="4"/>
      <c r="I237" s="4"/>
      <c r="J237" s="4"/>
      <c r="K237" s="4"/>
      <c r="L237" s="4"/>
      <c r="M237" s="4"/>
      <c r="N237" s="4"/>
      <c r="O237" s="9"/>
      <c r="P237" s="9"/>
      <c r="Q237" s="9"/>
      <c r="R237" s="9"/>
      <c r="S237" s="9"/>
      <c r="T237" s="9"/>
      <c r="U237" s="9"/>
      <c r="V237" s="9"/>
      <c r="W237" s="9"/>
      <c r="X237" s="9"/>
      <c r="Y237" s="9"/>
      <c r="Z237" s="9"/>
    </row>
    <row r="238" ht="12.0" customHeight="1">
      <c r="A238" s="4"/>
      <c r="B238" s="4"/>
      <c r="C238" s="4"/>
      <c r="D238" s="4"/>
      <c r="E238" s="4"/>
      <c r="F238" s="4"/>
      <c r="G238" s="4"/>
      <c r="H238" s="4"/>
      <c r="I238" s="4"/>
      <c r="J238" s="4"/>
      <c r="K238" s="4"/>
      <c r="L238" s="4"/>
      <c r="M238" s="4"/>
      <c r="N238" s="4"/>
      <c r="O238" s="9"/>
      <c r="P238" s="9"/>
      <c r="Q238" s="9"/>
      <c r="R238" s="9"/>
      <c r="S238" s="9"/>
      <c r="T238" s="9"/>
      <c r="U238" s="9"/>
      <c r="V238" s="9"/>
      <c r="W238" s="9"/>
      <c r="X238" s="9"/>
      <c r="Y238" s="9"/>
      <c r="Z238" s="9"/>
    </row>
    <row r="239" ht="12.0" customHeight="1">
      <c r="A239" s="4"/>
      <c r="B239" s="4"/>
      <c r="C239" s="4"/>
      <c r="D239" s="4"/>
      <c r="E239" s="4"/>
      <c r="F239" s="4"/>
      <c r="G239" s="4"/>
      <c r="H239" s="4"/>
      <c r="I239" s="4"/>
      <c r="J239" s="4"/>
      <c r="K239" s="4"/>
      <c r="L239" s="4"/>
      <c r="M239" s="4"/>
      <c r="N239" s="4"/>
      <c r="O239" s="9"/>
      <c r="P239" s="9"/>
      <c r="Q239" s="9"/>
      <c r="R239" s="9"/>
      <c r="S239" s="9"/>
      <c r="T239" s="9"/>
      <c r="U239" s="9"/>
      <c r="V239" s="9"/>
      <c r="W239" s="9"/>
      <c r="X239" s="9"/>
      <c r="Y239" s="9"/>
      <c r="Z239" s="9"/>
    </row>
    <row r="240" ht="12.0" customHeight="1">
      <c r="A240" s="4"/>
      <c r="B240" s="4"/>
      <c r="C240" s="4"/>
      <c r="D240" s="4"/>
      <c r="E240" s="4"/>
      <c r="F240" s="4"/>
      <c r="G240" s="4"/>
      <c r="H240" s="4"/>
      <c r="I240" s="4"/>
      <c r="J240" s="4"/>
      <c r="K240" s="4"/>
      <c r="L240" s="4"/>
      <c r="M240" s="4"/>
      <c r="N240" s="4"/>
      <c r="O240" s="9"/>
      <c r="P240" s="9"/>
      <c r="Q240" s="9"/>
      <c r="R240" s="9"/>
      <c r="S240" s="9"/>
      <c r="T240" s="9"/>
      <c r="U240" s="9"/>
      <c r="V240" s="9"/>
      <c r="W240" s="9"/>
      <c r="X240" s="9"/>
      <c r="Y240" s="9"/>
      <c r="Z240" s="9"/>
    </row>
    <row r="241" ht="12.0" customHeight="1">
      <c r="A241" s="4"/>
      <c r="B241" s="4"/>
      <c r="C241" s="4"/>
      <c r="D241" s="4"/>
      <c r="E241" s="4"/>
      <c r="F241" s="4"/>
      <c r="G241" s="4"/>
      <c r="H241" s="4"/>
      <c r="I241" s="4"/>
      <c r="J241" s="4"/>
      <c r="K241" s="4"/>
      <c r="L241" s="4"/>
      <c r="M241" s="4"/>
      <c r="N241" s="4"/>
      <c r="O241" s="9"/>
      <c r="P241" s="9"/>
      <c r="Q241" s="9"/>
      <c r="R241" s="9"/>
      <c r="S241" s="9"/>
      <c r="T241" s="9"/>
      <c r="U241" s="9"/>
      <c r="V241" s="9"/>
      <c r="W241" s="9"/>
      <c r="X241" s="9"/>
      <c r="Y241" s="9"/>
      <c r="Z241" s="9"/>
    </row>
    <row r="242" ht="12.0" customHeight="1">
      <c r="A242" s="4"/>
      <c r="B242" s="4"/>
      <c r="C242" s="4"/>
      <c r="D242" s="4"/>
      <c r="E242" s="4"/>
      <c r="F242" s="4"/>
      <c r="G242" s="4"/>
      <c r="H242" s="4"/>
      <c r="I242" s="4"/>
      <c r="J242" s="4"/>
      <c r="K242" s="4"/>
      <c r="L242" s="4"/>
      <c r="M242" s="4"/>
      <c r="N242" s="4"/>
      <c r="O242" s="9"/>
      <c r="P242" s="9"/>
      <c r="Q242" s="9"/>
      <c r="R242" s="9"/>
      <c r="S242" s="9"/>
      <c r="T242" s="9"/>
      <c r="U242" s="9"/>
      <c r="V242" s="9"/>
      <c r="W242" s="9"/>
      <c r="X242" s="9"/>
      <c r="Y242" s="9"/>
      <c r="Z242" s="9"/>
    </row>
    <row r="243" ht="12.0" customHeight="1">
      <c r="A243" s="4"/>
      <c r="B243" s="4"/>
      <c r="C243" s="4"/>
      <c r="D243" s="4"/>
      <c r="E243" s="4"/>
      <c r="F243" s="4"/>
      <c r="G243" s="4"/>
      <c r="H243" s="4"/>
      <c r="I243" s="4"/>
      <c r="J243" s="4"/>
      <c r="K243" s="4"/>
      <c r="L243" s="4"/>
      <c r="M243" s="4"/>
      <c r="N243" s="4"/>
      <c r="O243" s="9"/>
      <c r="P243" s="9"/>
      <c r="Q243" s="9"/>
      <c r="R243" s="9"/>
      <c r="S243" s="9"/>
      <c r="T243" s="9"/>
      <c r="U243" s="9"/>
      <c r="V243" s="9"/>
      <c r="W243" s="9"/>
      <c r="X243" s="9"/>
      <c r="Y243" s="9"/>
      <c r="Z243" s="9"/>
    </row>
    <row r="244" ht="12.0" customHeight="1">
      <c r="A244" s="4"/>
      <c r="B244" s="4"/>
      <c r="C244" s="4"/>
      <c r="D244" s="4"/>
      <c r="E244" s="4"/>
      <c r="F244" s="4"/>
      <c r="G244" s="4"/>
      <c r="H244" s="4"/>
      <c r="I244" s="4"/>
      <c r="J244" s="4"/>
      <c r="K244" s="4"/>
      <c r="L244" s="4"/>
      <c r="M244" s="4"/>
      <c r="N244" s="4"/>
      <c r="O244" s="9"/>
      <c r="P244" s="9"/>
      <c r="Q244" s="9"/>
      <c r="R244" s="9"/>
      <c r="S244" s="9"/>
      <c r="T244" s="9"/>
      <c r="U244" s="9"/>
      <c r="V244" s="9"/>
      <c r="W244" s="9"/>
      <c r="X244" s="9"/>
      <c r="Y244" s="9"/>
      <c r="Z244" s="9"/>
    </row>
    <row r="245" ht="12.0" customHeight="1">
      <c r="A245" s="4"/>
      <c r="B245" s="4"/>
      <c r="C245" s="4"/>
      <c r="D245" s="4"/>
      <c r="E245" s="4"/>
      <c r="F245" s="4"/>
      <c r="G245" s="4"/>
      <c r="H245" s="4"/>
      <c r="I245" s="4"/>
      <c r="J245" s="4"/>
      <c r="K245" s="4"/>
      <c r="L245" s="4"/>
      <c r="M245" s="4"/>
      <c r="N245" s="4"/>
      <c r="O245" s="9"/>
      <c r="P245" s="9"/>
      <c r="Q245" s="9"/>
      <c r="R245" s="9"/>
      <c r="S245" s="9"/>
      <c r="T245" s="9"/>
      <c r="U245" s="9"/>
      <c r="V245" s="9"/>
      <c r="W245" s="9"/>
      <c r="X245" s="9"/>
      <c r="Y245" s="9"/>
      <c r="Z245" s="9"/>
    </row>
    <row r="246" ht="12.0" customHeight="1">
      <c r="A246" s="4"/>
      <c r="B246" s="4"/>
      <c r="C246" s="4"/>
      <c r="D246" s="4"/>
      <c r="E246" s="4"/>
      <c r="F246" s="4"/>
      <c r="G246" s="4"/>
      <c r="H246" s="4"/>
      <c r="I246" s="4"/>
      <c r="J246" s="4"/>
      <c r="K246" s="4"/>
      <c r="L246" s="4"/>
      <c r="M246" s="4"/>
      <c r="N246" s="4"/>
      <c r="O246" s="9"/>
      <c r="P246" s="9"/>
      <c r="Q246" s="9"/>
      <c r="R246" s="9"/>
      <c r="S246" s="9"/>
      <c r="T246" s="9"/>
      <c r="U246" s="9"/>
      <c r="V246" s="9"/>
      <c r="W246" s="9"/>
      <c r="X246" s="9"/>
      <c r="Y246" s="9"/>
      <c r="Z246" s="9"/>
    </row>
    <row r="247" ht="12.0" customHeight="1">
      <c r="A247" s="4"/>
      <c r="B247" s="4"/>
      <c r="C247" s="4"/>
      <c r="D247" s="4"/>
      <c r="E247" s="4"/>
      <c r="F247" s="4"/>
      <c r="G247" s="4"/>
      <c r="H247" s="4"/>
      <c r="I247" s="4"/>
      <c r="J247" s="4"/>
      <c r="K247" s="4"/>
      <c r="L247" s="4"/>
      <c r="M247" s="4"/>
      <c r="N247" s="4"/>
      <c r="O247" s="9"/>
      <c r="P247" s="9"/>
      <c r="Q247" s="9"/>
      <c r="R247" s="9"/>
      <c r="S247" s="9"/>
      <c r="T247" s="9"/>
      <c r="U247" s="9"/>
      <c r="V247" s="9"/>
      <c r="W247" s="9"/>
      <c r="X247" s="9"/>
      <c r="Y247" s="9"/>
      <c r="Z247" s="9"/>
    </row>
    <row r="248" ht="12.0" customHeight="1">
      <c r="A248" s="4"/>
      <c r="B248" s="4"/>
      <c r="C248" s="4"/>
      <c r="D248" s="4"/>
      <c r="E248" s="4"/>
      <c r="F248" s="4"/>
      <c r="G248" s="4"/>
      <c r="H248" s="4"/>
      <c r="I248" s="4"/>
      <c r="J248" s="4"/>
      <c r="K248" s="4"/>
      <c r="L248" s="4"/>
      <c r="M248" s="4"/>
      <c r="N248" s="4"/>
      <c r="O248" s="9"/>
      <c r="P248" s="9"/>
      <c r="Q248" s="9"/>
      <c r="R248" s="9"/>
      <c r="S248" s="9"/>
      <c r="T248" s="9"/>
      <c r="U248" s="9"/>
      <c r="V248" s="9"/>
      <c r="W248" s="9"/>
      <c r="X248" s="9"/>
      <c r="Y248" s="9"/>
      <c r="Z248" s="9"/>
    </row>
    <row r="249" ht="12.0" customHeight="1">
      <c r="A249" s="4"/>
      <c r="B249" s="4"/>
      <c r="C249" s="4"/>
      <c r="D249" s="4"/>
      <c r="E249" s="4"/>
      <c r="F249" s="4"/>
      <c r="G249" s="4"/>
      <c r="H249" s="4"/>
      <c r="I249" s="4"/>
      <c r="J249" s="4"/>
      <c r="K249" s="4"/>
      <c r="L249" s="4"/>
      <c r="M249" s="4"/>
      <c r="N249" s="4"/>
      <c r="O249" s="9"/>
      <c r="P249" s="9"/>
      <c r="Q249" s="9"/>
      <c r="R249" s="9"/>
      <c r="S249" s="9"/>
      <c r="T249" s="9"/>
      <c r="U249" s="9"/>
      <c r="V249" s="9"/>
      <c r="W249" s="9"/>
      <c r="X249" s="9"/>
      <c r="Y249" s="9"/>
      <c r="Z249" s="9"/>
    </row>
    <row r="250" ht="12.0" customHeight="1">
      <c r="A250" s="4"/>
      <c r="B250" s="4"/>
      <c r="C250" s="4"/>
      <c r="D250" s="4"/>
      <c r="E250" s="4"/>
      <c r="F250" s="4"/>
      <c r="G250" s="4"/>
      <c r="H250" s="4"/>
      <c r="I250" s="4"/>
      <c r="J250" s="4"/>
      <c r="K250" s="4"/>
      <c r="L250" s="4"/>
      <c r="M250" s="4"/>
      <c r="N250" s="4"/>
      <c r="O250" s="9"/>
      <c r="P250" s="9"/>
      <c r="Q250" s="9"/>
      <c r="R250" s="9"/>
      <c r="S250" s="9"/>
      <c r="T250" s="9"/>
      <c r="U250" s="9"/>
      <c r="V250" s="9"/>
      <c r="W250" s="9"/>
      <c r="X250" s="9"/>
      <c r="Y250" s="9"/>
      <c r="Z250" s="9"/>
    </row>
    <row r="251" ht="12.0" customHeight="1">
      <c r="A251" s="4"/>
      <c r="B251" s="4"/>
      <c r="C251" s="4"/>
      <c r="D251" s="4"/>
      <c r="E251" s="4"/>
      <c r="F251" s="4"/>
      <c r="G251" s="4"/>
      <c r="H251" s="4"/>
      <c r="I251" s="4"/>
      <c r="J251" s="4"/>
      <c r="K251" s="4"/>
      <c r="L251" s="4"/>
      <c r="M251" s="4"/>
      <c r="N251" s="4"/>
      <c r="O251" s="9"/>
      <c r="P251" s="9"/>
      <c r="Q251" s="9"/>
      <c r="R251" s="9"/>
      <c r="S251" s="9"/>
      <c r="T251" s="9"/>
      <c r="U251" s="9"/>
      <c r="V251" s="9"/>
      <c r="W251" s="9"/>
      <c r="X251" s="9"/>
      <c r="Y251" s="9"/>
      <c r="Z251" s="9"/>
    </row>
    <row r="252" ht="12.0" customHeight="1">
      <c r="A252" s="4"/>
      <c r="B252" s="4"/>
      <c r="C252" s="4"/>
      <c r="D252" s="4"/>
      <c r="E252" s="4"/>
      <c r="F252" s="4"/>
      <c r="G252" s="4"/>
      <c r="H252" s="4"/>
      <c r="I252" s="4"/>
      <c r="J252" s="4"/>
      <c r="K252" s="4"/>
      <c r="L252" s="4"/>
      <c r="M252" s="4"/>
      <c r="N252" s="4"/>
      <c r="O252" s="9"/>
      <c r="P252" s="9"/>
      <c r="Q252" s="9"/>
      <c r="R252" s="9"/>
      <c r="S252" s="9"/>
      <c r="T252" s="9"/>
      <c r="U252" s="9"/>
      <c r="V252" s="9"/>
      <c r="W252" s="9"/>
      <c r="X252" s="9"/>
      <c r="Y252" s="9"/>
      <c r="Z252" s="9"/>
    </row>
    <row r="253" ht="12.0" customHeight="1">
      <c r="A253" s="4"/>
      <c r="B253" s="4"/>
      <c r="C253" s="4"/>
      <c r="D253" s="4"/>
      <c r="E253" s="4"/>
      <c r="F253" s="4"/>
      <c r="G253" s="4"/>
      <c r="H253" s="4"/>
      <c r="I253" s="4"/>
      <c r="J253" s="4"/>
      <c r="K253" s="4"/>
      <c r="L253" s="4"/>
      <c r="M253" s="4"/>
      <c r="N253" s="4"/>
      <c r="O253" s="9"/>
      <c r="P253" s="9"/>
      <c r="Q253" s="9"/>
      <c r="R253" s="9"/>
      <c r="S253" s="9"/>
      <c r="T253" s="9"/>
      <c r="U253" s="9"/>
      <c r="V253" s="9"/>
      <c r="W253" s="9"/>
      <c r="X253" s="9"/>
      <c r="Y253" s="9"/>
      <c r="Z253" s="9"/>
    </row>
    <row r="254" ht="12.0" customHeight="1">
      <c r="A254" s="4"/>
      <c r="B254" s="4"/>
      <c r="C254" s="4"/>
      <c r="D254" s="4"/>
      <c r="E254" s="4"/>
      <c r="F254" s="4"/>
      <c r="G254" s="4"/>
      <c r="H254" s="4"/>
      <c r="I254" s="4"/>
      <c r="J254" s="4"/>
      <c r="K254" s="4"/>
      <c r="L254" s="4"/>
      <c r="M254" s="4"/>
      <c r="N254" s="4"/>
      <c r="O254" s="9"/>
      <c r="P254" s="9"/>
      <c r="Q254" s="9"/>
      <c r="R254" s="9"/>
      <c r="S254" s="9"/>
      <c r="T254" s="9"/>
      <c r="U254" s="9"/>
      <c r="V254" s="9"/>
      <c r="W254" s="9"/>
      <c r="X254" s="9"/>
      <c r="Y254" s="9"/>
      <c r="Z254" s="9"/>
    </row>
    <row r="255" ht="12.0" customHeight="1">
      <c r="A255" s="4"/>
      <c r="B255" s="4"/>
      <c r="C255" s="4"/>
      <c r="D255" s="4"/>
      <c r="E255" s="4"/>
      <c r="F255" s="4"/>
      <c r="G255" s="4"/>
      <c r="H255" s="4"/>
      <c r="I255" s="4"/>
      <c r="J255" s="4"/>
      <c r="K255" s="4"/>
      <c r="L255" s="4"/>
      <c r="M255" s="4"/>
      <c r="N255" s="4"/>
      <c r="O255" s="9"/>
      <c r="P255" s="9"/>
      <c r="Q255" s="9"/>
      <c r="R255" s="9"/>
      <c r="S255" s="9"/>
      <c r="T255" s="9"/>
      <c r="U255" s="9"/>
      <c r="V255" s="9"/>
      <c r="W255" s="9"/>
      <c r="X255" s="9"/>
      <c r="Y255" s="9"/>
      <c r="Z255" s="9"/>
    </row>
    <row r="256" ht="12.0" customHeight="1">
      <c r="A256" s="4"/>
      <c r="B256" s="4"/>
      <c r="C256" s="4"/>
      <c r="D256" s="4"/>
      <c r="E256" s="4"/>
      <c r="F256" s="4"/>
      <c r="G256" s="4"/>
      <c r="H256" s="4"/>
      <c r="I256" s="4"/>
      <c r="J256" s="4"/>
      <c r="K256" s="4"/>
      <c r="L256" s="4"/>
      <c r="M256" s="4"/>
      <c r="N256" s="4"/>
      <c r="O256" s="9"/>
      <c r="P256" s="9"/>
      <c r="Q256" s="9"/>
      <c r="R256" s="9"/>
      <c r="S256" s="9"/>
      <c r="T256" s="9"/>
      <c r="U256" s="9"/>
      <c r="V256" s="9"/>
      <c r="W256" s="9"/>
      <c r="X256" s="9"/>
      <c r="Y256" s="9"/>
      <c r="Z256" s="9"/>
    </row>
    <row r="257" ht="12.0" customHeight="1">
      <c r="A257" s="4"/>
      <c r="B257" s="4"/>
      <c r="C257" s="4"/>
      <c r="D257" s="4"/>
      <c r="E257" s="4"/>
      <c r="F257" s="4"/>
      <c r="G257" s="4"/>
      <c r="H257" s="4"/>
      <c r="I257" s="4"/>
      <c r="J257" s="4"/>
      <c r="K257" s="4"/>
      <c r="L257" s="4"/>
      <c r="M257" s="4"/>
      <c r="N257" s="4"/>
      <c r="O257" s="9"/>
      <c r="P257" s="9"/>
      <c r="Q257" s="9"/>
      <c r="R257" s="9"/>
      <c r="S257" s="9"/>
      <c r="T257" s="9"/>
      <c r="U257" s="9"/>
      <c r="V257" s="9"/>
      <c r="W257" s="9"/>
      <c r="X257" s="9"/>
      <c r="Y257" s="9"/>
      <c r="Z257" s="9"/>
    </row>
    <row r="258" ht="12.0" customHeight="1">
      <c r="A258" s="4"/>
      <c r="B258" s="4"/>
      <c r="C258" s="4"/>
      <c r="D258" s="4"/>
      <c r="E258" s="4"/>
      <c r="F258" s="4"/>
      <c r="G258" s="4"/>
      <c r="H258" s="4"/>
      <c r="I258" s="4"/>
      <c r="J258" s="4"/>
      <c r="K258" s="4"/>
      <c r="L258" s="4"/>
      <c r="M258" s="4"/>
      <c r="N258" s="4"/>
      <c r="O258" s="9"/>
      <c r="P258" s="9"/>
      <c r="Q258" s="9"/>
      <c r="R258" s="9"/>
      <c r="S258" s="9"/>
      <c r="T258" s="9"/>
      <c r="U258" s="9"/>
      <c r="V258" s="9"/>
      <c r="W258" s="9"/>
      <c r="X258" s="9"/>
      <c r="Y258" s="9"/>
      <c r="Z258" s="9"/>
    </row>
    <row r="259" ht="12.0" customHeight="1">
      <c r="A259" s="4"/>
      <c r="B259" s="4"/>
      <c r="C259" s="4"/>
      <c r="D259" s="4"/>
      <c r="E259" s="4"/>
      <c r="F259" s="4"/>
      <c r="G259" s="4"/>
      <c r="H259" s="4"/>
      <c r="I259" s="4"/>
      <c r="J259" s="4"/>
      <c r="K259" s="4"/>
      <c r="L259" s="4"/>
      <c r="M259" s="4"/>
      <c r="N259" s="4"/>
      <c r="O259" s="9"/>
      <c r="P259" s="9"/>
      <c r="Q259" s="9"/>
      <c r="R259" s="9"/>
      <c r="S259" s="9"/>
      <c r="T259" s="9"/>
      <c r="U259" s="9"/>
      <c r="V259" s="9"/>
      <c r="W259" s="9"/>
      <c r="X259" s="9"/>
      <c r="Y259" s="9"/>
      <c r="Z259" s="9"/>
    </row>
    <row r="260" ht="12.0" customHeight="1">
      <c r="A260" s="4"/>
      <c r="B260" s="4"/>
      <c r="C260" s="4"/>
      <c r="D260" s="4"/>
      <c r="E260" s="4"/>
      <c r="F260" s="4"/>
      <c r="G260" s="4"/>
      <c r="H260" s="4"/>
      <c r="I260" s="4"/>
      <c r="J260" s="4"/>
      <c r="K260" s="4"/>
      <c r="L260" s="4"/>
      <c r="M260" s="4"/>
      <c r="N260" s="4"/>
      <c r="O260" s="9"/>
      <c r="P260" s="9"/>
      <c r="Q260" s="9"/>
      <c r="R260" s="9"/>
      <c r="S260" s="9"/>
      <c r="T260" s="9"/>
      <c r="U260" s="9"/>
      <c r="V260" s="9"/>
      <c r="W260" s="9"/>
      <c r="X260" s="9"/>
      <c r="Y260" s="9"/>
      <c r="Z260" s="9"/>
    </row>
    <row r="261" ht="12.0" customHeight="1">
      <c r="A261" s="4"/>
      <c r="B261" s="4"/>
      <c r="C261" s="4"/>
      <c r="D261" s="4"/>
      <c r="E261" s="4"/>
      <c r="F261" s="4"/>
      <c r="G261" s="4"/>
      <c r="H261" s="4"/>
      <c r="I261" s="4"/>
      <c r="J261" s="4"/>
      <c r="K261" s="4"/>
      <c r="L261" s="4"/>
      <c r="M261" s="4"/>
      <c r="N261" s="4"/>
      <c r="O261" s="9"/>
      <c r="P261" s="9"/>
      <c r="Q261" s="9"/>
      <c r="R261" s="9"/>
      <c r="S261" s="9"/>
      <c r="T261" s="9"/>
      <c r="U261" s="9"/>
      <c r="V261" s="9"/>
      <c r="W261" s="9"/>
      <c r="X261" s="9"/>
      <c r="Y261" s="9"/>
      <c r="Z261" s="9"/>
    </row>
    <row r="262" ht="12.0" customHeight="1">
      <c r="A262" s="4"/>
      <c r="B262" s="4"/>
      <c r="C262" s="4"/>
      <c r="D262" s="4"/>
      <c r="E262" s="4"/>
      <c r="F262" s="4"/>
      <c r="G262" s="4"/>
      <c r="H262" s="4"/>
      <c r="I262" s="4"/>
      <c r="J262" s="4"/>
      <c r="K262" s="4"/>
      <c r="L262" s="4"/>
      <c r="M262" s="4"/>
      <c r="N262" s="4"/>
      <c r="O262" s="9"/>
      <c r="P262" s="9"/>
      <c r="Q262" s="9"/>
      <c r="R262" s="9"/>
      <c r="S262" s="9"/>
      <c r="T262" s="9"/>
      <c r="U262" s="9"/>
      <c r="V262" s="9"/>
      <c r="W262" s="9"/>
      <c r="X262" s="9"/>
      <c r="Y262" s="9"/>
      <c r="Z262" s="9"/>
    </row>
    <row r="263" ht="12.0" customHeight="1">
      <c r="A263" s="4"/>
      <c r="B263" s="4"/>
      <c r="C263" s="4"/>
      <c r="D263" s="4"/>
      <c r="E263" s="4"/>
      <c r="F263" s="4"/>
      <c r="G263" s="4"/>
      <c r="H263" s="4"/>
      <c r="I263" s="4"/>
      <c r="J263" s="4"/>
      <c r="K263" s="4"/>
      <c r="L263" s="4"/>
      <c r="M263" s="4"/>
      <c r="N263" s="4"/>
      <c r="O263" s="9"/>
      <c r="P263" s="9"/>
      <c r="Q263" s="9"/>
      <c r="R263" s="9"/>
      <c r="S263" s="9"/>
      <c r="T263" s="9"/>
      <c r="U263" s="9"/>
      <c r="V263" s="9"/>
      <c r="W263" s="9"/>
      <c r="X263" s="9"/>
      <c r="Y263" s="9"/>
      <c r="Z263" s="9"/>
    </row>
    <row r="264" ht="12.0" customHeight="1">
      <c r="A264" s="4"/>
      <c r="B264" s="4"/>
      <c r="C264" s="4"/>
      <c r="D264" s="4"/>
      <c r="E264" s="4"/>
      <c r="F264" s="4"/>
      <c r="G264" s="4"/>
      <c r="H264" s="4"/>
      <c r="I264" s="4"/>
      <c r="J264" s="4"/>
      <c r="K264" s="4"/>
      <c r="L264" s="4"/>
      <c r="M264" s="4"/>
      <c r="N264" s="4"/>
      <c r="O264" s="9"/>
      <c r="P264" s="9"/>
      <c r="Q264" s="9"/>
      <c r="R264" s="9"/>
      <c r="S264" s="9"/>
      <c r="T264" s="9"/>
      <c r="U264" s="9"/>
      <c r="V264" s="9"/>
      <c r="W264" s="9"/>
      <c r="X264" s="9"/>
      <c r="Y264" s="9"/>
      <c r="Z264" s="9"/>
    </row>
    <row r="265" ht="12.0" customHeight="1">
      <c r="A265" s="4"/>
      <c r="B265" s="4"/>
      <c r="C265" s="4"/>
      <c r="D265" s="4"/>
      <c r="E265" s="4"/>
      <c r="F265" s="4"/>
      <c r="G265" s="4"/>
      <c r="H265" s="4"/>
      <c r="I265" s="4"/>
      <c r="J265" s="4"/>
      <c r="K265" s="4"/>
      <c r="L265" s="4"/>
      <c r="M265" s="4"/>
      <c r="N265" s="4"/>
      <c r="O265" s="9"/>
      <c r="P265" s="9"/>
      <c r="Q265" s="9"/>
      <c r="R265" s="9"/>
      <c r="S265" s="9"/>
      <c r="T265" s="9"/>
      <c r="U265" s="9"/>
      <c r="V265" s="9"/>
      <c r="W265" s="9"/>
      <c r="X265" s="9"/>
      <c r="Y265" s="9"/>
      <c r="Z265" s="9"/>
    </row>
    <row r="266" ht="12.0" customHeight="1">
      <c r="A266" s="4"/>
      <c r="B266" s="4"/>
      <c r="C266" s="4"/>
      <c r="D266" s="4"/>
      <c r="E266" s="4"/>
      <c r="F266" s="4"/>
      <c r="G266" s="4"/>
      <c r="H266" s="4"/>
      <c r="I266" s="4"/>
      <c r="J266" s="4"/>
      <c r="K266" s="4"/>
      <c r="L266" s="4"/>
      <c r="M266" s="4"/>
      <c r="N266" s="4"/>
      <c r="O266" s="9"/>
      <c r="P266" s="9"/>
      <c r="Q266" s="9"/>
      <c r="R266" s="9"/>
      <c r="S266" s="9"/>
      <c r="T266" s="9"/>
      <c r="U266" s="9"/>
      <c r="V266" s="9"/>
      <c r="W266" s="9"/>
      <c r="X266" s="9"/>
      <c r="Y266" s="9"/>
      <c r="Z266" s="9"/>
    </row>
    <row r="267" ht="12.0" customHeight="1">
      <c r="A267" s="4"/>
      <c r="B267" s="4"/>
      <c r="C267" s="4"/>
      <c r="D267" s="4"/>
      <c r="E267" s="4"/>
      <c r="F267" s="4"/>
      <c r="G267" s="4"/>
      <c r="H267" s="4"/>
      <c r="I267" s="4"/>
      <c r="J267" s="4"/>
      <c r="K267" s="4"/>
      <c r="L267" s="4"/>
      <c r="M267" s="4"/>
      <c r="N267" s="4"/>
      <c r="O267" s="9"/>
      <c r="P267" s="9"/>
      <c r="Q267" s="9"/>
      <c r="R267" s="9"/>
      <c r="S267" s="9"/>
      <c r="T267" s="9"/>
      <c r="U267" s="9"/>
      <c r="V267" s="9"/>
      <c r="W267" s="9"/>
      <c r="X267" s="9"/>
      <c r="Y267" s="9"/>
      <c r="Z267" s="9"/>
    </row>
    <row r="268" ht="12.0" customHeight="1">
      <c r="A268" s="4"/>
      <c r="B268" s="4"/>
      <c r="C268" s="4"/>
      <c r="D268" s="4"/>
      <c r="E268" s="4"/>
      <c r="F268" s="4"/>
      <c r="G268" s="4"/>
      <c r="H268" s="4"/>
      <c r="I268" s="4"/>
      <c r="J268" s="4"/>
      <c r="K268" s="4"/>
      <c r="L268" s="4"/>
      <c r="M268" s="4"/>
      <c r="N268" s="4"/>
      <c r="O268" s="9"/>
      <c r="P268" s="9"/>
      <c r="Q268" s="9"/>
      <c r="R268" s="9"/>
      <c r="S268" s="9"/>
      <c r="T268" s="9"/>
      <c r="U268" s="9"/>
      <c r="V268" s="9"/>
      <c r="W268" s="9"/>
      <c r="X268" s="9"/>
      <c r="Y268" s="9"/>
      <c r="Z268" s="9"/>
    </row>
    <row r="269" ht="12.0" customHeight="1">
      <c r="A269" s="4"/>
      <c r="B269" s="4"/>
      <c r="C269" s="4"/>
      <c r="D269" s="4"/>
      <c r="E269" s="4"/>
      <c r="F269" s="4"/>
      <c r="G269" s="4"/>
      <c r="H269" s="4"/>
      <c r="I269" s="4"/>
      <c r="J269" s="4"/>
      <c r="K269" s="4"/>
      <c r="L269" s="4"/>
      <c r="M269" s="4"/>
      <c r="N269" s="4"/>
      <c r="O269" s="9"/>
      <c r="P269" s="9"/>
      <c r="Q269" s="9"/>
      <c r="R269" s="9"/>
      <c r="S269" s="9"/>
      <c r="T269" s="9"/>
      <c r="U269" s="9"/>
      <c r="V269" s="9"/>
      <c r="W269" s="9"/>
      <c r="X269" s="9"/>
      <c r="Y269" s="9"/>
      <c r="Z269" s="9"/>
    </row>
    <row r="270" ht="12.0" customHeight="1">
      <c r="A270" s="4"/>
      <c r="B270" s="4"/>
      <c r="C270" s="4"/>
      <c r="D270" s="4"/>
      <c r="E270" s="4"/>
      <c r="F270" s="4"/>
      <c r="G270" s="4"/>
      <c r="H270" s="4"/>
      <c r="I270" s="4"/>
      <c r="J270" s="4"/>
      <c r="K270" s="4"/>
      <c r="L270" s="4"/>
      <c r="M270" s="4"/>
      <c r="N270" s="4"/>
      <c r="O270" s="9"/>
      <c r="P270" s="9"/>
      <c r="Q270" s="9"/>
      <c r="R270" s="9"/>
      <c r="S270" s="9"/>
      <c r="T270" s="9"/>
      <c r="U270" s="9"/>
      <c r="V270" s="9"/>
      <c r="W270" s="9"/>
      <c r="X270" s="9"/>
      <c r="Y270" s="9"/>
      <c r="Z270" s="9"/>
    </row>
    <row r="271" ht="12.0" customHeight="1">
      <c r="A271" s="4"/>
      <c r="B271" s="4"/>
      <c r="C271" s="4"/>
      <c r="D271" s="4"/>
      <c r="E271" s="4"/>
      <c r="F271" s="4"/>
      <c r="G271" s="4"/>
      <c r="H271" s="4"/>
      <c r="I271" s="4"/>
      <c r="J271" s="4"/>
      <c r="K271" s="4"/>
      <c r="L271" s="4"/>
      <c r="M271" s="4"/>
      <c r="N271" s="4"/>
      <c r="O271" s="9"/>
      <c r="P271" s="9"/>
      <c r="Q271" s="9"/>
      <c r="R271" s="9"/>
      <c r="S271" s="9"/>
      <c r="T271" s="9"/>
      <c r="U271" s="9"/>
      <c r="V271" s="9"/>
      <c r="W271" s="9"/>
      <c r="X271" s="9"/>
      <c r="Y271" s="9"/>
      <c r="Z271" s="9"/>
    </row>
    <row r="272" ht="12.0" customHeight="1">
      <c r="A272" s="4"/>
      <c r="B272" s="4"/>
      <c r="C272" s="4"/>
      <c r="D272" s="4"/>
      <c r="E272" s="4"/>
      <c r="F272" s="4"/>
      <c r="G272" s="4"/>
      <c r="H272" s="4"/>
      <c r="I272" s="4"/>
      <c r="J272" s="4"/>
      <c r="K272" s="4"/>
      <c r="L272" s="4"/>
      <c r="M272" s="4"/>
      <c r="N272" s="4"/>
      <c r="O272" s="9"/>
      <c r="P272" s="9"/>
      <c r="Q272" s="9"/>
      <c r="R272" s="9"/>
      <c r="S272" s="9"/>
      <c r="T272" s="9"/>
      <c r="U272" s="9"/>
      <c r="V272" s="9"/>
      <c r="W272" s="9"/>
      <c r="X272" s="9"/>
      <c r="Y272" s="9"/>
      <c r="Z272" s="9"/>
    </row>
    <row r="273" ht="12.0" customHeight="1">
      <c r="A273" s="4"/>
      <c r="B273" s="4"/>
      <c r="C273" s="4"/>
      <c r="D273" s="4"/>
      <c r="E273" s="4"/>
      <c r="F273" s="4"/>
      <c r="G273" s="4"/>
      <c r="H273" s="4"/>
      <c r="I273" s="4"/>
      <c r="J273" s="4"/>
      <c r="K273" s="4"/>
      <c r="L273" s="4"/>
      <c r="M273" s="4"/>
      <c r="N273" s="4"/>
      <c r="O273" s="9"/>
      <c r="P273" s="9"/>
      <c r="Q273" s="9"/>
      <c r="R273" s="9"/>
      <c r="S273" s="9"/>
      <c r="T273" s="9"/>
      <c r="U273" s="9"/>
      <c r="V273" s="9"/>
      <c r="W273" s="9"/>
      <c r="X273" s="9"/>
      <c r="Y273" s="9"/>
      <c r="Z273" s="9"/>
    </row>
    <row r="274" ht="12.0" customHeight="1">
      <c r="A274" s="4"/>
      <c r="B274" s="4"/>
      <c r="C274" s="4"/>
      <c r="D274" s="4"/>
      <c r="E274" s="4"/>
      <c r="F274" s="4"/>
      <c r="G274" s="4"/>
      <c r="H274" s="4"/>
      <c r="I274" s="4"/>
      <c r="J274" s="4"/>
      <c r="K274" s="4"/>
      <c r="L274" s="4"/>
      <c r="M274" s="4"/>
      <c r="N274" s="4"/>
      <c r="O274" s="9"/>
      <c r="P274" s="9"/>
      <c r="Q274" s="9"/>
      <c r="R274" s="9"/>
      <c r="S274" s="9"/>
      <c r="T274" s="9"/>
      <c r="U274" s="9"/>
      <c r="V274" s="9"/>
      <c r="W274" s="9"/>
      <c r="X274" s="9"/>
      <c r="Y274" s="9"/>
      <c r="Z274" s="9"/>
    </row>
    <row r="275" ht="12.0" customHeight="1">
      <c r="A275" s="4"/>
      <c r="B275" s="4"/>
      <c r="C275" s="4"/>
      <c r="D275" s="4"/>
      <c r="E275" s="4"/>
      <c r="F275" s="4"/>
      <c r="G275" s="4"/>
      <c r="H275" s="4"/>
      <c r="I275" s="4"/>
      <c r="J275" s="4"/>
      <c r="K275" s="4"/>
      <c r="L275" s="4"/>
      <c r="M275" s="4"/>
      <c r="N275" s="4"/>
      <c r="O275" s="9"/>
      <c r="P275" s="9"/>
      <c r="Q275" s="9"/>
      <c r="R275" s="9"/>
      <c r="S275" s="9"/>
      <c r="T275" s="9"/>
      <c r="U275" s="9"/>
      <c r="V275" s="9"/>
      <c r="W275" s="9"/>
      <c r="X275" s="9"/>
      <c r="Y275" s="9"/>
      <c r="Z275" s="9"/>
    </row>
    <row r="276" ht="12.0" customHeight="1">
      <c r="A276" s="4"/>
      <c r="B276" s="4"/>
      <c r="C276" s="4"/>
      <c r="D276" s="4"/>
      <c r="E276" s="4"/>
      <c r="F276" s="4"/>
      <c r="G276" s="4"/>
      <c r="H276" s="4"/>
      <c r="I276" s="4"/>
      <c r="J276" s="4"/>
      <c r="K276" s="4"/>
      <c r="L276" s="4"/>
      <c r="M276" s="4"/>
      <c r="N276" s="4"/>
      <c r="O276" s="9"/>
      <c r="P276" s="9"/>
      <c r="Q276" s="9"/>
      <c r="R276" s="9"/>
      <c r="S276" s="9"/>
      <c r="T276" s="9"/>
      <c r="U276" s="9"/>
      <c r="V276" s="9"/>
      <c r="W276" s="9"/>
      <c r="X276" s="9"/>
      <c r="Y276" s="9"/>
      <c r="Z276" s="9"/>
    </row>
    <row r="277" ht="12.0" customHeight="1">
      <c r="A277" s="4"/>
      <c r="B277" s="4"/>
      <c r="C277" s="4"/>
      <c r="D277" s="4"/>
      <c r="E277" s="4"/>
      <c r="F277" s="4"/>
      <c r="G277" s="4"/>
      <c r="H277" s="4"/>
      <c r="I277" s="4"/>
      <c r="J277" s="4"/>
      <c r="K277" s="4"/>
      <c r="L277" s="4"/>
      <c r="M277" s="4"/>
      <c r="N277" s="4"/>
      <c r="O277" s="9"/>
      <c r="P277" s="9"/>
      <c r="Q277" s="9"/>
      <c r="R277" s="9"/>
      <c r="S277" s="9"/>
      <c r="T277" s="9"/>
      <c r="U277" s="9"/>
      <c r="V277" s="9"/>
      <c r="W277" s="9"/>
      <c r="X277" s="9"/>
      <c r="Y277" s="9"/>
      <c r="Z277" s="9"/>
    </row>
    <row r="278" ht="12.0" customHeight="1">
      <c r="A278" s="4"/>
      <c r="B278" s="4"/>
      <c r="C278" s="4"/>
      <c r="D278" s="4"/>
      <c r="E278" s="4"/>
      <c r="F278" s="4"/>
      <c r="G278" s="4"/>
      <c r="H278" s="4"/>
      <c r="I278" s="4"/>
      <c r="J278" s="4"/>
      <c r="K278" s="4"/>
      <c r="L278" s="4"/>
      <c r="M278" s="4"/>
      <c r="N278" s="4"/>
      <c r="O278" s="9"/>
      <c r="P278" s="9"/>
      <c r="Q278" s="9"/>
      <c r="R278" s="9"/>
      <c r="S278" s="9"/>
      <c r="T278" s="9"/>
      <c r="U278" s="9"/>
      <c r="V278" s="9"/>
      <c r="W278" s="9"/>
      <c r="X278" s="9"/>
      <c r="Y278" s="9"/>
      <c r="Z278" s="9"/>
    </row>
    <row r="279" ht="12.0" customHeight="1">
      <c r="A279" s="4"/>
      <c r="B279" s="4"/>
      <c r="C279" s="4"/>
      <c r="D279" s="4"/>
      <c r="E279" s="4"/>
      <c r="F279" s="4"/>
      <c r="G279" s="4"/>
      <c r="H279" s="4"/>
      <c r="I279" s="4"/>
      <c r="J279" s="4"/>
      <c r="K279" s="4"/>
      <c r="L279" s="4"/>
      <c r="M279" s="4"/>
      <c r="N279" s="4"/>
      <c r="O279" s="9"/>
      <c r="P279" s="9"/>
      <c r="Q279" s="9"/>
      <c r="R279" s="9"/>
      <c r="S279" s="9"/>
      <c r="T279" s="9"/>
      <c r="U279" s="9"/>
      <c r="V279" s="9"/>
      <c r="W279" s="9"/>
      <c r="X279" s="9"/>
      <c r="Y279" s="9"/>
      <c r="Z279" s="9"/>
    </row>
    <row r="280" ht="12.0" customHeight="1">
      <c r="A280" s="4"/>
      <c r="B280" s="4"/>
      <c r="C280" s="4"/>
      <c r="D280" s="4"/>
      <c r="E280" s="4"/>
      <c r="F280" s="4"/>
      <c r="G280" s="4"/>
      <c r="H280" s="4"/>
      <c r="I280" s="4"/>
      <c r="J280" s="4"/>
      <c r="K280" s="4"/>
      <c r="L280" s="4"/>
      <c r="M280" s="4"/>
      <c r="N280" s="4"/>
      <c r="O280" s="9"/>
      <c r="P280" s="9"/>
      <c r="Q280" s="9"/>
      <c r="R280" s="9"/>
      <c r="S280" s="9"/>
      <c r="T280" s="9"/>
      <c r="U280" s="9"/>
      <c r="V280" s="9"/>
      <c r="W280" s="9"/>
      <c r="X280" s="9"/>
      <c r="Y280" s="9"/>
      <c r="Z280" s="9"/>
    </row>
    <row r="281" ht="12.0" customHeight="1">
      <c r="A281" s="4"/>
      <c r="B281" s="4"/>
      <c r="C281" s="4"/>
      <c r="D281" s="4"/>
      <c r="E281" s="4"/>
      <c r="F281" s="4"/>
      <c r="G281" s="4"/>
      <c r="H281" s="4"/>
      <c r="I281" s="4"/>
      <c r="J281" s="4"/>
      <c r="K281" s="4"/>
      <c r="L281" s="4"/>
      <c r="M281" s="4"/>
      <c r="N281" s="4"/>
      <c r="O281" s="9"/>
      <c r="P281" s="9"/>
      <c r="Q281" s="9"/>
      <c r="R281" s="9"/>
      <c r="S281" s="9"/>
      <c r="T281" s="9"/>
      <c r="U281" s="9"/>
      <c r="V281" s="9"/>
      <c r="W281" s="9"/>
      <c r="X281" s="9"/>
      <c r="Y281" s="9"/>
      <c r="Z281" s="9"/>
    </row>
    <row r="282" ht="12.0" customHeight="1">
      <c r="A282" s="4"/>
      <c r="B282" s="4"/>
      <c r="C282" s="4"/>
      <c r="D282" s="4"/>
      <c r="E282" s="4"/>
      <c r="F282" s="4"/>
      <c r="G282" s="4"/>
      <c r="H282" s="4"/>
      <c r="I282" s="4"/>
      <c r="J282" s="4"/>
      <c r="K282" s="4"/>
      <c r="L282" s="4"/>
      <c r="M282" s="4"/>
      <c r="N282" s="4"/>
      <c r="O282" s="9"/>
      <c r="P282" s="9"/>
      <c r="Q282" s="9"/>
      <c r="R282" s="9"/>
      <c r="S282" s="9"/>
      <c r="T282" s="9"/>
      <c r="U282" s="9"/>
      <c r="V282" s="9"/>
      <c r="W282" s="9"/>
      <c r="X282" s="9"/>
      <c r="Y282" s="9"/>
      <c r="Z282" s="9"/>
    </row>
    <row r="283" ht="12.0" customHeight="1">
      <c r="A283" s="4"/>
      <c r="B283" s="4"/>
      <c r="C283" s="4"/>
      <c r="D283" s="4"/>
      <c r="E283" s="4"/>
      <c r="F283" s="4"/>
      <c r="G283" s="4"/>
      <c r="H283" s="4"/>
      <c r="I283" s="4"/>
      <c r="J283" s="4"/>
      <c r="K283" s="4"/>
      <c r="L283" s="4"/>
      <c r="M283" s="4"/>
      <c r="N283" s="4"/>
      <c r="O283" s="9"/>
      <c r="P283" s="9"/>
      <c r="Q283" s="9"/>
      <c r="R283" s="9"/>
      <c r="S283" s="9"/>
      <c r="T283" s="9"/>
      <c r="U283" s="9"/>
      <c r="V283" s="9"/>
      <c r="W283" s="9"/>
      <c r="X283" s="9"/>
      <c r="Y283" s="9"/>
      <c r="Z283" s="9"/>
    </row>
    <row r="284" ht="12.0" customHeight="1">
      <c r="A284" s="4"/>
      <c r="B284" s="4"/>
      <c r="C284" s="4"/>
      <c r="D284" s="4"/>
      <c r="E284" s="4"/>
      <c r="F284" s="4"/>
      <c r="G284" s="4"/>
      <c r="H284" s="4"/>
      <c r="I284" s="4"/>
      <c r="J284" s="4"/>
      <c r="K284" s="4"/>
      <c r="L284" s="4"/>
      <c r="M284" s="4"/>
      <c r="N284" s="4"/>
      <c r="O284" s="9"/>
      <c r="P284" s="9"/>
      <c r="Q284" s="9"/>
      <c r="R284" s="9"/>
      <c r="S284" s="9"/>
      <c r="T284" s="9"/>
      <c r="U284" s="9"/>
      <c r="V284" s="9"/>
      <c r="W284" s="9"/>
      <c r="X284" s="9"/>
      <c r="Y284" s="9"/>
      <c r="Z284" s="9"/>
    </row>
    <row r="285" ht="12.0" customHeight="1">
      <c r="A285" s="4"/>
      <c r="B285" s="4"/>
      <c r="C285" s="4"/>
      <c r="D285" s="4"/>
      <c r="E285" s="4"/>
      <c r="F285" s="4"/>
      <c r="G285" s="4"/>
      <c r="H285" s="4"/>
      <c r="I285" s="4"/>
      <c r="J285" s="4"/>
      <c r="K285" s="4"/>
      <c r="L285" s="4"/>
      <c r="M285" s="4"/>
      <c r="N285" s="4"/>
      <c r="O285" s="9"/>
      <c r="P285" s="9"/>
      <c r="Q285" s="9"/>
      <c r="R285" s="9"/>
      <c r="S285" s="9"/>
      <c r="T285" s="9"/>
      <c r="U285" s="9"/>
      <c r="V285" s="9"/>
      <c r="W285" s="9"/>
      <c r="X285" s="9"/>
      <c r="Y285" s="9"/>
      <c r="Z285" s="9"/>
    </row>
    <row r="286" ht="12.0" customHeight="1">
      <c r="A286" s="4"/>
      <c r="B286" s="4"/>
      <c r="C286" s="4"/>
      <c r="D286" s="4"/>
      <c r="E286" s="4"/>
      <c r="F286" s="4"/>
      <c r="G286" s="4"/>
      <c r="H286" s="4"/>
      <c r="I286" s="4"/>
      <c r="J286" s="4"/>
      <c r="K286" s="4"/>
      <c r="L286" s="4"/>
      <c r="M286" s="4"/>
      <c r="N286" s="4"/>
      <c r="O286" s="9"/>
      <c r="P286" s="9"/>
      <c r="Q286" s="9"/>
      <c r="R286" s="9"/>
      <c r="S286" s="9"/>
      <c r="T286" s="9"/>
      <c r="U286" s="9"/>
      <c r="V286" s="9"/>
      <c r="W286" s="9"/>
      <c r="X286" s="9"/>
      <c r="Y286" s="9"/>
      <c r="Z286" s="9"/>
    </row>
    <row r="287" ht="12.0" customHeight="1">
      <c r="A287" s="4"/>
      <c r="B287" s="4"/>
      <c r="C287" s="4"/>
      <c r="D287" s="4"/>
      <c r="E287" s="4"/>
      <c r="F287" s="4"/>
      <c r="G287" s="4"/>
      <c r="H287" s="4"/>
      <c r="I287" s="4"/>
      <c r="J287" s="4"/>
      <c r="K287" s="4"/>
      <c r="L287" s="4"/>
      <c r="M287" s="4"/>
      <c r="N287" s="4"/>
      <c r="O287" s="9"/>
      <c r="P287" s="9"/>
      <c r="Q287" s="9"/>
      <c r="R287" s="9"/>
      <c r="S287" s="9"/>
      <c r="T287" s="9"/>
      <c r="U287" s="9"/>
      <c r="V287" s="9"/>
      <c r="W287" s="9"/>
      <c r="X287" s="9"/>
      <c r="Y287" s="9"/>
      <c r="Z287" s="9"/>
    </row>
    <row r="288" ht="12.0" customHeight="1">
      <c r="A288" s="4"/>
      <c r="B288" s="4"/>
      <c r="C288" s="4"/>
      <c r="D288" s="4"/>
      <c r="E288" s="4"/>
      <c r="F288" s="4"/>
      <c r="G288" s="4"/>
      <c r="H288" s="4"/>
      <c r="I288" s="4"/>
      <c r="J288" s="4"/>
      <c r="K288" s="4"/>
      <c r="L288" s="4"/>
      <c r="M288" s="4"/>
      <c r="N288" s="4"/>
      <c r="O288" s="9"/>
      <c r="P288" s="9"/>
      <c r="Q288" s="9"/>
      <c r="R288" s="9"/>
      <c r="S288" s="9"/>
      <c r="T288" s="9"/>
      <c r="U288" s="9"/>
      <c r="V288" s="9"/>
      <c r="W288" s="9"/>
      <c r="X288" s="9"/>
      <c r="Y288" s="9"/>
      <c r="Z288" s="9"/>
    </row>
    <row r="289" ht="12.0" customHeight="1">
      <c r="A289" s="4"/>
      <c r="B289" s="4"/>
      <c r="C289" s="4"/>
      <c r="D289" s="4"/>
      <c r="E289" s="4"/>
      <c r="F289" s="4"/>
      <c r="G289" s="4"/>
      <c r="H289" s="4"/>
      <c r="I289" s="4"/>
      <c r="J289" s="4"/>
      <c r="K289" s="4"/>
      <c r="L289" s="4"/>
      <c r="M289" s="4"/>
      <c r="N289" s="4"/>
      <c r="O289" s="9"/>
      <c r="P289" s="9"/>
      <c r="Q289" s="9"/>
      <c r="R289" s="9"/>
      <c r="S289" s="9"/>
      <c r="T289" s="9"/>
      <c r="U289" s="9"/>
      <c r="V289" s="9"/>
      <c r="W289" s="9"/>
      <c r="X289" s="9"/>
      <c r="Y289" s="9"/>
      <c r="Z289" s="9"/>
    </row>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7">
    <mergeCell ref="A1:B4"/>
    <mergeCell ref="K1:N1"/>
    <mergeCell ref="A7:B7"/>
    <mergeCell ref="C8:F8"/>
    <mergeCell ref="G8:J8"/>
    <mergeCell ref="K8:N8"/>
    <mergeCell ref="P8:R8"/>
    <mergeCell ref="A8:B8"/>
    <mergeCell ref="A27:B27"/>
    <mergeCell ref="A28:B28"/>
    <mergeCell ref="C28:F28"/>
    <mergeCell ref="G28:J28"/>
    <mergeCell ref="K28:N28"/>
    <mergeCell ref="P28:R28"/>
    <mergeCell ref="A62:B62"/>
    <mergeCell ref="A63:B63"/>
    <mergeCell ref="C63:F63"/>
    <mergeCell ref="G63:J63"/>
    <mergeCell ref="K63:N63"/>
    <mergeCell ref="P63:R63"/>
    <mergeCell ref="A41:B41"/>
    <mergeCell ref="A45:B45"/>
    <mergeCell ref="A46:B46"/>
    <mergeCell ref="C46:F46"/>
    <mergeCell ref="G46:J46"/>
    <mergeCell ref="K46:N46"/>
    <mergeCell ref="P46:R46"/>
  </mergeCells>
  <conditionalFormatting sqref="C87:N87">
    <cfRule type="cellIs" dxfId="0" priority="1" operator="notEqual">
      <formula>"100%"</formula>
    </cfRule>
  </conditionalFormatting>
  <printOptions/>
  <pageMargins bottom="1.0" footer="0.0" header="0.0" left="0.57" right="0.68" top="1.0"/>
  <pageSetup orientation="landscape"/>
  <rowBreaks count="1" manualBreakCount="1">
    <brk id="51" man="1"/>
  </rowBreak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CD668"/>
    <pageSetUpPr fitToPage="1"/>
  </sheetPr>
  <sheetViews>
    <sheetView workbookViewId="0"/>
  </sheetViews>
  <sheetFormatPr customHeight="1" defaultColWidth="12.63" defaultRowHeight="15.0"/>
  <cols>
    <col customWidth="1" min="1" max="1" width="10.63"/>
    <col customWidth="1" min="2" max="2" width="18.38"/>
    <col customWidth="1" min="3" max="3" width="9.88"/>
    <col customWidth="1" min="4" max="4" width="10.88"/>
    <col customWidth="1" min="5" max="5" width="10.13"/>
    <col customWidth="1" min="6" max="6" width="11.63"/>
    <col customWidth="1" min="7" max="7" width="9.75"/>
    <col customWidth="1" min="8" max="8" width="17.38"/>
    <col customWidth="1" min="9" max="9" width="9.25"/>
    <col customWidth="1" min="10" max="10" width="9.75"/>
    <col customWidth="1" min="11" max="11" width="9.13"/>
    <col customWidth="1" min="12" max="12" width="27.75"/>
    <col customWidth="1" min="13" max="13" width="11.13"/>
    <col customWidth="1" min="14" max="14" width="12.75"/>
    <col customWidth="1" min="15" max="15" width="11.75"/>
    <col customWidth="1" min="16" max="24" width="9.13"/>
    <col customWidth="1" min="25" max="26" width="8.63"/>
  </cols>
  <sheetData>
    <row r="1" ht="15.75" customHeight="1">
      <c r="A1" s="1" t="s">
        <v>74</v>
      </c>
      <c r="G1" s="4"/>
      <c r="H1" s="4"/>
      <c r="I1" s="4"/>
      <c r="J1" s="4"/>
      <c r="K1" s="6" t="s">
        <v>75</v>
      </c>
      <c r="L1" s="7"/>
      <c r="M1" s="7"/>
      <c r="N1" s="8"/>
      <c r="O1" s="4"/>
      <c r="P1" s="4"/>
      <c r="Q1" s="4"/>
      <c r="R1" s="4"/>
      <c r="S1" s="4"/>
      <c r="T1" s="4"/>
      <c r="U1" s="4"/>
      <c r="V1" s="4"/>
      <c r="W1" s="4"/>
      <c r="X1" s="4"/>
      <c r="Y1" s="4"/>
      <c r="Z1" s="4"/>
    </row>
    <row r="2" ht="15.75" customHeight="1">
      <c r="D2" s="4"/>
      <c r="E2" s="4"/>
      <c r="F2" s="4"/>
      <c r="G2" s="4"/>
      <c r="H2" s="4"/>
      <c r="I2" s="4"/>
      <c r="J2" s="4"/>
      <c r="K2" s="4"/>
      <c r="L2" s="3"/>
      <c r="M2" s="4"/>
      <c r="N2" s="4"/>
      <c r="O2" s="4"/>
      <c r="P2" s="4"/>
      <c r="Q2" s="4"/>
      <c r="R2" s="4"/>
      <c r="S2" s="4"/>
      <c r="T2" s="4"/>
      <c r="U2" s="4"/>
      <c r="V2" s="4"/>
      <c r="W2" s="4"/>
      <c r="X2" s="4"/>
      <c r="Y2" s="4"/>
      <c r="Z2" s="4"/>
    </row>
    <row r="3" ht="15.75" customHeight="1">
      <c r="A3" s="102" t="str">
        <f>IFERROR(__xludf.DUMMYFUNCTION("IMPORTRANGE(""https://docs.google.com/spreadsheets/d/1fpr4iXJjYPIWfqLVGaDLSDFHokxxaVbtvYkSxFtDSHM/edit#gid=783412060"", ""'CV Coop Sector Alloc'!A50:G63"")"),"Secondary Species + Halibut PSC - Metric Tons")</f>
        <v>Secondary Species + Halibut PSC - Metric Tons</v>
      </c>
      <c r="B3" s="103"/>
      <c r="C3" s="103"/>
      <c r="D3" s="103"/>
      <c r="E3" s="103"/>
      <c r="F3" s="103"/>
      <c r="G3" s="103"/>
      <c r="H3" s="104"/>
      <c r="I3" s="4"/>
      <c r="J3" s="4"/>
      <c r="K3" s="4"/>
      <c r="L3" s="10">
        <v>2026.0</v>
      </c>
      <c r="M3" s="12" t="s">
        <v>3</v>
      </c>
      <c r="N3" s="3"/>
      <c r="O3" s="3"/>
      <c r="P3" s="3"/>
      <c r="Q3" s="3"/>
      <c r="R3" s="3"/>
      <c r="S3" s="3"/>
      <c r="T3" s="3"/>
      <c r="U3" s="4"/>
      <c r="V3" s="4"/>
      <c r="W3" s="4"/>
      <c r="X3" s="4"/>
      <c r="Y3" s="4"/>
    </row>
    <row r="4" ht="15.75" customHeight="1">
      <c r="A4" s="105" t="str">
        <f>IFERROR(__xludf.DUMMYFUNCTION("""COMPUTED_VALUE"""),"Species")</f>
        <v>Species</v>
      </c>
      <c r="B4" s="106" t="str">
        <f>IFERROR(__xludf.DUMMYFUNCTION("""COMPUTED_VALUE"""),"CV sector")</f>
        <v>CV sector</v>
      </c>
      <c r="C4" s="107" t="str">
        <f>IFERROR(__xludf.DUMMYFUNCTION("""COMPUTED_VALUE"""),"SBS")</f>
        <v>SBS</v>
      </c>
      <c r="D4" s="107" t="str">
        <f>IFERROR(__xludf.DUMMYFUNCTION("""COMPUTED_VALUE"""),"NP")</f>
        <v>NP</v>
      </c>
      <c r="E4" s="107" t="str">
        <f>IFERROR(__xludf.DUMMYFUNCTION("""COMPUTED_VALUE"""),"OBSI")</f>
        <v>OBSI</v>
      </c>
      <c r="F4" s="107" t="str">
        <f>IFERROR(__xludf.DUMMYFUNCTION("""COMPUTED_VALUE"""),"SOK")</f>
        <v>SOK</v>
      </c>
      <c r="G4" s="107" t="str">
        <f>IFERROR(__xludf.DUMMYFUNCTION("""COMPUTED_VALUE"""),"Total")</f>
        <v>Total</v>
      </c>
      <c r="H4" s="108"/>
      <c r="I4" s="107"/>
      <c r="J4" s="107"/>
      <c r="K4" s="4"/>
      <c r="L4" s="109" t="s">
        <v>76</v>
      </c>
      <c r="M4" s="110">
        <f>'Alloc by Sector'!$D$22</f>
        <v>107241157</v>
      </c>
      <c r="N4" s="17"/>
      <c r="O4" s="17"/>
      <c r="P4" s="17"/>
      <c r="Q4" s="17"/>
      <c r="R4" s="17"/>
      <c r="S4" s="17"/>
      <c r="T4" s="17"/>
      <c r="U4" s="4"/>
      <c r="V4" s="4"/>
      <c r="W4" s="4"/>
      <c r="X4" s="4"/>
      <c r="Y4" s="4"/>
    </row>
    <row r="5" ht="15.75" customHeight="1">
      <c r="A5" s="104" t="str">
        <f>IFERROR(__xludf.DUMMYFUNCTION("""COMPUTED_VALUE"""),"Sablefish")</f>
        <v>Sablefish</v>
      </c>
      <c r="B5" s="17">
        <f>IFERROR(__xludf.DUMMYFUNCTION("""COMPUTED_VALUE"""),374.7306)</f>
        <v>374.7306</v>
      </c>
      <c r="C5" s="49">
        <f>IFERROR(__xludf.DUMMYFUNCTION("""COMPUTED_VALUE"""),93.22819009467231)</f>
        <v>93.22819009</v>
      </c>
      <c r="D5" s="49">
        <f>IFERROR(__xludf.DUMMYFUNCTION("""COMPUTED_VALUE"""),60.45941493570607)</f>
        <v>60.45941494</v>
      </c>
      <c r="E5" s="49">
        <f>IFERROR(__xludf.DUMMYFUNCTION("""COMPUTED_VALUE"""),82.51735617305769)</f>
        <v>82.51735617</v>
      </c>
      <c r="F5" s="49">
        <f>IFERROR(__xludf.DUMMYFUNCTION("""COMPUTED_VALUE"""),138.52563879656387)</f>
        <v>138.5256388</v>
      </c>
      <c r="G5" s="49">
        <f>IFERROR(__xludf.DUMMYFUNCTION("""COMPUTED_VALUE"""),374.7306)</f>
        <v>374.7306</v>
      </c>
      <c r="H5" s="111"/>
      <c r="I5" s="49"/>
      <c r="J5" s="17"/>
      <c r="K5" s="4"/>
      <c r="L5" s="112"/>
      <c r="M5" s="113"/>
      <c r="N5" s="17"/>
      <c r="O5" s="17"/>
      <c r="P5" s="17"/>
      <c r="Q5" s="17"/>
      <c r="R5" s="17"/>
      <c r="S5" s="17"/>
      <c r="T5" s="17"/>
      <c r="U5" s="4"/>
      <c r="V5" s="4"/>
      <c r="W5" s="4"/>
      <c r="X5" s="4"/>
      <c r="Y5" s="4"/>
    </row>
    <row r="6" ht="15.75" customHeight="1">
      <c r="A6" s="104" t="str">
        <f>IFERROR(__xludf.DUMMYFUNCTION("""COMPUTED_VALUE"""),"Pacific Cod")</f>
        <v>Pacific Cod</v>
      </c>
      <c r="B6" s="17">
        <f>IFERROR(__xludf.DUMMYFUNCTION("""COMPUTED_VALUE"""),550.440225)</f>
        <v>550.440225</v>
      </c>
      <c r="C6" s="49">
        <f>IFERROR(__xludf.DUMMYFUNCTION("""COMPUTED_VALUE"""),136.94250197889954)</f>
        <v>136.942502</v>
      </c>
      <c r="D6" s="49">
        <f>IFERROR(__xludf.DUMMYFUNCTION("""COMPUTED_VALUE"""),88.80858398160817)</f>
        <v>88.80858398</v>
      </c>
      <c r="E6" s="49">
        <f>IFERROR(__xludf.DUMMYFUNCTION("""COMPUTED_VALUE"""),121.20940243018057)</f>
        <v>121.2094024</v>
      </c>
      <c r="F6" s="49">
        <f>IFERROR(__xludf.DUMMYFUNCTION("""COMPUTED_VALUE"""),203.47973660931177)</f>
        <v>203.4797366</v>
      </c>
      <c r="G6" s="49">
        <f>IFERROR(__xludf.DUMMYFUNCTION("""COMPUTED_VALUE"""),550.440225)</f>
        <v>550.440225</v>
      </c>
      <c r="H6" s="111"/>
      <c r="I6" s="49"/>
      <c r="J6" s="17"/>
      <c r="K6" s="4"/>
      <c r="L6" s="3"/>
      <c r="M6" s="4"/>
      <c r="N6" s="17"/>
      <c r="O6" s="17"/>
      <c r="P6" s="17"/>
      <c r="Q6" s="17"/>
      <c r="R6" s="17"/>
      <c r="S6" s="17"/>
      <c r="T6" s="17"/>
      <c r="U6" s="4"/>
      <c r="V6" s="4"/>
      <c r="W6" s="4"/>
      <c r="X6" s="4"/>
      <c r="Y6" s="4"/>
    </row>
    <row r="7" ht="15.75" customHeight="1">
      <c r="A7" s="104" t="str">
        <f>IFERROR(__xludf.DUMMYFUNCTION("""COMPUTED_VALUE"""),"Thornyhead")</f>
        <v>Thornyhead</v>
      </c>
      <c r="B7" s="17">
        <f>IFERROR(__xludf.DUMMYFUNCTION("""COMPUTED_VALUE"""),46.256)</f>
        <v>46.256</v>
      </c>
      <c r="C7" s="49">
        <f>IFERROR(__xludf.DUMMYFUNCTION("""COMPUTED_VALUE"""),11.507902373115948)</f>
        <v>11.50790237</v>
      </c>
      <c r="D7" s="49">
        <f>IFERROR(__xludf.DUMMYFUNCTION("""COMPUTED_VALUE"""),7.46298993801419)</f>
        <v>7.462989938</v>
      </c>
      <c r="E7" s="49">
        <f>IFERROR(__xludf.DUMMYFUNCTION("""COMPUTED_VALUE"""),10.185778335532133)</f>
        <v>10.18577834</v>
      </c>
      <c r="F7" s="49">
        <f>IFERROR(__xludf.DUMMYFUNCTION("""COMPUTED_VALUE"""),17.09932935333773)</f>
        <v>17.09932935</v>
      </c>
      <c r="G7" s="49">
        <f>IFERROR(__xludf.DUMMYFUNCTION("""COMPUTED_VALUE"""),46.256)</f>
        <v>46.256</v>
      </c>
      <c r="H7" s="111"/>
      <c r="I7" s="49"/>
      <c r="J7" s="17"/>
      <c r="K7" s="4"/>
      <c r="L7" s="3"/>
      <c r="N7" s="17"/>
      <c r="O7" s="17"/>
      <c r="P7" s="17"/>
      <c r="Q7" s="17"/>
      <c r="R7" s="17"/>
      <c r="S7" s="17"/>
      <c r="T7" s="17"/>
      <c r="U7" s="4"/>
      <c r="V7" s="4"/>
      <c r="W7" s="4"/>
      <c r="X7" s="4"/>
      <c r="Y7" s="4"/>
    </row>
    <row r="8" ht="15.75" customHeight="1">
      <c r="A8" s="104" t="str">
        <f>IFERROR(__xludf.DUMMYFUNCTION("""COMPUTED_VALUE"""),"Halibut")</f>
        <v>Halibut</v>
      </c>
      <c r="B8" s="49">
        <f>IFERROR(__xludf.DUMMYFUNCTION("""COMPUTED_VALUE"""),117.33749999999999)</f>
        <v>117.3375</v>
      </c>
      <c r="C8" s="49">
        <f>IFERROR(__xludf.DUMMYFUNCTION("""COMPUTED_VALUE"""),29.192072265338386)</f>
        <v>29.19207227</v>
      </c>
      <c r="D8" s="49">
        <f>IFERROR(__xludf.DUMMYFUNCTION("""COMPUTED_VALUE"""),18.931351216096072)</f>
        <v>18.93135122</v>
      </c>
      <c r="E8" s="49">
        <f>IFERROR(__xludf.DUMMYFUNCTION("""COMPUTED_VALUE"""),25.83824294027805)</f>
        <v>25.83824294</v>
      </c>
      <c r="F8" s="49">
        <f>IFERROR(__xludf.DUMMYFUNCTION("""COMPUTED_VALUE"""),43.37583357828748)</f>
        <v>43.37583358</v>
      </c>
      <c r="G8" s="49">
        <f>IFERROR(__xludf.DUMMYFUNCTION("""COMPUTED_VALUE"""),117.33749999999998)</f>
        <v>117.3375</v>
      </c>
      <c r="H8" s="104"/>
      <c r="I8" s="4"/>
      <c r="J8" s="17"/>
      <c r="K8" s="4"/>
      <c r="L8" s="4"/>
      <c r="M8" s="4"/>
      <c r="N8" s="4"/>
      <c r="O8" s="4"/>
      <c r="P8" s="4"/>
      <c r="Q8" s="4"/>
      <c r="R8" s="4"/>
      <c r="S8" s="4"/>
      <c r="T8" s="4"/>
      <c r="U8" s="4"/>
      <c r="V8" s="4"/>
      <c r="W8" s="4"/>
      <c r="X8" s="4"/>
      <c r="Y8" s="4"/>
      <c r="Z8" s="4"/>
    </row>
    <row r="9" ht="14.25" customHeight="1">
      <c r="A9" s="114"/>
      <c r="B9" s="4"/>
      <c r="C9" s="4"/>
      <c r="D9" s="4"/>
      <c r="E9" s="4"/>
      <c r="F9" s="4"/>
      <c r="G9" s="4"/>
      <c r="H9" s="104"/>
      <c r="I9" s="4"/>
      <c r="J9" s="4"/>
      <c r="K9" s="4"/>
      <c r="L9" s="4"/>
      <c r="M9" s="4"/>
      <c r="N9" s="4"/>
      <c r="O9" s="4"/>
      <c r="P9" s="4"/>
      <c r="Q9" s="4"/>
      <c r="R9" s="4"/>
      <c r="S9" s="4"/>
      <c r="T9" s="4"/>
      <c r="U9" s="4"/>
      <c r="V9" s="4"/>
      <c r="W9" s="4"/>
      <c r="X9" s="4"/>
      <c r="Y9" s="4"/>
      <c r="Z9" s="4"/>
    </row>
    <row r="10" ht="12.0" customHeight="1">
      <c r="A10" s="104"/>
      <c r="B10" s="4"/>
      <c r="C10" s="4"/>
      <c r="D10" s="4"/>
      <c r="E10" s="4"/>
      <c r="F10" s="4"/>
      <c r="G10" s="4"/>
      <c r="H10" s="105"/>
      <c r="I10" s="3"/>
      <c r="J10" s="3"/>
      <c r="K10" s="4"/>
      <c r="L10" s="4"/>
      <c r="M10" s="4"/>
      <c r="N10" s="4"/>
      <c r="O10" s="4"/>
      <c r="P10" s="4"/>
      <c r="Q10" s="4"/>
      <c r="R10" s="4"/>
      <c r="S10" s="4"/>
      <c r="T10" s="4"/>
      <c r="U10" s="4"/>
      <c r="V10" s="4"/>
      <c r="W10" s="4"/>
      <c r="X10" s="4"/>
      <c r="Y10" s="4"/>
      <c r="Z10" s="4"/>
    </row>
    <row r="11" ht="15.75" customHeight="1">
      <c r="A11" s="114" t="str">
        <f>IFERROR(__xludf.DUMMYFUNCTION("""COMPUTED_VALUE"""),"Secondary Species + Halibut PSC - Pounds")</f>
        <v>Secondary Species + Halibut PSC - Pounds</v>
      </c>
      <c r="B11" s="17"/>
      <c r="C11" s="17"/>
      <c r="D11" s="17"/>
      <c r="E11" s="17"/>
      <c r="F11" s="17"/>
      <c r="G11" s="17"/>
      <c r="H11" s="115"/>
      <c r="I11" s="17"/>
      <c r="J11" s="17"/>
      <c r="K11" s="4"/>
      <c r="L11" s="4"/>
      <c r="M11" s="17"/>
      <c r="N11" s="4"/>
      <c r="O11" s="4"/>
      <c r="P11" s="4"/>
      <c r="Q11" s="4"/>
      <c r="R11" s="4"/>
      <c r="S11" s="4"/>
      <c r="T11" s="4"/>
      <c r="U11" s="4"/>
      <c r="V11" s="4"/>
      <c r="W11" s="4"/>
      <c r="X11" s="4"/>
      <c r="Y11" s="4"/>
      <c r="Z11" s="4"/>
    </row>
    <row r="12" ht="15.75" customHeight="1">
      <c r="A12" s="105" t="str">
        <f>IFERROR(__xludf.DUMMYFUNCTION("""COMPUTED_VALUE"""),"Species")</f>
        <v>Species</v>
      </c>
      <c r="B12" s="106" t="str">
        <f>IFERROR(__xludf.DUMMYFUNCTION("""COMPUTED_VALUE"""),"CV sector")</f>
        <v>CV sector</v>
      </c>
      <c r="C12" s="106" t="str">
        <f>IFERROR(__xludf.DUMMYFUNCTION("""COMPUTED_VALUE"""),"SBS")</f>
        <v>SBS</v>
      </c>
      <c r="D12" s="106" t="str">
        <f>IFERROR(__xludf.DUMMYFUNCTION("""COMPUTED_VALUE"""),"NP")</f>
        <v>NP</v>
      </c>
      <c r="E12" s="106" t="str">
        <f>IFERROR(__xludf.DUMMYFUNCTION("""COMPUTED_VALUE"""),"OBSI")</f>
        <v>OBSI</v>
      </c>
      <c r="F12" s="106" t="str">
        <f>IFERROR(__xludf.DUMMYFUNCTION("""COMPUTED_VALUE"""),"SOK")</f>
        <v>SOK</v>
      </c>
      <c r="G12" s="106" t="str">
        <f>IFERROR(__xludf.DUMMYFUNCTION("""COMPUTED_VALUE"""),"Total")</f>
        <v>Total</v>
      </c>
      <c r="H12" s="116"/>
      <c r="I12" s="106"/>
      <c r="J12" s="106"/>
      <c r="K12" s="4"/>
      <c r="L12" s="4"/>
      <c r="M12" s="17"/>
      <c r="N12" s="4"/>
      <c r="O12" s="4"/>
      <c r="P12" s="4"/>
      <c r="Q12" s="4"/>
      <c r="R12" s="4"/>
      <c r="S12" s="4"/>
      <c r="T12" s="4"/>
      <c r="U12" s="4"/>
      <c r="V12" s="4"/>
      <c r="W12" s="4"/>
      <c r="X12" s="4"/>
      <c r="Y12" s="4"/>
      <c r="Z12" s="4"/>
    </row>
    <row r="13" ht="15.75" customHeight="1">
      <c r="A13" s="104" t="str">
        <f>IFERROR(__xludf.DUMMYFUNCTION("""COMPUTED_VALUE"""),"Sablefish")</f>
        <v>Sablefish</v>
      </c>
      <c r="B13" s="17">
        <f>IFERROR(__xludf.DUMMYFUNCTION("""COMPUTED_VALUE"""),826138.5753719999)</f>
        <v>826138.5754</v>
      </c>
      <c r="C13" s="17">
        <f>IFERROR(__xludf.DUMMYFUNCTION("""COMPUTED_VALUE"""),205532.73244651646)</f>
        <v>205532.7324</v>
      </c>
      <c r="D13" s="17">
        <f>IFERROR(__xludf.DUMMYFUNCTION("""COMPUTED_VALUE"""),133290.03535555632)</f>
        <v>133290.0354</v>
      </c>
      <c r="E13" s="17">
        <f>IFERROR(__xludf.DUMMYFUNCTION("""COMPUTED_VALUE"""),181919.41376624643)</f>
        <v>181919.4138</v>
      </c>
      <c r="F13" s="17">
        <f>IFERROR(__xludf.DUMMYFUNCTION("""COMPUTED_VALUE"""),305396.3938036806)</f>
        <v>305396.3938</v>
      </c>
      <c r="G13" s="17">
        <f>IFERROR(__xludf.DUMMYFUNCTION("""COMPUTED_VALUE"""),826138.5753719998)</f>
        <v>826138.5754</v>
      </c>
      <c r="H13" s="115"/>
      <c r="I13" s="17"/>
      <c r="J13" s="17"/>
      <c r="K13" s="4"/>
      <c r="L13" s="4"/>
      <c r="M13" s="4"/>
      <c r="N13" s="4"/>
      <c r="O13" s="4"/>
      <c r="P13" s="4"/>
      <c r="Q13" s="4"/>
      <c r="R13" s="4"/>
      <c r="S13" s="4"/>
      <c r="T13" s="4"/>
      <c r="U13" s="4"/>
      <c r="V13" s="4"/>
      <c r="W13" s="4"/>
      <c r="X13" s="4"/>
      <c r="Y13" s="4"/>
      <c r="Z13" s="4"/>
    </row>
    <row r="14" ht="15.75" customHeight="1">
      <c r="A14" s="104" t="str">
        <f>IFERROR(__xludf.DUMMYFUNCTION("""COMPUTED_VALUE"""),"Pacific Cod")</f>
        <v>Pacific Cod</v>
      </c>
      <c r="B14" s="17">
        <f>IFERROR(__xludf.DUMMYFUNCTION("""COMPUTED_VALUE"""),1213511.5288395002)</f>
        <v>1213511.529</v>
      </c>
      <c r="C14" s="17">
        <f>IFERROR(__xludf.DUMMYFUNCTION("""COMPUTED_VALUE"""),301906.1787127215)</f>
        <v>301906.1787</v>
      </c>
      <c r="D14" s="17">
        <f>IFERROR(__xludf.DUMMYFUNCTION("""COMPUTED_VALUE"""),195789.18041753297)</f>
        <v>195789.1804</v>
      </c>
      <c r="E14" s="17">
        <f>IFERROR(__xludf.DUMMYFUNCTION("""COMPUTED_VALUE"""),267220.6727856247)</f>
        <v>267220.6728</v>
      </c>
      <c r="F14" s="17">
        <f>IFERROR(__xludf.DUMMYFUNCTION("""COMPUTED_VALUE"""),448595.49692362087)</f>
        <v>448595.4969</v>
      </c>
      <c r="G14" s="17">
        <f>IFERROR(__xludf.DUMMYFUNCTION("""COMPUTED_VALUE"""),1213511.5288395)</f>
        <v>1213511.529</v>
      </c>
      <c r="H14" s="115"/>
      <c r="I14" s="17"/>
      <c r="J14" s="17"/>
      <c r="K14" s="4"/>
      <c r="L14" s="4"/>
      <c r="M14" s="4"/>
      <c r="N14" s="4"/>
      <c r="O14" s="4"/>
      <c r="P14" s="4"/>
      <c r="Q14" s="4"/>
      <c r="R14" s="4"/>
      <c r="S14" s="4"/>
      <c r="T14" s="4"/>
      <c r="U14" s="4"/>
      <c r="V14" s="4"/>
      <c r="W14" s="4"/>
      <c r="X14" s="4"/>
      <c r="Y14" s="4"/>
      <c r="Z14" s="4"/>
    </row>
    <row r="15" ht="15.75" customHeight="1">
      <c r="A15" s="104" t="str">
        <f>IFERROR(__xludf.DUMMYFUNCTION("""COMPUTED_VALUE"""),"Thornyhead")</f>
        <v>Thornyhead</v>
      </c>
      <c r="B15" s="17">
        <f>IFERROR(__xludf.DUMMYFUNCTION("""COMPUTED_VALUE"""),101976.90272)</f>
        <v>101976.9027</v>
      </c>
      <c r="C15" s="17">
        <f>IFERROR(__xludf.DUMMYFUNCTION("""COMPUTED_VALUE"""),25370.551729818882)</f>
        <v>25370.55173</v>
      </c>
      <c r="D15" s="17">
        <f>IFERROR(__xludf.DUMMYFUNCTION("""COMPUTED_VALUE"""),16453.05687714484)</f>
        <v>16453.05688</v>
      </c>
      <c r="E15" s="17">
        <f>IFERROR(__xludf.DUMMYFUNCTION("""COMPUTED_VALUE"""),22455.77063408085)</f>
        <v>22455.77063</v>
      </c>
      <c r="F15" s="17">
        <f>IFERROR(__xludf.DUMMYFUNCTION("""COMPUTED_VALUE"""),37697.52347895542)</f>
        <v>37697.52348</v>
      </c>
      <c r="G15" s="17">
        <f>IFERROR(__xludf.DUMMYFUNCTION("""COMPUTED_VALUE"""),101976.90272)</f>
        <v>101976.9027</v>
      </c>
      <c r="H15" s="104"/>
      <c r="I15" s="4"/>
      <c r="J15" s="4"/>
      <c r="K15" s="4"/>
      <c r="L15" s="4"/>
      <c r="M15" s="4"/>
      <c r="N15" s="4"/>
      <c r="O15" s="4"/>
      <c r="P15" s="4"/>
      <c r="Q15" s="4"/>
      <c r="R15" s="4"/>
      <c r="S15" s="4"/>
      <c r="T15" s="4"/>
      <c r="U15" s="4"/>
      <c r="V15" s="4"/>
      <c r="W15" s="4"/>
      <c r="X15" s="4"/>
      <c r="Y15" s="4"/>
      <c r="Z15" s="4"/>
    </row>
    <row r="16" ht="15.75" customHeight="1">
      <c r="A16" s="117" t="str">
        <f>IFERROR(__xludf.DUMMYFUNCTION("""COMPUTED_VALUE"""),"Halibut")</f>
        <v>Halibut</v>
      </c>
      <c r="B16" s="118">
        <f>IFERROR(__xludf.DUMMYFUNCTION("""COMPUTED_VALUE"""),258684.59924999997)</f>
        <v>258684.5993</v>
      </c>
      <c r="C16" s="118">
        <f>IFERROR(__xludf.DUMMYFUNCTION("""COMPUTED_VALUE"""),64357.42635761031)</f>
        <v>64357.42636</v>
      </c>
      <c r="D16" s="118">
        <f>IFERROR(__xludf.DUMMYFUNCTION("""COMPUTED_VALUE"""),41736.43551802972)</f>
        <v>41736.43552</v>
      </c>
      <c r="E16" s="118">
        <f>IFERROR(__xludf.DUMMYFUNCTION("""COMPUTED_VALUE"""),56963.50715099579)</f>
        <v>56963.50715</v>
      </c>
      <c r="F16" s="118">
        <f>IFERROR(__xludf.DUMMYFUNCTION("""COMPUTED_VALUE"""),95627.23022336414)</f>
        <v>95627.23022</v>
      </c>
      <c r="G16" s="118">
        <f>IFERROR(__xludf.DUMMYFUNCTION("""COMPUTED_VALUE"""),258684.59924999997)</f>
        <v>258684.5993</v>
      </c>
      <c r="H16" s="104"/>
      <c r="I16" s="4"/>
      <c r="J16" s="4"/>
      <c r="K16" s="4"/>
      <c r="L16" s="4"/>
      <c r="M16" s="119" t="s">
        <v>77</v>
      </c>
      <c r="P16" s="4"/>
      <c r="Q16" s="4"/>
      <c r="R16" s="4"/>
      <c r="S16" s="4"/>
      <c r="T16" s="4"/>
      <c r="U16" s="4"/>
      <c r="V16" s="4"/>
      <c r="W16" s="4"/>
      <c r="X16" s="4"/>
      <c r="Y16" s="4"/>
      <c r="Z16" s="4"/>
    </row>
    <row r="17" ht="15.75" customHeight="1">
      <c r="A17" s="120" t="s">
        <v>78</v>
      </c>
      <c r="H17" s="120"/>
      <c r="I17" s="120"/>
      <c r="J17" s="4"/>
      <c r="K17" s="4"/>
      <c r="L17" s="4"/>
      <c r="P17" s="4"/>
      <c r="Q17" s="4"/>
      <c r="R17" s="4"/>
      <c r="S17" s="4"/>
      <c r="T17" s="4"/>
      <c r="U17" s="4"/>
      <c r="V17" s="4"/>
      <c r="W17" s="4"/>
      <c r="X17" s="4"/>
      <c r="Y17" s="4"/>
      <c r="Z17" s="4"/>
    </row>
    <row r="18" ht="15.75" customHeight="1">
      <c r="A18" s="4"/>
      <c r="B18" s="4"/>
      <c r="C18" s="4"/>
      <c r="D18" s="4"/>
      <c r="E18" s="4"/>
      <c r="F18" s="4"/>
      <c r="G18" s="4"/>
      <c r="H18" s="4"/>
      <c r="I18" s="4"/>
      <c r="J18" s="4"/>
      <c r="K18" s="4"/>
      <c r="L18" s="4"/>
      <c r="P18" s="4"/>
      <c r="Q18" s="4"/>
      <c r="R18" s="4"/>
      <c r="S18" s="4"/>
      <c r="T18" s="4"/>
      <c r="U18" s="4"/>
      <c r="V18" s="4"/>
      <c r="W18" s="4"/>
      <c r="X18" s="4"/>
      <c r="Y18" s="4"/>
      <c r="Z18" s="4"/>
    </row>
    <row r="19" ht="15.75" customHeight="1">
      <c r="A19" s="121" t="s">
        <v>79</v>
      </c>
      <c r="D19" s="4"/>
      <c r="E19" s="4"/>
      <c r="F19" s="4"/>
      <c r="G19" s="4"/>
      <c r="H19" s="4"/>
      <c r="I19" s="4"/>
      <c r="J19" s="4"/>
      <c r="K19" s="4"/>
      <c r="L19" s="4"/>
      <c r="P19" s="4"/>
      <c r="Q19" s="4"/>
      <c r="R19" s="4"/>
      <c r="S19" s="4"/>
      <c r="T19" s="4"/>
      <c r="U19" s="4"/>
      <c r="V19" s="4"/>
      <c r="W19" s="4"/>
      <c r="X19" s="4"/>
      <c r="Y19" s="4"/>
      <c r="Z19" s="4"/>
    </row>
    <row r="20" ht="15.75" customHeight="1">
      <c r="A20" s="26" t="s">
        <v>80</v>
      </c>
      <c r="C20" s="4"/>
      <c r="D20" s="4"/>
      <c r="E20" s="4"/>
      <c r="F20" s="4"/>
      <c r="G20" s="4"/>
      <c r="H20" s="4"/>
      <c r="I20" s="4"/>
      <c r="J20" s="4"/>
      <c r="K20" s="4"/>
      <c r="L20" s="4"/>
      <c r="P20" s="4"/>
      <c r="Q20" s="4"/>
      <c r="R20" s="4"/>
      <c r="S20" s="4"/>
      <c r="T20" s="4"/>
      <c r="U20" s="4"/>
      <c r="V20" s="4"/>
      <c r="W20" s="4"/>
      <c r="X20" s="4"/>
      <c r="Y20" s="4"/>
      <c r="Z20" s="4"/>
    </row>
    <row r="21" ht="15.75" customHeight="1">
      <c r="A21" s="27" t="s">
        <v>16</v>
      </c>
      <c r="B21" s="122" t="s">
        <v>17</v>
      </c>
      <c r="C21" s="27" t="s">
        <v>12</v>
      </c>
      <c r="D21" s="28"/>
      <c r="E21" s="28"/>
      <c r="F21" s="29"/>
      <c r="G21" s="123" t="s">
        <v>81</v>
      </c>
      <c r="H21" s="27" t="s">
        <v>82</v>
      </c>
      <c r="I21" s="28"/>
      <c r="J21" s="28"/>
      <c r="K21" s="29"/>
      <c r="L21" s="4"/>
      <c r="M21" s="4"/>
      <c r="Q21" s="4"/>
      <c r="R21" s="4"/>
      <c r="S21" s="4"/>
      <c r="T21" s="4"/>
      <c r="U21" s="4"/>
      <c r="V21" s="4"/>
      <c r="W21" s="4"/>
      <c r="X21" s="4"/>
      <c r="Y21" s="4"/>
      <c r="Z21" s="4"/>
    </row>
    <row r="22" ht="15.75" customHeight="1">
      <c r="A22" s="124"/>
      <c r="B22" s="125"/>
      <c r="C22" s="36" t="s">
        <v>5</v>
      </c>
      <c r="D22" s="3" t="s">
        <v>6</v>
      </c>
      <c r="E22" s="3" t="s">
        <v>18</v>
      </c>
      <c r="F22" s="92" t="s">
        <v>10</v>
      </c>
      <c r="G22" s="126"/>
      <c r="H22" s="36" t="s">
        <v>83</v>
      </c>
      <c r="I22" s="3" t="s">
        <v>84</v>
      </c>
      <c r="J22" s="3" t="s">
        <v>85</v>
      </c>
      <c r="K22" s="92" t="s">
        <v>86</v>
      </c>
      <c r="L22" s="4"/>
      <c r="M22" s="4"/>
      <c r="Q22" s="4"/>
      <c r="R22" s="4"/>
      <c r="S22" s="4"/>
      <c r="T22" s="4"/>
      <c r="U22" s="4"/>
      <c r="V22" s="4"/>
      <c r="W22" s="4"/>
      <c r="X22" s="4"/>
      <c r="Y22" s="4"/>
      <c r="Z22" s="4"/>
    </row>
    <row r="23" ht="15.75" customHeight="1">
      <c r="A23" s="38">
        <v>2696.0</v>
      </c>
      <c r="B23" s="127" t="s">
        <v>20</v>
      </c>
      <c r="C23" s="40">
        <v>1973449.0</v>
      </c>
      <c r="D23" s="41">
        <v>1253570.0</v>
      </c>
      <c r="E23" s="41">
        <v>780343.0</v>
      </c>
      <c r="F23" s="41">
        <f t="shared" ref="F23:F34" si="1">SUM(C23:E23)</f>
        <v>4007362</v>
      </c>
      <c r="G23" s="128">
        <f t="shared" ref="G23:G35" si="2">+F23/$M$4</f>
        <v>0.03736776171</v>
      </c>
      <c r="H23" s="40">
        <f t="shared" ref="H23:H34" si="3">+$B$13*G23</f>
        <v>30870.94942</v>
      </c>
      <c r="I23" s="41">
        <f t="shared" ref="I23:I34" si="4">+G23*$B$14</f>
        <v>45346.20964</v>
      </c>
      <c r="J23" s="41">
        <f t="shared" ref="J23:J34" si="5">+G23*$B$15</f>
        <v>3810.6486</v>
      </c>
      <c r="K23" s="42">
        <f t="shared" ref="K23:K34" si="6">+G23*$B$16</f>
        <v>9666.464462</v>
      </c>
      <c r="L23" s="4"/>
      <c r="M23" s="4"/>
      <c r="Q23" s="129"/>
      <c r="R23" s="19"/>
      <c r="S23" s="17"/>
      <c r="T23" s="19"/>
      <c r="U23" s="4"/>
      <c r="V23" s="4"/>
      <c r="W23" s="4"/>
      <c r="X23" s="4"/>
      <c r="Y23" s="4"/>
      <c r="Z23" s="4"/>
    </row>
    <row r="24" ht="15.75" customHeight="1">
      <c r="A24" s="45">
        <v>1554.0</v>
      </c>
      <c r="B24" s="4" t="s">
        <v>21</v>
      </c>
      <c r="C24" s="47">
        <v>510284.0</v>
      </c>
      <c r="D24" s="17">
        <v>238904.0</v>
      </c>
      <c r="E24" s="17">
        <v>161211.0</v>
      </c>
      <c r="F24" s="17">
        <f t="shared" si="1"/>
        <v>910399</v>
      </c>
      <c r="G24" s="77">
        <f t="shared" si="2"/>
        <v>0.008489268724</v>
      </c>
      <c r="H24" s="47">
        <f t="shared" si="3"/>
        <v>7013.312369</v>
      </c>
      <c r="I24" s="17">
        <f t="shared" si="4"/>
        <v>10301.82547</v>
      </c>
      <c r="J24" s="17">
        <f t="shared" si="5"/>
        <v>865.7093308</v>
      </c>
      <c r="K24" s="48">
        <f t="shared" si="6"/>
        <v>2196.043078</v>
      </c>
      <c r="L24" s="4"/>
      <c r="M24" s="4"/>
      <c r="Q24" s="129"/>
      <c r="R24" s="19"/>
      <c r="S24" s="17"/>
      <c r="T24" s="19"/>
      <c r="U24" s="4"/>
      <c r="V24" s="4"/>
      <c r="W24" s="4"/>
      <c r="X24" s="4"/>
      <c r="Y24" s="4"/>
      <c r="Z24" s="4"/>
    </row>
    <row r="25" ht="15.75" customHeight="1">
      <c r="A25" s="45">
        <v>2165.0</v>
      </c>
      <c r="B25" s="4" t="s">
        <v>22</v>
      </c>
      <c r="C25" s="47">
        <v>1257125.0</v>
      </c>
      <c r="D25" s="17">
        <v>307669.0</v>
      </c>
      <c r="E25" s="17">
        <v>339446.0</v>
      </c>
      <c r="F25" s="17">
        <f t="shared" si="1"/>
        <v>1904240</v>
      </c>
      <c r="G25" s="77">
        <f t="shared" si="2"/>
        <v>0.01775661559</v>
      </c>
      <c r="H25" s="47">
        <f t="shared" si="3"/>
        <v>14669.4251</v>
      </c>
      <c r="I25" s="17">
        <f t="shared" si="4"/>
        <v>21547.85773</v>
      </c>
      <c r="J25" s="17">
        <f t="shared" si="5"/>
        <v>1810.76466</v>
      </c>
      <c r="K25" s="48">
        <f t="shared" si="6"/>
        <v>4593.362987</v>
      </c>
      <c r="L25" s="4"/>
      <c r="M25" s="4"/>
      <c r="N25" s="4"/>
      <c r="O25" s="4"/>
      <c r="P25" s="4"/>
      <c r="Q25" s="4"/>
      <c r="R25" s="4"/>
      <c r="S25" s="4"/>
      <c r="T25" s="4"/>
      <c r="U25" s="4"/>
      <c r="V25" s="4"/>
      <c r="W25" s="4"/>
      <c r="X25" s="4"/>
      <c r="Y25" s="4"/>
      <c r="Z25" s="4"/>
    </row>
    <row r="26" ht="15.75" customHeight="1">
      <c r="A26" s="45">
        <v>1841.0</v>
      </c>
      <c r="B26" s="4" t="s">
        <v>23</v>
      </c>
      <c r="C26" s="47">
        <v>1479627.0</v>
      </c>
      <c r="D26" s="17">
        <v>765284.0</v>
      </c>
      <c r="E26" s="17">
        <v>437036.0</v>
      </c>
      <c r="F26" s="17">
        <f t="shared" si="1"/>
        <v>2681947</v>
      </c>
      <c r="G26" s="77">
        <f t="shared" si="2"/>
        <v>0.02500856085</v>
      </c>
      <c r="H26" s="47">
        <f t="shared" si="3"/>
        <v>20660.53683</v>
      </c>
      <c r="I26" s="17">
        <f t="shared" si="4"/>
        <v>30348.17691</v>
      </c>
      <c r="J26" s="17">
        <f t="shared" si="5"/>
        <v>2550.295577</v>
      </c>
      <c r="K26" s="48">
        <f t="shared" si="6"/>
        <v>6469.32954</v>
      </c>
      <c r="L26" s="4"/>
      <c r="M26" s="4"/>
      <c r="Q26" s="129"/>
      <c r="R26" s="19"/>
      <c r="S26" s="17"/>
      <c r="T26" s="19"/>
      <c r="U26" s="4"/>
      <c r="V26" s="4"/>
      <c r="W26" s="4"/>
      <c r="X26" s="4"/>
      <c r="Y26" s="4"/>
      <c r="Z26" s="4"/>
    </row>
    <row r="27" ht="15.75" customHeight="1">
      <c r="A27" s="45">
        <v>4851.0</v>
      </c>
      <c r="B27" s="46" t="s">
        <v>24</v>
      </c>
      <c r="C27" s="47">
        <v>1100949.0</v>
      </c>
      <c r="D27" s="17">
        <v>608301.0</v>
      </c>
      <c r="E27" s="17">
        <v>260197.0</v>
      </c>
      <c r="F27" s="17">
        <f t="shared" si="1"/>
        <v>1969447</v>
      </c>
      <c r="G27" s="77">
        <f t="shared" si="2"/>
        <v>0.0183646564</v>
      </c>
      <c r="H27" s="47">
        <f t="shared" si="3"/>
        <v>15171.75107</v>
      </c>
      <c r="I27" s="17">
        <f t="shared" si="4"/>
        <v>22285.72226</v>
      </c>
      <c r="J27" s="17">
        <f t="shared" si="5"/>
        <v>1872.770779</v>
      </c>
      <c r="K27" s="48">
        <f t="shared" si="6"/>
        <v>4750.653781</v>
      </c>
      <c r="L27" s="4"/>
      <c r="M27" s="4"/>
      <c r="N27" s="4"/>
      <c r="O27" s="4"/>
      <c r="P27" s="4"/>
      <c r="Q27" s="4"/>
      <c r="R27" s="4"/>
      <c r="S27" s="4"/>
      <c r="T27" s="4"/>
      <c r="U27" s="4"/>
      <c r="V27" s="4"/>
      <c r="W27" s="4"/>
      <c r="X27" s="4"/>
      <c r="Y27" s="4"/>
      <c r="Z27" s="4"/>
    </row>
    <row r="28" ht="15.75" customHeight="1">
      <c r="A28" s="45">
        <v>3665.0</v>
      </c>
      <c r="B28" s="4" t="s">
        <v>25</v>
      </c>
      <c r="C28" s="47">
        <v>2506083.0</v>
      </c>
      <c r="D28" s="17">
        <v>1296343.0</v>
      </c>
      <c r="E28" s="17">
        <v>775881.0</v>
      </c>
      <c r="F28" s="17">
        <f t="shared" si="1"/>
        <v>4578307</v>
      </c>
      <c r="G28" s="77">
        <f t="shared" si="2"/>
        <v>0.04269169718</v>
      </c>
      <c r="H28" s="47">
        <f t="shared" si="3"/>
        <v>35269.25789</v>
      </c>
      <c r="I28" s="17">
        <f t="shared" si="4"/>
        <v>51806.86672</v>
      </c>
      <c r="J28" s="17">
        <f t="shared" si="5"/>
        <v>4353.56705</v>
      </c>
      <c r="K28" s="48">
        <f t="shared" si="6"/>
        <v>11043.68458</v>
      </c>
      <c r="L28" s="4"/>
      <c r="M28" s="4"/>
      <c r="N28" s="4"/>
      <c r="O28" s="129"/>
      <c r="P28" s="129"/>
      <c r="Q28" s="129"/>
      <c r="R28" s="19"/>
      <c r="S28" s="17"/>
      <c r="T28" s="19"/>
      <c r="U28" s="4"/>
      <c r="V28" s="4"/>
      <c r="W28" s="4"/>
      <c r="X28" s="4"/>
      <c r="Y28" s="4"/>
      <c r="Z28" s="4"/>
    </row>
    <row r="29" ht="15.75" customHeight="1">
      <c r="A29" s="45">
        <v>3496.0</v>
      </c>
      <c r="B29" s="4" t="s">
        <v>26</v>
      </c>
      <c r="C29" s="47">
        <v>972179.0</v>
      </c>
      <c r="D29" s="17">
        <v>956843.0</v>
      </c>
      <c r="E29" s="17">
        <v>663736.0</v>
      </c>
      <c r="F29" s="17">
        <f t="shared" si="1"/>
        <v>2592758</v>
      </c>
      <c r="G29" s="77">
        <f t="shared" si="2"/>
        <v>0.02417689321</v>
      </c>
      <c r="H29" s="47">
        <f t="shared" si="3"/>
        <v>19973.46411</v>
      </c>
      <c r="I29" s="17">
        <f t="shared" si="4"/>
        <v>29338.93864</v>
      </c>
      <c r="J29" s="17">
        <f t="shared" si="5"/>
        <v>2465.484686</v>
      </c>
      <c r="K29" s="48">
        <f t="shared" si="6"/>
        <v>6254.18993</v>
      </c>
      <c r="L29" s="4"/>
      <c r="M29" s="4"/>
      <c r="N29" s="4"/>
      <c r="O29" s="4"/>
      <c r="P29" s="4"/>
      <c r="Q29" s="4"/>
      <c r="R29" s="4"/>
      <c r="S29" s="4"/>
      <c r="T29" s="4"/>
      <c r="U29" s="4"/>
      <c r="V29" s="4"/>
      <c r="W29" s="4"/>
      <c r="X29" s="4"/>
      <c r="Y29" s="4"/>
      <c r="Z29" s="4"/>
    </row>
    <row r="30" ht="15.75" customHeight="1">
      <c r="A30" s="45">
        <v>2319.0</v>
      </c>
      <c r="B30" s="4" t="s">
        <v>27</v>
      </c>
      <c r="C30" s="47">
        <v>970988.0</v>
      </c>
      <c r="D30" s="17">
        <v>73471.0</v>
      </c>
      <c r="E30" s="17">
        <v>92582.0</v>
      </c>
      <c r="F30" s="17">
        <f t="shared" si="1"/>
        <v>1137041</v>
      </c>
      <c r="G30" s="77">
        <f t="shared" si="2"/>
        <v>0.0106026551</v>
      </c>
      <c r="H30" s="47">
        <f t="shared" si="3"/>
        <v>8759.262378</v>
      </c>
      <c r="I30" s="17">
        <f t="shared" si="4"/>
        <v>12866.4442</v>
      </c>
      <c r="J30" s="17">
        <f t="shared" si="5"/>
        <v>1081.225928</v>
      </c>
      <c r="K30" s="48">
        <f t="shared" si="6"/>
        <v>2742.743585</v>
      </c>
      <c r="L30" s="4"/>
      <c r="M30" s="4"/>
      <c r="N30" s="4"/>
      <c r="O30" s="4"/>
      <c r="P30" s="4"/>
      <c r="Q30" s="4"/>
      <c r="R30" s="4"/>
      <c r="S30" s="4"/>
      <c r="T30" s="4"/>
      <c r="U30" s="4"/>
      <c r="V30" s="4"/>
      <c r="W30" s="4"/>
      <c r="X30" s="4"/>
      <c r="Y30" s="4"/>
      <c r="Z30" s="4"/>
    </row>
    <row r="31" ht="15.75" customHeight="1">
      <c r="A31" s="45">
        <v>3600.0</v>
      </c>
      <c r="B31" s="4" t="s">
        <v>28</v>
      </c>
      <c r="C31" s="47">
        <v>827739.0</v>
      </c>
      <c r="D31" s="17">
        <v>271795.0</v>
      </c>
      <c r="E31" s="17">
        <v>135897.0</v>
      </c>
      <c r="F31" s="17">
        <f t="shared" si="1"/>
        <v>1235431</v>
      </c>
      <c r="G31" s="77">
        <f t="shared" si="2"/>
        <v>0.01152012002</v>
      </c>
      <c r="H31" s="47">
        <f t="shared" si="3"/>
        <v>9517.215544</v>
      </c>
      <c r="I31" s="17">
        <f t="shared" si="4"/>
        <v>13979.79846</v>
      </c>
      <c r="J31" s="17">
        <f t="shared" si="5"/>
        <v>1174.786159</v>
      </c>
      <c r="K31" s="48">
        <f t="shared" si="6"/>
        <v>2980.077631</v>
      </c>
      <c r="L31" s="4"/>
      <c r="M31" s="4"/>
      <c r="N31" s="4"/>
      <c r="O31" s="4"/>
      <c r="P31" s="4"/>
      <c r="Q31" s="4"/>
      <c r="R31" s="4"/>
      <c r="S31" s="4"/>
      <c r="T31" s="4"/>
      <c r="U31" s="4"/>
      <c r="V31" s="4"/>
      <c r="W31" s="4"/>
      <c r="X31" s="4"/>
      <c r="Y31" s="4"/>
      <c r="Z31" s="4"/>
    </row>
    <row r="32" ht="15.75" customHeight="1">
      <c r="A32" s="45">
        <v>3896.0</v>
      </c>
      <c r="B32" s="4" t="s">
        <v>29</v>
      </c>
      <c r="C32" s="47">
        <v>1952646.0</v>
      </c>
      <c r="D32" s="17">
        <v>625968.0</v>
      </c>
      <c r="E32" s="17">
        <v>395511.0</v>
      </c>
      <c r="F32" s="17">
        <f t="shared" si="1"/>
        <v>2974125</v>
      </c>
      <c r="G32" s="77">
        <f t="shared" si="2"/>
        <v>0.02773305588</v>
      </c>
      <c r="H32" s="47">
        <f t="shared" si="3"/>
        <v>22911.34728</v>
      </c>
      <c r="I32" s="17">
        <f t="shared" si="4"/>
        <v>33654.38304</v>
      </c>
      <c r="J32" s="17">
        <f t="shared" si="5"/>
        <v>2828.131142</v>
      </c>
      <c r="K32" s="48">
        <f t="shared" si="6"/>
        <v>7174.114447</v>
      </c>
      <c r="L32" s="4"/>
      <c r="M32" s="4"/>
      <c r="N32" s="4"/>
      <c r="O32" s="4"/>
      <c r="P32" s="4"/>
      <c r="Q32" s="4"/>
      <c r="R32" s="4"/>
      <c r="S32" s="4"/>
      <c r="T32" s="4"/>
      <c r="U32" s="4"/>
      <c r="V32" s="4"/>
      <c r="W32" s="4"/>
      <c r="X32" s="4"/>
      <c r="Y32" s="4"/>
      <c r="Z32" s="4"/>
    </row>
    <row r="33" ht="15.75" customHeight="1">
      <c r="A33" s="59">
        <v>2565.0</v>
      </c>
      <c r="B33" s="130" t="s">
        <v>30</v>
      </c>
      <c r="C33" s="61">
        <v>2340030.0</v>
      </c>
      <c r="D33" s="62">
        <v>110213.0</v>
      </c>
      <c r="E33" s="62">
        <v>238931.0</v>
      </c>
      <c r="F33" s="62">
        <f t="shared" si="1"/>
        <v>2689174</v>
      </c>
      <c r="G33" s="131">
        <f t="shared" si="2"/>
        <v>0.02507595102</v>
      </c>
      <c r="H33" s="61">
        <f t="shared" si="3"/>
        <v>20716.21045</v>
      </c>
      <c r="I33" s="62">
        <f t="shared" si="4"/>
        <v>30429.95566</v>
      </c>
      <c r="J33" s="62">
        <f t="shared" si="5"/>
        <v>2557.167818</v>
      </c>
      <c r="K33" s="63">
        <f t="shared" si="6"/>
        <v>6486.76234</v>
      </c>
      <c r="L33" s="4"/>
      <c r="M33" s="4"/>
      <c r="N33" s="4"/>
      <c r="O33" s="129"/>
      <c r="P33" s="129"/>
      <c r="Q33" s="129"/>
      <c r="R33" s="19"/>
      <c r="S33" s="4"/>
      <c r="T33" s="4"/>
      <c r="U33" s="4"/>
      <c r="V33" s="4"/>
      <c r="W33" s="4"/>
      <c r="X33" s="4"/>
      <c r="Y33" s="4"/>
      <c r="Z33" s="4"/>
    </row>
    <row r="34" ht="15.75" customHeight="1">
      <c r="A34" s="65">
        <v>1755.0</v>
      </c>
      <c r="B34" s="66" t="s">
        <v>31</v>
      </c>
      <c r="C34" s="71">
        <v>167048.0</v>
      </c>
      <c r="D34" s="67">
        <v>61131.0</v>
      </c>
      <c r="E34" s="67">
        <v>23547.0</v>
      </c>
      <c r="F34" s="72">
        <f t="shared" si="1"/>
        <v>251726</v>
      </c>
      <c r="G34" s="132">
        <f t="shared" si="2"/>
        <v>0.00234728911</v>
      </c>
      <c r="H34" s="71">
        <f t="shared" si="3"/>
        <v>1939.186082</v>
      </c>
      <c r="I34" s="67">
        <f t="shared" si="4"/>
        <v>2848.462397</v>
      </c>
      <c r="J34" s="67">
        <f t="shared" si="5"/>
        <v>239.3692733</v>
      </c>
      <c r="K34" s="72">
        <f t="shared" si="6"/>
        <v>607.2075428</v>
      </c>
      <c r="L34" s="133" t="s">
        <v>87</v>
      </c>
      <c r="M34" s="4"/>
      <c r="N34" s="4"/>
      <c r="O34" s="4"/>
      <c r="P34" s="4"/>
      <c r="Q34" s="4"/>
      <c r="R34" s="4"/>
      <c r="S34" s="4"/>
      <c r="T34" s="4"/>
      <c r="U34" s="4"/>
      <c r="V34" s="4"/>
      <c r="W34" s="4"/>
      <c r="X34" s="4"/>
      <c r="Y34" s="4"/>
      <c r="Z34" s="4"/>
    </row>
    <row r="35" ht="15.75" customHeight="1">
      <c r="A35" s="134" t="s">
        <v>10</v>
      </c>
      <c r="B35" s="135"/>
      <c r="C35" s="62">
        <f t="shared" ref="C35:F35" si="7">SUM(C23:C33)</f>
        <v>15891099</v>
      </c>
      <c r="D35" s="62">
        <f t="shared" si="7"/>
        <v>6508361</v>
      </c>
      <c r="E35" s="62">
        <f t="shared" si="7"/>
        <v>4280771</v>
      </c>
      <c r="F35" s="63">
        <f t="shared" si="7"/>
        <v>26680231</v>
      </c>
      <c r="G35" s="136">
        <f t="shared" si="2"/>
        <v>0.2487872357</v>
      </c>
      <c r="H35" s="62">
        <f t="shared" ref="H35:K35" si="8">SUM(H23:H33)</f>
        <v>205532.7324</v>
      </c>
      <c r="I35" s="62">
        <f t="shared" si="8"/>
        <v>301906.1787</v>
      </c>
      <c r="J35" s="62">
        <f t="shared" si="8"/>
        <v>25370.55173</v>
      </c>
      <c r="K35" s="62">
        <f t="shared" si="8"/>
        <v>64357.42636</v>
      </c>
      <c r="L35" s="4"/>
      <c r="M35" s="19"/>
      <c r="N35" s="19"/>
      <c r="O35" s="19"/>
      <c r="P35" s="129"/>
      <c r="Q35" s="129"/>
      <c r="R35" s="19"/>
      <c r="S35" s="4"/>
      <c r="T35" s="4"/>
      <c r="U35" s="4"/>
      <c r="V35" s="4"/>
      <c r="W35" s="4"/>
      <c r="X35" s="4"/>
      <c r="Y35" s="4"/>
      <c r="Z35" s="4"/>
    </row>
    <row r="36" ht="15.75" customHeight="1">
      <c r="A36" s="4"/>
      <c r="B36" s="4">
        <f>COUNTA(B23:B33)</f>
        <v>11</v>
      </c>
      <c r="C36" s="4"/>
      <c r="D36" s="4"/>
      <c r="E36" s="4"/>
      <c r="H36" s="137"/>
      <c r="I36" s="137"/>
      <c r="J36" s="137"/>
      <c r="K36" s="137"/>
      <c r="L36" s="4"/>
      <c r="M36" s="4"/>
      <c r="N36" s="4"/>
      <c r="O36" s="4"/>
      <c r="P36" s="4"/>
      <c r="Q36" s="4"/>
      <c r="R36" s="4"/>
      <c r="S36" s="4"/>
      <c r="T36" s="4"/>
      <c r="U36" s="4"/>
      <c r="V36" s="4"/>
      <c r="W36" s="4"/>
      <c r="X36" s="4"/>
      <c r="Y36" s="4"/>
      <c r="Z36" s="4"/>
    </row>
    <row r="37" ht="15.75" customHeight="1">
      <c r="A37" s="26"/>
      <c r="B37" s="26"/>
      <c r="C37" s="4"/>
      <c r="D37" s="4"/>
      <c r="E37" s="4"/>
      <c r="F37" s="82" t="s">
        <v>33</v>
      </c>
      <c r="G37" s="138">
        <f>SUM(G23:G33)</f>
        <v>0.2487872357</v>
      </c>
      <c r="H37" s="4"/>
      <c r="I37" s="4"/>
      <c r="J37" s="4"/>
      <c r="K37" s="4"/>
      <c r="L37" s="4"/>
      <c r="M37" s="4"/>
      <c r="N37" s="4"/>
      <c r="O37" s="4"/>
      <c r="P37" s="4"/>
      <c r="Q37" s="4"/>
      <c r="R37" s="4"/>
      <c r="S37" s="4"/>
      <c r="T37" s="4"/>
      <c r="U37" s="4"/>
      <c r="V37" s="4"/>
      <c r="W37" s="4"/>
      <c r="X37" s="4"/>
      <c r="Y37" s="4"/>
      <c r="Z37" s="4"/>
    </row>
    <row r="38" ht="15.75" customHeight="1">
      <c r="A38" s="26" t="s">
        <v>34</v>
      </c>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27" t="s">
        <v>16</v>
      </c>
      <c r="B39" s="122" t="s">
        <v>17</v>
      </c>
      <c r="C39" s="27" t="s">
        <v>12</v>
      </c>
      <c r="D39" s="28"/>
      <c r="E39" s="28"/>
      <c r="F39" s="29"/>
      <c r="G39" s="123" t="s">
        <v>81</v>
      </c>
      <c r="H39" s="27" t="s">
        <v>82</v>
      </c>
      <c r="I39" s="28"/>
      <c r="J39" s="28"/>
      <c r="K39" s="29"/>
      <c r="L39" s="4"/>
      <c r="M39" s="4"/>
      <c r="N39" s="17"/>
      <c r="O39" s="17"/>
      <c r="P39" s="17"/>
      <c r="Q39" s="17"/>
      <c r="R39" s="19"/>
      <c r="S39" s="17"/>
      <c r="T39" s="17"/>
      <c r="U39" s="17"/>
      <c r="V39" s="17"/>
      <c r="W39" s="4"/>
      <c r="X39" s="4"/>
      <c r="Y39" s="4"/>
      <c r="Z39" s="4"/>
    </row>
    <row r="40" ht="15.75" customHeight="1">
      <c r="A40" s="124"/>
      <c r="B40" s="125"/>
      <c r="C40" s="36" t="s">
        <v>5</v>
      </c>
      <c r="D40" s="3" t="s">
        <v>6</v>
      </c>
      <c r="E40" s="3" t="s">
        <v>18</v>
      </c>
      <c r="F40" s="92" t="s">
        <v>10</v>
      </c>
      <c r="G40" s="126"/>
      <c r="H40" s="36" t="s">
        <v>83</v>
      </c>
      <c r="I40" s="3" t="s">
        <v>84</v>
      </c>
      <c r="J40" s="3" t="s">
        <v>85</v>
      </c>
      <c r="K40" s="92" t="s">
        <v>86</v>
      </c>
      <c r="L40" s="4"/>
      <c r="M40" s="4"/>
      <c r="N40" s="4"/>
      <c r="O40" s="4"/>
      <c r="P40" s="4"/>
      <c r="Q40" s="4"/>
      <c r="R40" s="4"/>
      <c r="S40" s="4"/>
      <c r="T40" s="4"/>
      <c r="U40" s="4"/>
      <c r="V40" s="4"/>
      <c r="W40" s="4"/>
      <c r="X40" s="4"/>
      <c r="Y40" s="4"/>
      <c r="Z40" s="4"/>
    </row>
    <row r="41" ht="15.75" customHeight="1">
      <c r="A41" s="65">
        <v>2487.0</v>
      </c>
      <c r="B41" s="66" t="s">
        <v>35</v>
      </c>
      <c r="C41" s="139">
        <v>1345844.0</v>
      </c>
      <c r="D41" s="140">
        <v>796811.0</v>
      </c>
      <c r="E41" s="140">
        <v>820370.0</v>
      </c>
      <c r="F41" s="141">
        <f t="shared" ref="F41:F50" si="9">SUM(C41:E41)</f>
        <v>2963025</v>
      </c>
      <c r="G41" s="142">
        <f t="shared" ref="G41:G51" si="10">+F41/$M$4</f>
        <v>0.02762955084</v>
      </c>
      <c r="H41" s="139">
        <f t="shared" ref="H41:H50" si="11">+$B$13*G41</f>
        <v>22825.83777</v>
      </c>
      <c r="I41" s="140">
        <f t="shared" ref="I41:I50" si="12">+G41*$B$14</f>
        <v>33528.77849</v>
      </c>
      <c r="J41" s="140">
        <f t="shared" ref="J41:J50" si="13">+G41*$B$15</f>
        <v>2817.576019</v>
      </c>
      <c r="K41" s="141">
        <f t="shared" ref="K41:K50" si="14">+G41*$B$16</f>
        <v>7147.339288</v>
      </c>
      <c r="L41" s="4" t="s">
        <v>88</v>
      </c>
      <c r="M41" s="4"/>
      <c r="N41" s="4"/>
      <c r="O41" s="4"/>
      <c r="P41" s="4"/>
      <c r="Q41" s="4"/>
      <c r="R41" s="4"/>
      <c r="S41" s="4"/>
      <c r="T41" s="4"/>
      <c r="U41" s="4"/>
      <c r="V41" s="4"/>
      <c r="W41" s="4"/>
      <c r="X41" s="4"/>
      <c r="Y41" s="4"/>
      <c r="Z41" s="4"/>
    </row>
    <row r="42" ht="15.75" customHeight="1">
      <c r="A42" s="45">
        <v>1541.0</v>
      </c>
      <c r="B42" s="46" t="s">
        <v>37</v>
      </c>
      <c r="C42" s="47">
        <v>1111437.0</v>
      </c>
      <c r="D42" s="17">
        <v>97033.0</v>
      </c>
      <c r="E42" s="17">
        <v>79146.0</v>
      </c>
      <c r="F42" s="48">
        <f t="shared" si="9"/>
        <v>1287616</v>
      </c>
      <c r="G42" s="143">
        <f t="shared" si="10"/>
        <v>0.01200673357</v>
      </c>
      <c r="H42" s="47">
        <f t="shared" si="11"/>
        <v>9919.225768</v>
      </c>
      <c r="I42" s="17">
        <f t="shared" si="12"/>
        <v>14570.30961</v>
      </c>
      <c r="J42" s="17">
        <f t="shared" si="13"/>
        <v>1224.409501</v>
      </c>
      <c r="K42" s="48">
        <f t="shared" si="14"/>
        <v>3105.957062</v>
      </c>
      <c r="L42" s="4"/>
      <c r="M42" s="4"/>
      <c r="N42" s="4"/>
      <c r="O42" s="4"/>
      <c r="P42" s="4"/>
      <c r="Q42" s="4"/>
      <c r="R42" s="4"/>
      <c r="S42" s="4"/>
      <c r="T42" s="4"/>
      <c r="U42" s="4"/>
      <c r="V42" s="4"/>
      <c r="W42" s="4"/>
      <c r="X42" s="4"/>
      <c r="Y42" s="4"/>
      <c r="Z42" s="4"/>
    </row>
    <row r="43" ht="15.75" customHeight="1">
      <c r="A43" s="45">
        <v>3785.0</v>
      </c>
      <c r="B43" s="46" t="s">
        <v>38</v>
      </c>
      <c r="C43" s="47">
        <v>510284.0</v>
      </c>
      <c r="D43" s="17">
        <v>238904.0</v>
      </c>
      <c r="E43" s="17">
        <v>161211.0</v>
      </c>
      <c r="F43" s="48">
        <f t="shared" si="9"/>
        <v>910399</v>
      </c>
      <c r="G43" s="143">
        <f t="shared" si="10"/>
        <v>0.008489268724</v>
      </c>
      <c r="H43" s="47">
        <f t="shared" si="11"/>
        <v>7013.312369</v>
      </c>
      <c r="I43" s="17">
        <f t="shared" si="12"/>
        <v>10301.82547</v>
      </c>
      <c r="J43" s="17">
        <f t="shared" si="13"/>
        <v>865.7093308</v>
      </c>
      <c r="K43" s="48">
        <f t="shared" si="14"/>
        <v>2196.043078</v>
      </c>
      <c r="L43" s="4"/>
      <c r="M43" s="4"/>
      <c r="N43" s="4"/>
      <c r="O43" s="4"/>
      <c r="P43" s="4"/>
      <c r="Q43" s="4"/>
      <c r="R43" s="4"/>
      <c r="S43" s="4"/>
      <c r="T43" s="4"/>
      <c r="U43" s="4"/>
      <c r="V43" s="4"/>
      <c r="W43" s="4"/>
      <c r="X43" s="4"/>
      <c r="Y43" s="4"/>
      <c r="Z43" s="4"/>
    </row>
    <row r="44" ht="15.75" customHeight="1">
      <c r="A44" s="45">
        <v>2653.0</v>
      </c>
      <c r="B44" s="46" t="s">
        <v>39</v>
      </c>
      <c r="C44" s="47">
        <v>194806.0</v>
      </c>
      <c r="D44" s="17">
        <v>233.0</v>
      </c>
      <c r="E44" s="17">
        <v>7609.0</v>
      </c>
      <c r="F44" s="48">
        <f t="shared" si="9"/>
        <v>202648</v>
      </c>
      <c r="G44" s="143">
        <f t="shared" si="10"/>
        <v>0.001889647647</v>
      </c>
      <c r="H44" s="47">
        <f t="shared" si="11"/>
        <v>1561.110815</v>
      </c>
      <c r="I44" s="17">
        <f t="shared" si="12"/>
        <v>2293.109205</v>
      </c>
      <c r="J44" s="17">
        <f t="shared" si="13"/>
        <v>192.7004143</v>
      </c>
      <c r="K44" s="48">
        <f t="shared" si="14"/>
        <v>488.8227443</v>
      </c>
      <c r="L44" s="4"/>
      <c r="M44" s="17"/>
      <c r="N44" s="4"/>
      <c r="O44" s="4"/>
      <c r="P44" s="4"/>
      <c r="Q44" s="4"/>
      <c r="R44" s="4"/>
      <c r="S44" s="4"/>
      <c r="T44" s="4"/>
      <c r="U44" s="4"/>
      <c r="V44" s="4"/>
      <c r="W44" s="4"/>
      <c r="X44" s="4"/>
      <c r="Y44" s="4"/>
      <c r="Z44" s="4"/>
    </row>
    <row r="45" ht="15.75" customHeight="1">
      <c r="A45" s="45">
        <v>2973.0</v>
      </c>
      <c r="B45" s="46" t="s">
        <v>40</v>
      </c>
      <c r="C45" s="47">
        <v>1261813.0</v>
      </c>
      <c r="D45" s="17">
        <v>871860.0</v>
      </c>
      <c r="E45" s="17">
        <v>618497.0</v>
      </c>
      <c r="F45" s="48">
        <f t="shared" si="9"/>
        <v>2752170</v>
      </c>
      <c r="G45" s="143">
        <f t="shared" si="10"/>
        <v>0.02566337474</v>
      </c>
      <c r="H45" s="47">
        <f t="shared" si="11"/>
        <v>21201.50385</v>
      </c>
      <c r="I45" s="17">
        <f t="shared" si="12"/>
        <v>31142.80112</v>
      </c>
      <c r="J45" s="17">
        <f t="shared" si="13"/>
        <v>2617.07147</v>
      </c>
      <c r="K45" s="48">
        <f t="shared" si="14"/>
        <v>6638.719811</v>
      </c>
      <c r="L45" s="4"/>
      <c r="M45" s="4"/>
      <c r="N45" s="4"/>
      <c r="O45" s="17"/>
      <c r="P45" s="17"/>
      <c r="Q45" s="4"/>
      <c r="R45" s="4"/>
      <c r="S45" s="4"/>
      <c r="T45" s="4"/>
      <c r="U45" s="4"/>
      <c r="V45" s="4"/>
      <c r="W45" s="4"/>
      <c r="X45" s="4"/>
      <c r="Y45" s="4"/>
      <c r="Z45" s="4"/>
    </row>
    <row r="46" ht="15.75" customHeight="1">
      <c r="A46" s="45">
        <v>2535.0</v>
      </c>
      <c r="B46" s="46" t="s">
        <v>41</v>
      </c>
      <c r="C46" s="47">
        <v>1982098.0</v>
      </c>
      <c r="D46" s="17">
        <v>1343344.0</v>
      </c>
      <c r="E46" s="17">
        <v>1060363.0</v>
      </c>
      <c r="F46" s="48">
        <f t="shared" si="9"/>
        <v>4385805</v>
      </c>
      <c r="G46" s="143">
        <f t="shared" si="10"/>
        <v>0.04089665873</v>
      </c>
      <c r="H46" s="47">
        <f t="shared" si="11"/>
        <v>33786.30738</v>
      </c>
      <c r="I46" s="17">
        <f t="shared" si="12"/>
        <v>49628.56686</v>
      </c>
      <c r="J46" s="17">
        <f t="shared" si="13"/>
        <v>4170.514589</v>
      </c>
      <c r="K46" s="48">
        <f t="shared" si="14"/>
        <v>10579.33578</v>
      </c>
      <c r="L46" s="4"/>
      <c r="M46" s="4"/>
      <c r="N46" s="4"/>
      <c r="O46" s="4"/>
      <c r="P46" s="4"/>
      <c r="Q46" s="4"/>
      <c r="R46" s="4"/>
      <c r="S46" s="4"/>
      <c r="T46" s="4"/>
      <c r="U46" s="4"/>
      <c r="V46" s="4"/>
      <c r="W46" s="4"/>
      <c r="X46" s="4"/>
      <c r="Y46" s="4"/>
      <c r="Z46" s="4"/>
    </row>
    <row r="47" ht="15.75" customHeight="1">
      <c r="A47" s="45">
        <v>1590.0</v>
      </c>
      <c r="B47" s="46" t="s">
        <v>42</v>
      </c>
      <c r="C47" s="47">
        <v>1029074.0</v>
      </c>
      <c r="D47" s="17">
        <v>336623.0</v>
      </c>
      <c r="E47" s="17">
        <v>310881.0</v>
      </c>
      <c r="F47" s="48">
        <f t="shared" si="9"/>
        <v>1676578</v>
      </c>
      <c r="G47" s="143">
        <f t="shared" si="10"/>
        <v>0.01563371794</v>
      </c>
      <c r="H47" s="47">
        <f t="shared" si="11"/>
        <v>12915.61747</v>
      </c>
      <c r="I47" s="17">
        <f t="shared" si="12"/>
        <v>18971.69696</v>
      </c>
      <c r="J47" s="17">
        <f t="shared" si="13"/>
        <v>1594.278133</v>
      </c>
      <c r="K47" s="48">
        <f t="shared" si="14"/>
        <v>4044.20206</v>
      </c>
      <c r="L47" s="4"/>
      <c r="M47" s="4"/>
      <c r="N47" s="4"/>
      <c r="O47" s="4"/>
      <c r="P47" s="4"/>
      <c r="Q47" s="4"/>
      <c r="R47" s="4"/>
      <c r="S47" s="4"/>
      <c r="T47" s="4"/>
      <c r="U47" s="4"/>
      <c r="V47" s="4"/>
      <c r="W47" s="4"/>
      <c r="X47" s="4"/>
      <c r="Y47" s="4"/>
      <c r="Z47" s="4"/>
    </row>
    <row r="48" ht="15.75" customHeight="1">
      <c r="A48" s="45">
        <v>2148.0</v>
      </c>
      <c r="B48" s="46" t="s">
        <v>43</v>
      </c>
      <c r="C48" s="47">
        <v>337304.0</v>
      </c>
      <c r="D48" s="17">
        <v>4733.0</v>
      </c>
      <c r="E48" s="17">
        <v>5204.0</v>
      </c>
      <c r="F48" s="48">
        <f t="shared" si="9"/>
        <v>347241</v>
      </c>
      <c r="G48" s="143">
        <f t="shared" si="10"/>
        <v>0.003237945297</v>
      </c>
      <c r="H48" s="47">
        <f t="shared" si="11"/>
        <v>2674.991515</v>
      </c>
      <c r="I48" s="17">
        <f t="shared" si="12"/>
        <v>3929.283948</v>
      </c>
      <c r="J48" s="17">
        <f t="shared" si="13"/>
        <v>330.1956326</v>
      </c>
      <c r="K48" s="48">
        <f t="shared" si="14"/>
        <v>837.6065817</v>
      </c>
      <c r="L48" s="4"/>
      <c r="M48" s="4"/>
      <c r="N48" s="4"/>
      <c r="O48" s="4"/>
      <c r="P48" s="4"/>
      <c r="Q48" s="4"/>
      <c r="R48" s="4"/>
      <c r="S48" s="4"/>
      <c r="T48" s="4"/>
      <c r="U48" s="4"/>
      <c r="V48" s="4"/>
      <c r="W48" s="4"/>
      <c r="X48" s="4"/>
      <c r="Y48" s="4"/>
      <c r="Z48" s="4"/>
    </row>
    <row r="49" ht="15.75" customHeight="1">
      <c r="A49" s="45">
        <v>3764.0</v>
      </c>
      <c r="B49" s="46" t="s">
        <v>44</v>
      </c>
      <c r="C49" s="47">
        <v>400932.0</v>
      </c>
      <c r="D49" s="17">
        <v>7432.0</v>
      </c>
      <c r="E49" s="17">
        <v>18653.0</v>
      </c>
      <c r="F49" s="48">
        <f t="shared" si="9"/>
        <v>427017</v>
      </c>
      <c r="G49" s="143">
        <f t="shared" si="10"/>
        <v>0.003981838801</v>
      </c>
      <c r="H49" s="47">
        <f t="shared" si="11"/>
        <v>3289.550634</v>
      </c>
      <c r="I49" s="17">
        <f t="shared" si="12"/>
        <v>4832.007291</v>
      </c>
      <c r="J49" s="17">
        <f t="shared" si="13"/>
        <v>406.055588</v>
      </c>
      <c r="K49" s="48">
        <f t="shared" si="14"/>
        <v>1030.040374</v>
      </c>
      <c r="L49" s="4"/>
      <c r="M49" s="4"/>
      <c r="N49" s="4"/>
      <c r="O49" s="4"/>
      <c r="P49" s="4"/>
      <c r="Q49" s="4"/>
      <c r="R49" s="4"/>
      <c r="S49" s="4"/>
      <c r="T49" s="4"/>
      <c r="U49" s="4"/>
      <c r="V49" s="4"/>
      <c r="W49" s="4"/>
      <c r="X49" s="4"/>
      <c r="Y49" s="4"/>
      <c r="Z49" s="4"/>
    </row>
    <row r="50" ht="15.75" customHeight="1">
      <c r="A50" s="45">
        <v>1183.0</v>
      </c>
      <c r="B50" s="46" t="s">
        <v>45</v>
      </c>
      <c r="C50" s="61">
        <v>1753708.0</v>
      </c>
      <c r="D50" s="62">
        <v>240585.0</v>
      </c>
      <c r="E50" s="62">
        <v>103879.0</v>
      </c>
      <c r="F50" s="63">
        <f t="shared" si="9"/>
        <v>2098172</v>
      </c>
      <c r="G50" s="136">
        <f t="shared" si="10"/>
        <v>0.01956498847</v>
      </c>
      <c r="H50" s="61">
        <f t="shared" si="11"/>
        <v>16163.3917</v>
      </c>
      <c r="I50" s="62">
        <f t="shared" si="12"/>
        <v>23742.33907</v>
      </c>
      <c r="J50" s="62">
        <f t="shared" si="13"/>
        <v>1995.176926</v>
      </c>
      <c r="K50" s="63">
        <f t="shared" si="14"/>
        <v>5061.161201</v>
      </c>
      <c r="L50" s="4"/>
      <c r="M50" s="4"/>
      <c r="N50" s="4"/>
      <c r="O50" s="4"/>
      <c r="P50" s="4"/>
      <c r="Q50" s="4"/>
      <c r="R50" s="4"/>
      <c r="S50" s="4"/>
      <c r="T50" s="4"/>
      <c r="U50" s="4"/>
      <c r="V50" s="4"/>
      <c r="W50" s="4"/>
      <c r="X50" s="4"/>
      <c r="Y50" s="4"/>
      <c r="Z50" s="4"/>
    </row>
    <row r="51" ht="15.75" customHeight="1">
      <c r="A51" s="144" t="s">
        <v>10</v>
      </c>
      <c r="B51" s="145"/>
      <c r="C51" s="146">
        <f t="shared" ref="C51:F51" si="15">SUM(C41:C50)</f>
        <v>9927300</v>
      </c>
      <c r="D51" s="146">
        <f t="shared" si="15"/>
        <v>3937558</v>
      </c>
      <c r="E51" s="146">
        <f t="shared" si="15"/>
        <v>3185813</v>
      </c>
      <c r="F51" s="146">
        <f t="shared" si="15"/>
        <v>17050671</v>
      </c>
      <c r="G51" s="136">
        <f t="shared" si="10"/>
        <v>0.1589937248</v>
      </c>
      <c r="H51" s="62">
        <f t="shared" ref="H51:K51" si="16">SUM(H41:H50)</f>
        <v>131350.8493</v>
      </c>
      <c r="I51" s="62">
        <f t="shared" si="16"/>
        <v>192940.718</v>
      </c>
      <c r="J51" s="62">
        <f t="shared" si="16"/>
        <v>16213.6876</v>
      </c>
      <c r="K51" s="62">
        <f t="shared" si="16"/>
        <v>41129.22798</v>
      </c>
      <c r="L51" s="4"/>
      <c r="M51" s="4"/>
      <c r="N51" s="4"/>
      <c r="O51" s="4"/>
      <c r="P51" s="4"/>
      <c r="Q51" s="4"/>
      <c r="R51" s="4"/>
      <c r="S51" s="4"/>
      <c r="T51" s="4"/>
      <c r="U51" s="4"/>
      <c r="V51" s="4"/>
      <c r="W51" s="4"/>
      <c r="X51" s="4"/>
      <c r="Y51" s="4"/>
      <c r="Z51" s="4"/>
    </row>
    <row r="52" ht="15.75" customHeight="1">
      <c r="A52" s="4"/>
      <c r="B52" s="4">
        <f>COUNTA(B41:B50)</f>
        <v>10</v>
      </c>
      <c r="C52" s="17"/>
      <c r="D52" s="17"/>
      <c r="E52" s="17"/>
      <c r="H52" s="137"/>
      <c r="I52" s="137"/>
      <c r="J52" s="137"/>
      <c r="K52" s="137"/>
      <c r="L52" s="4"/>
      <c r="M52" s="4"/>
      <c r="N52" s="4"/>
      <c r="O52" s="4"/>
      <c r="P52" s="4"/>
      <c r="Q52" s="4"/>
      <c r="R52" s="4"/>
      <c r="S52" s="4"/>
      <c r="T52" s="4"/>
      <c r="U52" s="4"/>
      <c r="V52" s="4"/>
      <c r="W52" s="4"/>
      <c r="X52" s="4"/>
      <c r="Y52" s="4"/>
      <c r="Z52" s="4"/>
    </row>
    <row r="53" ht="15.75" customHeight="1">
      <c r="A53" s="26"/>
      <c r="B53" s="26"/>
      <c r="C53" s="4"/>
      <c r="D53" s="4"/>
      <c r="E53" s="4"/>
      <c r="F53" s="82" t="s">
        <v>33</v>
      </c>
      <c r="G53" s="138">
        <f>SUM(G41:G50)</f>
        <v>0.1589937248</v>
      </c>
      <c r="H53" s="4"/>
      <c r="I53" s="4"/>
      <c r="J53" s="4"/>
      <c r="K53" s="4"/>
      <c r="L53" s="4"/>
      <c r="M53" s="4"/>
      <c r="N53" s="4"/>
      <c r="O53" s="4"/>
      <c r="P53" s="4"/>
      <c r="Q53" s="4"/>
      <c r="R53" s="4"/>
      <c r="S53" s="4"/>
      <c r="T53" s="4"/>
      <c r="U53" s="4"/>
      <c r="V53" s="4"/>
      <c r="W53" s="4"/>
      <c r="X53" s="4"/>
      <c r="Y53" s="4"/>
      <c r="Z53" s="4"/>
    </row>
    <row r="54" ht="15.75" customHeight="1">
      <c r="A54" s="26" t="s">
        <v>47</v>
      </c>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27" t="s">
        <v>16</v>
      </c>
      <c r="B55" s="122" t="s">
        <v>17</v>
      </c>
      <c r="C55" s="27" t="s">
        <v>12</v>
      </c>
      <c r="D55" s="28"/>
      <c r="E55" s="28"/>
      <c r="F55" s="29"/>
      <c r="G55" s="123" t="s">
        <v>81</v>
      </c>
      <c r="H55" s="27" t="s">
        <v>82</v>
      </c>
      <c r="I55" s="28"/>
      <c r="J55" s="28"/>
      <c r="K55" s="29"/>
      <c r="L55" s="4"/>
      <c r="M55" s="4"/>
      <c r="N55" s="4"/>
      <c r="O55" s="4"/>
      <c r="P55" s="4"/>
      <c r="Q55" s="4"/>
      <c r="R55" s="4"/>
      <c r="S55" s="4"/>
      <c r="T55" s="4"/>
      <c r="U55" s="4"/>
      <c r="V55" s="4"/>
      <c r="W55" s="4"/>
      <c r="X55" s="4"/>
      <c r="Y55" s="4"/>
      <c r="Z55" s="4"/>
    </row>
    <row r="56" ht="15.75" customHeight="1">
      <c r="A56" s="124"/>
      <c r="B56" s="125"/>
      <c r="C56" s="33" t="s">
        <v>5</v>
      </c>
      <c r="D56" s="34" t="s">
        <v>6</v>
      </c>
      <c r="E56" s="34" t="s">
        <v>18</v>
      </c>
      <c r="F56" s="35" t="s">
        <v>10</v>
      </c>
      <c r="G56" s="126"/>
      <c r="H56" s="36" t="s">
        <v>83</v>
      </c>
      <c r="I56" s="3" t="s">
        <v>84</v>
      </c>
      <c r="J56" s="3" t="s">
        <v>85</v>
      </c>
      <c r="K56" s="92" t="s">
        <v>86</v>
      </c>
      <c r="L56" s="4"/>
      <c r="M56" s="4"/>
      <c r="N56" s="4"/>
      <c r="O56" s="4"/>
      <c r="P56" s="4"/>
      <c r="Q56" s="4"/>
      <c r="R56" s="4"/>
      <c r="S56" s="4"/>
      <c r="T56" s="4"/>
      <c r="U56" s="4"/>
      <c r="V56" s="4"/>
      <c r="W56" s="4"/>
      <c r="X56" s="4"/>
      <c r="Y56" s="4"/>
      <c r="Z56" s="4"/>
    </row>
    <row r="57" ht="15.75" customHeight="1">
      <c r="A57" s="38">
        <v>1367.0</v>
      </c>
      <c r="B57" s="39" t="s">
        <v>48</v>
      </c>
      <c r="C57" s="40">
        <v>840674.0</v>
      </c>
      <c r="D57" s="41">
        <v>658925.0</v>
      </c>
      <c r="E57" s="41">
        <v>484934.0</v>
      </c>
      <c r="F57" s="41">
        <f t="shared" ref="F57:F65" si="17">SUM(C57:E57)</f>
        <v>1984533</v>
      </c>
      <c r="G57" s="147">
        <f t="shared" ref="G57:G66" si="18">+F57/$M$4</f>
        <v>0.01850533</v>
      </c>
      <c r="H57" s="41">
        <f t="shared" ref="H57:H65" si="19">+$B$13*G57</f>
        <v>15287.96696</v>
      </c>
      <c r="I57" s="41">
        <f t="shared" ref="I57:I65" si="20">+G57*$B$14</f>
        <v>22456.4313</v>
      </c>
      <c r="J57" s="41">
        <f t="shared" ref="J57:J65" si="21">+G57*$B$15</f>
        <v>1887.116237</v>
      </c>
      <c r="K57" s="42">
        <f t="shared" ref="K57:K65" si="22">+G57*$B$16</f>
        <v>4787.043875</v>
      </c>
      <c r="L57" s="4"/>
      <c r="M57" s="4"/>
      <c r="N57" s="4"/>
      <c r="O57" s="4"/>
      <c r="P57" s="4"/>
      <c r="Q57" s="4"/>
      <c r="R57" s="4"/>
      <c r="S57" s="4"/>
      <c r="T57" s="4"/>
      <c r="U57" s="4"/>
      <c r="V57" s="4"/>
      <c r="W57" s="4"/>
      <c r="X57" s="4"/>
      <c r="Y57" s="4"/>
      <c r="Z57" s="4"/>
    </row>
    <row r="58" ht="15.75" customHeight="1">
      <c r="A58" s="45">
        <v>5201.0</v>
      </c>
      <c r="B58" s="46" t="s">
        <v>49</v>
      </c>
      <c r="C58" s="47">
        <v>1298985.0</v>
      </c>
      <c r="D58" s="17">
        <v>785917.0</v>
      </c>
      <c r="E58" s="17">
        <v>641581.0</v>
      </c>
      <c r="F58" s="17">
        <f t="shared" si="17"/>
        <v>2726483</v>
      </c>
      <c r="G58" s="143">
        <f t="shared" si="18"/>
        <v>0.02542384917</v>
      </c>
      <c r="H58" s="17">
        <f t="shared" si="19"/>
        <v>21003.62253</v>
      </c>
      <c r="I58" s="17">
        <f t="shared" si="20"/>
        <v>30852.13407</v>
      </c>
      <c r="J58" s="17">
        <f t="shared" si="21"/>
        <v>2592.645393</v>
      </c>
      <c r="K58" s="48">
        <f t="shared" si="22"/>
        <v>6576.758233</v>
      </c>
      <c r="L58" s="4"/>
      <c r="M58" s="4"/>
      <c r="N58" s="4"/>
      <c r="O58" s="4"/>
      <c r="P58" s="4"/>
      <c r="Q58" s="4"/>
      <c r="R58" s="4"/>
      <c r="S58" s="4"/>
      <c r="T58" s="4"/>
      <c r="U58" s="4"/>
      <c r="V58" s="4"/>
      <c r="W58" s="4"/>
      <c r="X58" s="4"/>
      <c r="Y58" s="4"/>
      <c r="Z58" s="4"/>
    </row>
    <row r="59" ht="15.75" customHeight="1">
      <c r="A59" s="45">
        <v>4465.0</v>
      </c>
      <c r="B59" s="46" t="s">
        <v>50</v>
      </c>
      <c r="C59" s="47">
        <v>1897303.0</v>
      </c>
      <c r="D59" s="17">
        <v>1023701.0</v>
      </c>
      <c r="E59" s="17">
        <v>734231.0</v>
      </c>
      <c r="F59" s="17">
        <f t="shared" si="17"/>
        <v>3655235</v>
      </c>
      <c r="G59" s="143">
        <f t="shared" si="18"/>
        <v>0.03408425554</v>
      </c>
      <c r="H59" s="17">
        <f t="shared" si="19"/>
        <v>28158.31832</v>
      </c>
      <c r="I59" s="17">
        <f t="shared" si="20"/>
        <v>41361.63705</v>
      </c>
      <c r="J59" s="17">
        <f t="shared" si="21"/>
        <v>3475.806812</v>
      </c>
      <c r="K59" s="48">
        <f t="shared" si="22"/>
        <v>8817.071986</v>
      </c>
      <c r="L59" s="4"/>
      <c r="M59" s="4"/>
      <c r="N59" s="4"/>
      <c r="O59" s="4"/>
      <c r="P59" s="4"/>
      <c r="Q59" s="4"/>
      <c r="R59" s="4"/>
      <c r="S59" s="4"/>
      <c r="T59" s="4"/>
      <c r="U59" s="4"/>
      <c r="V59" s="4"/>
      <c r="W59" s="4"/>
      <c r="X59" s="4"/>
      <c r="Y59" s="4"/>
      <c r="Z59" s="4"/>
    </row>
    <row r="60" ht="15.75" customHeight="1">
      <c r="A60" s="45">
        <v>3504.0</v>
      </c>
      <c r="B60" s="46" t="s">
        <v>51</v>
      </c>
      <c r="C60" s="47">
        <v>0.0</v>
      </c>
      <c r="D60" s="17">
        <v>166733.0</v>
      </c>
      <c r="E60" s="17">
        <v>44060.0</v>
      </c>
      <c r="F60" s="17">
        <f t="shared" si="17"/>
        <v>210793</v>
      </c>
      <c r="G60" s="143">
        <f t="shared" si="18"/>
        <v>0.001965597965</v>
      </c>
      <c r="H60" s="17">
        <f t="shared" si="19"/>
        <v>1623.856303</v>
      </c>
      <c r="I60" s="17">
        <f t="shared" si="20"/>
        <v>2385.275792</v>
      </c>
      <c r="J60" s="17">
        <f t="shared" si="21"/>
        <v>200.4455925</v>
      </c>
      <c r="K60" s="48">
        <f t="shared" si="22"/>
        <v>508.469922</v>
      </c>
      <c r="L60" s="4"/>
      <c r="M60" s="4"/>
      <c r="N60" s="4"/>
      <c r="O60" s="4"/>
      <c r="P60" s="4"/>
      <c r="Q60" s="4"/>
      <c r="R60" s="4"/>
      <c r="S60" s="4"/>
      <c r="T60" s="4"/>
      <c r="U60" s="4"/>
      <c r="V60" s="4"/>
      <c r="W60" s="4"/>
      <c r="X60" s="4"/>
      <c r="Y60" s="4"/>
      <c r="Z60" s="4"/>
    </row>
    <row r="61" ht="15.75" customHeight="1">
      <c r="A61" s="45">
        <v>4852.0</v>
      </c>
      <c r="B61" s="46" t="s">
        <v>52</v>
      </c>
      <c r="C61" s="47">
        <v>2743626.0</v>
      </c>
      <c r="D61" s="17">
        <v>1713235.0</v>
      </c>
      <c r="E61" s="17">
        <v>1043160.0</v>
      </c>
      <c r="F61" s="17">
        <f t="shared" si="17"/>
        <v>5500021</v>
      </c>
      <c r="G61" s="143">
        <f t="shared" si="18"/>
        <v>0.05128647577</v>
      </c>
      <c r="H61" s="17">
        <f t="shared" si="19"/>
        <v>42369.73603</v>
      </c>
      <c r="I61" s="17">
        <f t="shared" si="20"/>
        <v>62236.72962</v>
      </c>
      <c r="J61" s="17">
        <f t="shared" si="21"/>
        <v>5230.03595</v>
      </c>
      <c r="K61" s="48">
        <f t="shared" si="22"/>
        <v>13267.02143</v>
      </c>
      <c r="L61" s="4"/>
      <c r="M61" s="4"/>
      <c r="N61" s="4"/>
      <c r="O61" s="4"/>
      <c r="P61" s="4"/>
      <c r="Q61" s="4"/>
      <c r="R61" s="4"/>
      <c r="S61" s="4"/>
      <c r="T61" s="4"/>
      <c r="U61" s="4"/>
      <c r="V61" s="4"/>
      <c r="W61" s="4"/>
      <c r="X61" s="4"/>
      <c r="Y61" s="4"/>
      <c r="Z61" s="4"/>
    </row>
    <row r="62" ht="15.75" customHeight="1">
      <c r="A62" s="45">
        <v>2603.0</v>
      </c>
      <c r="B62" s="46" t="s">
        <v>53</v>
      </c>
      <c r="C62" s="47">
        <v>1233865.0</v>
      </c>
      <c r="D62" s="17">
        <v>676105.0</v>
      </c>
      <c r="E62" s="17">
        <v>631919.0</v>
      </c>
      <c r="F62" s="17">
        <f t="shared" si="17"/>
        <v>2541889</v>
      </c>
      <c r="G62" s="143">
        <f t="shared" si="18"/>
        <v>0.02370255106</v>
      </c>
      <c r="H62" s="17">
        <f t="shared" si="19"/>
        <v>19581.59177</v>
      </c>
      <c r="I62" s="17">
        <f t="shared" si="20"/>
        <v>28763.31898</v>
      </c>
      <c r="J62" s="17">
        <f t="shared" si="21"/>
        <v>2417.112744</v>
      </c>
      <c r="K62" s="48">
        <f t="shared" si="22"/>
        <v>6131.484923</v>
      </c>
      <c r="L62" s="4"/>
      <c r="M62" s="4"/>
      <c r="N62" s="4"/>
      <c r="O62" s="4"/>
      <c r="P62" s="4"/>
      <c r="Q62" s="4"/>
      <c r="R62" s="4"/>
      <c r="S62" s="4"/>
      <c r="T62" s="4"/>
      <c r="U62" s="4"/>
      <c r="V62" s="4"/>
      <c r="W62" s="4"/>
      <c r="X62" s="4"/>
      <c r="Y62" s="4"/>
      <c r="Z62" s="4"/>
    </row>
    <row r="63" ht="15.75" customHeight="1">
      <c r="A63" s="45">
        <v>1619.0</v>
      </c>
      <c r="B63" s="46" t="s">
        <v>54</v>
      </c>
      <c r="C63" s="47">
        <v>1530853.0</v>
      </c>
      <c r="D63" s="17">
        <v>716713.0</v>
      </c>
      <c r="E63" s="17">
        <v>483634.0</v>
      </c>
      <c r="F63" s="17">
        <f t="shared" si="17"/>
        <v>2731200</v>
      </c>
      <c r="G63" s="143">
        <f t="shared" si="18"/>
        <v>0.02546783415</v>
      </c>
      <c r="H63" s="17">
        <f t="shared" si="19"/>
        <v>21039.96022</v>
      </c>
      <c r="I63" s="17">
        <f t="shared" si="20"/>
        <v>30905.51035</v>
      </c>
      <c r="J63" s="17">
        <f t="shared" si="21"/>
        <v>2597.130845</v>
      </c>
      <c r="K63" s="48">
        <f t="shared" si="22"/>
        <v>6588.13647</v>
      </c>
      <c r="L63" s="4"/>
      <c r="M63" s="4"/>
      <c r="N63" s="4"/>
      <c r="O63" s="4"/>
      <c r="P63" s="4"/>
      <c r="Q63" s="4"/>
      <c r="R63" s="4"/>
      <c r="S63" s="4"/>
      <c r="T63" s="4"/>
      <c r="U63" s="4"/>
      <c r="V63" s="4"/>
      <c r="W63" s="4"/>
      <c r="X63" s="4"/>
      <c r="Y63" s="4"/>
      <c r="Z63" s="4"/>
    </row>
    <row r="64" ht="15.75" customHeight="1">
      <c r="A64" s="45">
        <v>2188.0</v>
      </c>
      <c r="B64" s="46" t="s">
        <v>55</v>
      </c>
      <c r="C64" s="47">
        <v>465526.0</v>
      </c>
      <c r="D64" s="17">
        <v>243122.0</v>
      </c>
      <c r="E64" s="17">
        <v>361047.0</v>
      </c>
      <c r="F64" s="17">
        <f t="shared" si="17"/>
        <v>1069695</v>
      </c>
      <c r="G64" s="143">
        <f t="shared" si="18"/>
        <v>0.009974668587</v>
      </c>
      <c r="H64" s="17">
        <f t="shared" si="19"/>
        <v>8240.458497</v>
      </c>
      <c r="I64" s="17">
        <f t="shared" si="20"/>
        <v>12104.37533</v>
      </c>
      <c r="J64" s="17">
        <f t="shared" si="21"/>
        <v>1017.185808</v>
      </c>
      <c r="K64" s="48">
        <f t="shared" si="22"/>
        <v>2580.293146</v>
      </c>
      <c r="L64" s="4"/>
      <c r="M64" s="4"/>
      <c r="N64" s="4"/>
      <c r="O64" s="4"/>
      <c r="P64" s="4"/>
      <c r="Q64" s="4"/>
      <c r="R64" s="4"/>
      <c r="S64" s="4"/>
      <c r="T64" s="4"/>
      <c r="U64" s="4"/>
      <c r="V64" s="4"/>
      <c r="W64" s="4"/>
      <c r="X64" s="4"/>
      <c r="Y64" s="4"/>
      <c r="Z64" s="4"/>
    </row>
    <row r="65" ht="15.75" customHeight="1">
      <c r="A65" s="59">
        <v>2683.0</v>
      </c>
      <c r="B65" s="60" t="s">
        <v>56</v>
      </c>
      <c r="C65" s="61">
        <v>2451788.0</v>
      </c>
      <c r="D65" s="62">
        <v>434314.0</v>
      </c>
      <c r="E65" s="62">
        <v>309032.0</v>
      </c>
      <c r="F65" s="62">
        <f t="shared" si="17"/>
        <v>3195134</v>
      </c>
      <c r="G65" s="136">
        <f t="shared" si="18"/>
        <v>0.02979391578</v>
      </c>
      <c r="H65" s="17">
        <f t="shared" si="19"/>
        <v>24613.90314</v>
      </c>
      <c r="I65" s="17">
        <f t="shared" si="20"/>
        <v>36155.26029</v>
      </c>
      <c r="J65" s="17">
        <f t="shared" si="21"/>
        <v>3038.291251</v>
      </c>
      <c r="K65" s="48">
        <f t="shared" si="22"/>
        <v>7707.227164</v>
      </c>
      <c r="L65" s="4"/>
      <c r="M65" s="4"/>
      <c r="N65" s="4"/>
      <c r="O65" s="4"/>
      <c r="P65" s="4"/>
      <c r="Q65" s="4"/>
      <c r="R65" s="4"/>
      <c r="S65" s="4"/>
      <c r="T65" s="4"/>
      <c r="U65" s="4"/>
      <c r="V65" s="4"/>
      <c r="W65" s="4"/>
      <c r="X65" s="4"/>
      <c r="Y65" s="4"/>
      <c r="Z65" s="4"/>
    </row>
    <row r="66" ht="15.75" customHeight="1">
      <c r="A66" s="144" t="s">
        <v>10</v>
      </c>
      <c r="B66" s="145"/>
      <c r="C66" s="146">
        <f t="shared" ref="C66:F66" si="23">SUM(C57:C65)</f>
        <v>12462620</v>
      </c>
      <c r="D66" s="146">
        <f t="shared" si="23"/>
        <v>6418765</v>
      </c>
      <c r="E66" s="146">
        <f t="shared" si="23"/>
        <v>4733598</v>
      </c>
      <c r="F66" s="146">
        <f t="shared" si="23"/>
        <v>23614983</v>
      </c>
      <c r="G66" s="136">
        <f t="shared" si="18"/>
        <v>0.220204478</v>
      </c>
      <c r="H66" s="148">
        <f t="shared" ref="H66:K66" si="24">SUM(H57:H65)</f>
        <v>181919.4138</v>
      </c>
      <c r="I66" s="146">
        <f t="shared" si="24"/>
        <v>267220.6728</v>
      </c>
      <c r="J66" s="146">
        <f t="shared" si="24"/>
        <v>22455.77063</v>
      </c>
      <c r="K66" s="146">
        <f t="shared" si="24"/>
        <v>56963.50715</v>
      </c>
      <c r="L66" s="4"/>
      <c r="M66" s="4"/>
      <c r="N66" s="4"/>
      <c r="O66" s="4"/>
      <c r="P66" s="4"/>
      <c r="Q66" s="4"/>
      <c r="R66" s="4"/>
      <c r="S66" s="4"/>
      <c r="T66" s="4"/>
      <c r="U66" s="4"/>
      <c r="V66" s="4"/>
      <c r="W66" s="4"/>
      <c r="X66" s="4"/>
      <c r="Y66" s="4"/>
      <c r="Z66" s="4"/>
    </row>
    <row r="67" ht="15.75" customHeight="1">
      <c r="A67" s="4"/>
      <c r="B67" s="4">
        <f>COUNTA(B57:B65)</f>
        <v>9</v>
      </c>
      <c r="C67" s="19">
        <f>C66/'Alloc by Sector'!D20</f>
        <v>0.4490323226</v>
      </c>
      <c r="D67" s="19">
        <f>D66/'Alloc by Sector'!D18</f>
        <v>0.05794985725</v>
      </c>
      <c r="E67" s="19">
        <f>E66/'Alloc by Sector'!D19</f>
        <v>0.0788929555</v>
      </c>
      <c r="H67" s="137"/>
      <c r="I67" s="137"/>
      <c r="J67" s="137"/>
      <c r="K67" s="137"/>
      <c r="L67" s="4"/>
      <c r="M67" s="4"/>
      <c r="N67" s="4"/>
      <c r="O67" s="4"/>
      <c r="P67" s="4"/>
      <c r="Q67" s="4"/>
      <c r="R67" s="4"/>
      <c r="S67" s="4"/>
      <c r="T67" s="4"/>
      <c r="U67" s="4"/>
      <c r="V67" s="4"/>
      <c r="W67" s="4"/>
      <c r="X67" s="4"/>
      <c r="Y67" s="4"/>
      <c r="Z67" s="4"/>
    </row>
    <row r="68" ht="15.75" customHeight="1">
      <c r="A68" s="4"/>
      <c r="B68" s="4"/>
      <c r="C68" s="4"/>
      <c r="D68" s="4"/>
      <c r="E68" s="4"/>
      <c r="F68" s="82" t="s">
        <v>33</v>
      </c>
      <c r="G68" s="138">
        <f>SUM(G57:G65)</f>
        <v>0.220204478</v>
      </c>
      <c r="H68" s="4"/>
      <c r="I68" s="4"/>
      <c r="J68" s="4"/>
      <c r="K68" s="4"/>
      <c r="L68" s="4"/>
      <c r="M68" s="4"/>
      <c r="N68" s="4"/>
      <c r="O68" s="4"/>
      <c r="P68" s="4"/>
      <c r="Q68" s="4"/>
      <c r="R68" s="4"/>
      <c r="S68" s="4"/>
      <c r="T68" s="4"/>
      <c r="U68" s="4"/>
      <c r="V68" s="4"/>
      <c r="W68" s="4"/>
      <c r="X68" s="4"/>
      <c r="Y68" s="4"/>
      <c r="Z68" s="4"/>
    </row>
    <row r="69" ht="15.75" customHeight="1">
      <c r="A69" s="26" t="s">
        <v>89</v>
      </c>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27" t="s">
        <v>16</v>
      </c>
      <c r="B70" s="122" t="s">
        <v>17</v>
      </c>
      <c r="C70" s="27" t="s">
        <v>12</v>
      </c>
      <c r="D70" s="28"/>
      <c r="E70" s="28"/>
      <c r="F70" s="29"/>
      <c r="G70" s="123" t="s">
        <v>81</v>
      </c>
      <c r="H70" s="27" t="s">
        <v>82</v>
      </c>
      <c r="I70" s="28"/>
      <c r="J70" s="28"/>
      <c r="K70" s="29"/>
      <c r="L70" s="4"/>
      <c r="M70" s="4"/>
      <c r="N70" s="4"/>
      <c r="O70" s="4"/>
      <c r="P70" s="4"/>
      <c r="Q70" s="4"/>
      <c r="R70" s="4"/>
      <c r="S70" s="4"/>
      <c r="T70" s="4"/>
      <c r="U70" s="4"/>
      <c r="V70" s="4"/>
      <c r="W70" s="4"/>
      <c r="X70" s="4"/>
      <c r="Y70" s="4"/>
      <c r="Z70" s="4"/>
    </row>
    <row r="71" ht="15.75" customHeight="1">
      <c r="A71" s="124"/>
      <c r="B71" s="125"/>
      <c r="C71" s="33" t="s">
        <v>5</v>
      </c>
      <c r="D71" s="34" t="s">
        <v>6</v>
      </c>
      <c r="E71" s="34" t="s">
        <v>18</v>
      </c>
      <c r="F71" s="35" t="s">
        <v>10</v>
      </c>
      <c r="G71" s="126"/>
      <c r="H71" s="36" t="s">
        <v>83</v>
      </c>
      <c r="I71" s="3" t="s">
        <v>84</v>
      </c>
      <c r="J71" s="3" t="s">
        <v>85</v>
      </c>
      <c r="K71" s="92" t="s">
        <v>86</v>
      </c>
      <c r="L71" s="19"/>
      <c r="M71" s="4"/>
      <c r="N71" s="4"/>
      <c r="O71" s="4"/>
      <c r="P71" s="4"/>
      <c r="Q71" s="4"/>
      <c r="R71" s="4"/>
      <c r="S71" s="4"/>
      <c r="T71" s="4"/>
      <c r="U71" s="4"/>
      <c r="V71" s="4"/>
      <c r="W71" s="4"/>
      <c r="X71" s="4"/>
      <c r="Y71" s="4"/>
      <c r="Z71" s="4"/>
    </row>
    <row r="72" ht="15.75" customHeight="1">
      <c r="A72" s="38">
        <v>3658.0</v>
      </c>
      <c r="B72" s="39" t="s">
        <v>58</v>
      </c>
      <c r="C72" s="40">
        <v>310957.0</v>
      </c>
      <c r="D72" s="41">
        <v>2740.0</v>
      </c>
      <c r="E72" s="41">
        <v>73114.0</v>
      </c>
      <c r="F72" s="41">
        <f t="shared" ref="F72:F86" si="25">SUM(C72:E72)</f>
        <v>386811</v>
      </c>
      <c r="G72" s="147">
        <f t="shared" ref="G72:G86" si="26">+F72/$M$4</f>
        <v>0.00360692677</v>
      </c>
      <c r="H72" s="41">
        <f t="shared" ref="H72:H86" si="27">+$B$13*G72</f>
        <v>2979.821343</v>
      </c>
      <c r="I72" s="41">
        <f t="shared" ref="I72:I86" si="28">+G72*$B$14</f>
        <v>4377.047219</v>
      </c>
      <c r="J72" s="41">
        <f t="shared" ref="J72:J86" si="29">+G72*$B$15</f>
        <v>367.8232203</v>
      </c>
      <c r="K72" s="42">
        <f t="shared" ref="K72:K86" si="30">+G72*$B$16</f>
        <v>933.056406</v>
      </c>
      <c r="L72" s="19"/>
      <c r="M72" s="4"/>
      <c r="N72" s="4"/>
      <c r="O72" s="4"/>
      <c r="P72" s="4"/>
      <c r="Q72" s="4"/>
      <c r="R72" s="4"/>
      <c r="S72" s="4"/>
      <c r="T72" s="4"/>
      <c r="U72" s="4"/>
      <c r="V72" s="4"/>
      <c r="W72" s="4"/>
      <c r="X72" s="4"/>
      <c r="Y72" s="4"/>
      <c r="Z72" s="4"/>
    </row>
    <row r="73" ht="15.75" customHeight="1">
      <c r="A73" s="45">
        <v>2364.0</v>
      </c>
      <c r="B73" s="46" t="s">
        <v>59</v>
      </c>
      <c r="C73" s="47">
        <v>680933.0</v>
      </c>
      <c r="D73" s="17">
        <v>288003.0</v>
      </c>
      <c r="E73" s="17">
        <v>597094.0</v>
      </c>
      <c r="F73" s="17">
        <f t="shared" si="25"/>
        <v>1566030</v>
      </c>
      <c r="G73" s="143">
        <f t="shared" si="26"/>
        <v>0.01460288236</v>
      </c>
      <c r="H73" s="17">
        <f t="shared" si="27"/>
        <v>12064.00443</v>
      </c>
      <c r="I73" s="17">
        <f t="shared" si="28"/>
        <v>17720.7661</v>
      </c>
      <c r="J73" s="17">
        <f t="shared" si="29"/>
        <v>1489.156714</v>
      </c>
      <c r="K73" s="48">
        <f t="shared" si="30"/>
        <v>3777.540772</v>
      </c>
      <c r="L73" s="19"/>
      <c r="M73" s="4"/>
      <c r="N73" s="4"/>
      <c r="O73" s="4"/>
      <c r="P73" s="4"/>
      <c r="Q73" s="4"/>
      <c r="R73" s="4"/>
      <c r="S73" s="4"/>
      <c r="T73" s="4"/>
      <c r="U73" s="4"/>
      <c r="V73" s="4"/>
      <c r="W73" s="4"/>
      <c r="X73" s="4"/>
      <c r="Y73" s="4"/>
      <c r="Z73" s="4"/>
    </row>
    <row r="74" ht="15.75" customHeight="1">
      <c r="A74" s="45">
        <v>3521.0</v>
      </c>
      <c r="B74" s="46" t="s">
        <v>60</v>
      </c>
      <c r="C74" s="47">
        <v>1816063.0</v>
      </c>
      <c r="D74" s="17">
        <v>715313.0</v>
      </c>
      <c r="E74" s="17">
        <v>372236.0</v>
      </c>
      <c r="F74" s="17">
        <f t="shared" si="25"/>
        <v>2903612</v>
      </c>
      <c r="G74" s="143">
        <f t="shared" si="26"/>
        <v>0.0270755378</v>
      </c>
      <c r="H74" s="17">
        <f t="shared" si="27"/>
        <v>22368.14622</v>
      </c>
      <c r="I74" s="17">
        <f t="shared" si="28"/>
        <v>32856.47727</v>
      </c>
      <c r="J74" s="17">
        <f t="shared" si="29"/>
        <v>2761.079484</v>
      </c>
      <c r="K74" s="48">
        <f t="shared" si="30"/>
        <v>7004.024645</v>
      </c>
      <c r="L74" s="19"/>
      <c r="M74" s="4"/>
      <c r="N74" s="4"/>
      <c r="O74" s="4"/>
      <c r="P74" s="4"/>
      <c r="Q74" s="4"/>
      <c r="R74" s="4"/>
      <c r="S74" s="4"/>
      <c r="T74" s="4"/>
      <c r="U74" s="4"/>
      <c r="V74" s="4"/>
      <c r="W74" s="4"/>
      <c r="X74" s="4"/>
      <c r="Y74" s="4"/>
      <c r="Z74" s="4"/>
    </row>
    <row r="75" ht="15.75" customHeight="1">
      <c r="A75" s="45">
        <v>2567.0</v>
      </c>
      <c r="B75" s="46" t="s">
        <v>61</v>
      </c>
      <c r="C75" s="47">
        <v>737398.0</v>
      </c>
      <c r="D75" s="17">
        <v>476003.0</v>
      </c>
      <c r="E75" s="17">
        <v>399620.0</v>
      </c>
      <c r="F75" s="17">
        <f t="shared" si="25"/>
        <v>1613021</v>
      </c>
      <c r="G75" s="143">
        <f t="shared" si="26"/>
        <v>0.01504106301</v>
      </c>
      <c r="H75" s="17">
        <f t="shared" si="27"/>
        <v>12426.00237</v>
      </c>
      <c r="I75" s="17">
        <f t="shared" si="28"/>
        <v>18252.50337</v>
      </c>
      <c r="J75" s="17">
        <f t="shared" si="29"/>
        <v>1533.84102</v>
      </c>
      <c r="K75" s="48">
        <f t="shared" si="30"/>
        <v>3890.891358</v>
      </c>
      <c r="L75" s="19"/>
      <c r="M75" s="4"/>
      <c r="N75" s="4"/>
      <c r="O75" s="4"/>
      <c r="P75" s="4"/>
      <c r="Q75" s="4"/>
      <c r="R75" s="4"/>
      <c r="S75" s="4"/>
      <c r="T75" s="4"/>
      <c r="U75" s="4"/>
      <c r="V75" s="4"/>
      <c r="W75" s="4"/>
      <c r="X75" s="4"/>
      <c r="Y75" s="4"/>
      <c r="Z75" s="4"/>
    </row>
    <row r="76" ht="15.75" customHeight="1">
      <c r="A76" s="45">
        <v>2278.0</v>
      </c>
      <c r="B76" s="46" t="s">
        <v>62</v>
      </c>
      <c r="C76" s="47">
        <v>1427968.0</v>
      </c>
      <c r="D76" s="17">
        <v>1015508.0</v>
      </c>
      <c r="E76" s="17">
        <v>1167975.0</v>
      </c>
      <c r="F76" s="17">
        <f t="shared" si="25"/>
        <v>3611451</v>
      </c>
      <c r="G76" s="143">
        <f t="shared" si="26"/>
        <v>0.03367597946</v>
      </c>
      <c r="H76" s="17">
        <f t="shared" si="27"/>
        <v>27821.02569</v>
      </c>
      <c r="I76" s="17">
        <f t="shared" si="28"/>
        <v>40866.18932</v>
      </c>
      <c r="J76" s="17">
        <f t="shared" si="29"/>
        <v>3434.172081</v>
      </c>
      <c r="K76" s="48">
        <f t="shared" si="30"/>
        <v>8711.45725</v>
      </c>
      <c r="L76" s="19"/>
      <c r="M76" s="4"/>
      <c r="N76" s="4"/>
      <c r="O76" s="4"/>
      <c r="P76" s="4"/>
      <c r="Q76" s="4"/>
      <c r="R76" s="4"/>
      <c r="S76" s="4"/>
      <c r="T76" s="4"/>
      <c r="U76" s="4"/>
      <c r="V76" s="4"/>
      <c r="W76" s="4"/>
      <c r="X76" s="4"/>
      <c r="Y76" s="4"/>
      <c r="Z76" s="4"/>
    </row>
    <row r="77" ht="15.75" customHeight="1">
      <c r="A77" s="45">
        <v>2636.0</v>
      </c>
      <c r="B77" s="46" t="s">
        <v>63</v>
      </c>
      <c r="C77" s="17">
        <v>1224441.0</v>
      </c>
      <c r="D77" s="17">
        <v>786060.0</v>
      </c>
      <c r="E77" s="17">
        <v>501659.0</v>
      </c>
      <c r="F77" s="17">
        <f t="shared" si="25"/>
        <v>2512160</v>
      </c>
      <c r="G77" s="143">
        <f t="shared" si="26"/>
        <v>0.02342533473</v>
      </c>
      <c r="H77" s="17">
        <f t="shared" si="27"/>
        <v>19352.57266</v>
      </c>
      <c r="I77" s="17">
        <f t="shared" si="28"/>
        <v>28426.91377</v>
      </c>
      <c r="J77" s="17">
        <f t="shared" si="29"/>
        <v>2388.843081</v>
      </c>
      <c r="K77" s="48">
        <f t="shared" si="30"/>
        <v>6059.773328</v>
      </c>
      <c r="L77" s="19"/>
      <c r="M77" s="4"/>
      <c r="N77" s="4"/>
      <c r="O77" s="4"/>
      <c r="P77" s="4"/>
      <c r="Q77" s="4"/>
      <c r="R77" s="4"/>
      <c r="S77" s="4"/>
      <c r="T77" s="4"/>
      <c r="U77" s="4"/>
      <c r="V77" s="4"/>
      <c r="W77" s="4"/>
      <c r="X77" s="4"/>
      <c r="Y77" s="4"/>
      <c r="Z77" s="4"/>
    </row>
    <row r="78" ht="15.75" customHeight="1">
      <c r="A78" s="45">
        <v>3144.0</v>
      </c>
      <c r="B78" s="46" t="s">
        <v>64</v>
      </c>
      <c r="C78" s="47">
        <v>216888.0</v>
      </c>
      <c r="D78" s="17">
        <v>23497.0</v>
      </c>
      <c r="E78" s="17">
        <v>64999.0</v>
      </c>
      <c r="F78" s="17">
        <f t="shared" si="25"/>
        <v>305384</v>
      </c>
      <c r="G78" s="143">
        <f t="shared" si="26"/>
        <v>0.002847638057</v>
      </c>
      <c r="H78" s="17">
        <f t="shared" si="27"/>
        <v>2352.543648</v>
      </c>
      <c r="I78" s="17">
        <f t="shared" si="28"/>
        <v>3455.641613</v>
      </c>
      <c r="J78" s="17">
        <f t="shared" si="29"/>
        <v>290.3933092</v>
      </c>
      <c r="K78" s="48">
        <f t="shared" si="30"/>
        <v>736.6401097</v>
      </c>
      <c r="L78" s="19"/>
      <c r="M78" s="4"/>
      <c r="N78" s="4"/>
      <c r="O78" s="4"/>
      <c r="P78" s="4"/>
      <c r="Q78" s="4"/>
      <c r="R78" s="4"/>
      <c r="S78" s="4"/>
      <c r="T78" s="4"/>
      <c r="U78" s="4"/>
      <c r="V78" s="4"/>
      <c r="W78" s="4"/>
      <c r="X78" s="4"/>
      <c r="Y78" s="4"/>
      <c r="Z78" s="4"/>
    </row>
    <row r="79" ht="15.75" customHeight="1">
      <c r="A79" s="45">
        <v>3463.0</v>
      </c>
      <c r="B79" s="46" t="s">
        <v>65</v>
      </c>
      <c r="C79" s="47">
        <v>1527812.0</v>
      </c>
      <c r="D79" s="17">
        <v>73997.0</v>
      </c>
      <c r="E79" s="17">
        <v>12709.0</v>
      </c>
      <c r="F79" s="17">
        <f t="shared" si="25"/>
        <v>1614518</v>
      </c>
      <c r="G79" s="143">
        <f t="shared" si="26"/>
        <v>0.01505502221</v>
      </c>
      <c r="H79" s="17">
        <f t="shared" si="27"/>
        <v>12437.5346</v>
      </c>
      <c r="I79" s="17">
        <f t="shared" si="28"/>
        <v>18269.44301</v>
      </c>
      <c r="J79" s="17">
        <f t="shared" si="29"/>
        <v>1535.264535</v>
      </c>
      <c r="K79" s="48">
        <f t="shared" si="30"/>
        <v>3894.502386</v>
      </c>
      <c r="L79" s="19"/>
      <c r="M79" s="4"/>
      <c r="N79" s="4"/>
      <c r="O79" s="4"/>
      <c r="P79" s="4"/>
      <c r="Q79" s="4"/>
      <c r="R79" s="4"/>
      <c r="S79" s="4"/>
      <c r="T79" s="4"/>
      <c r="U79" s="4"/>
      <c r="V79" s="4"/>
      <c r="W79" s="4"/>
      <c r="X79" s="4"/>
      <c r="Y79" s="4"/>
      <c r="Z79" s="4"/>
    </row>
    <row r="80" ht="15.75" customHeight="1">
      <c r="A80" s="45">
        <v>3594.0</v>
      </c>
      <c r="B80" s="46" t="s">
        <v>66</v>
      </c>
      <c r="C80" s="47">
        <v>3620616.0</v>
      </c>
      <c r="D80" s="17">
        <v>1907465.0</v>
      </c>
      <c r="E80" s="17">
        <v>1011048.0</v>
      </c>
      <c r="F80" s="17">
        <f t="shared" si="25"/>
        <v>6539129</v>
      </c>
      <c r="G80" s="143">
        <f t="shared" si="26"/>
        <v>0.06097592737</v>
      </c>
      <c r="H80" s="17">
        <f t="shared" si="27"/>
        <v>50374.56577</v>
      </c>
      <c r="I80" s="17">
        <f t="shared" si="28"/>
        <v>73994.99084</v>
      </c>
      <c r="J80" s="17">
        <f t="shared" si="29"/>
        <v>6218.136213</v>
      </c>
      <c r="K80" s="48">
        <f t="shared" si="30"/>
        <v>15773.53333</v>
      </c>
      <c r="L80" s="19"/>
      <c r="M80" s="4"/>
      <c r="N80" s="4"/>
      <c r="O80" s="4"/>
      <c r="P80" s="4"/>
      <c r="Q80" s="4"/>
      <c r="R80" s="4"/>
      <c r="S80" s="4"/>
      <c r="T80" s="4"/>
      <c r="U80" s="4"/>
      <c r="V80" s="4"/>
      <c r="W80" s="4"/>
      <c r="X80" s="4"/>
      <c r="Y80" s="4"/>
      <c r="Z80" s="4"/>
    </row>
    <row r="81" ht="15.75" customHeight="1">
      <c r="A81" s="45">
        <v>2550.0</v>
      </c>
      <c r="B81" s="46" t="s">
        <v>67</v>
      </c>
      <c r="C81" s="47">
        <v>2637886.0</v>
      </c>
      <c r="D81" s="17">
        <v>3577753.0</v>
      </c>
      <c r="E81" s="17">
        <v>1818818.0</v>
      </c>
      <c r="F81" s="17">
        <f t="shared" si="25"/>
        <v>8034457</v>
      </c>
      <c r="G81" s="143">
        <f t="shared" si="26"/>
        <v>0.07491952926</v>
      </c>
      <c r="H81" s="17">
        <f t="shared" si="27"/>
        <v>61893.91317</v>
      </c>
      <c r="I81" s="17">
        <f t="shared" si="28"/>
        <v>90915.7125</v>
      </c>
      <c r="J81" s="17">
        <f t="shared" si="29"/>
        <v>7640.061547</v>
      </c>
      <c r="K81" s="48">
        <f t="shared" si="30"/>
        <v>19380.5284</v>
      </c>
      <c r="L81" s="19"/>
      <c r="M81" s="4"/>
      <c r="N81" s="4"/>
      <c r="O81" s="4"/>
      <c r="P81" s="4"/>
      <c r="Q81" s="4"/>
      <c r="R81" s="4"/>
      <c r="S81" s="4"/>
      <c r="T81" s="4"/>
      <c r="U81" s="4"/>
      <c r="V81" s="4"/>
      <c r="W81" s="4"/>
      <c r="X81" s="4"/>
      <c r="Y81" s="4"/>
      <c r="Z81" s="4"/>
    </row>
    <row r="82" ht="15.75" customHeight="1">
      <c r="A82" s="45">
        <v>2882.0</v>
      </c>
      <c r="B82" s="46" t="s">
        <v>68</v>
      </c>
      <c r="C82" s="47">
        <v>100.0</v>
      </c>
      <c r="D82" s="17">
        <v>100.0</v>
      </c>
      <c r="E82" s="17">
        <v>100.0</v>
      </c>
      <c r="F82" s="17">
        <f t="shared" si="25"/>
        <v>300</v>
      </c>
      <c r="G82" s="143">
        <f t="shared" si="26"/>
        <v>0.000002797433452</v>
      </c>
      <c r="H82" s="17">
        <f t="shared" si="27"/>
        <v>2.311067687</v>
      </c>
      <c r="I82" s="17">
        <f t="shared" si="28"/>
        <v>3.394717745</v>
      </c>
      <c r="J82" s="17">
        <f t="shared" si="29"/>
        <v>0.285273599</v>
      </c>
      <c r="K82" s="48">
        <f t="shared" si="30"/>
        <v>0.7236529514</v>
      </c>
      <c r="L82" s="19"/>
      <c r="M82" s="4"/>
      <c r="N82" s="4"/>
      <c r="O82" s="4"/>
      <c r="P82" s="4"/>
      <c r="Q82" s="4"/>
      <c r="R82" s="4"/>
      <c r="S82" s="4"/>
      <c r="T82" s="4"/>
      <c r="U82" s="4"/>
      <c r="V82" s="4"/>
      <c r="W82" s="4"/>
      <c r="X82" s="4"/>
      <c r="Y82" s="4"/>
      <c r="Z82" s="4"/>
    </row>
    <row r="83" ht="15.75" customHeight="1">
      <c r="A83" s="4">
        <v>1271.0</v>
      </c>
      <c r="B83" s="46" t="s">
        <v>69</v>
      </c>
      <c r="C83" s="17">
        <v>2217284.0</v>
      </c>
      <c r="D83" s="17">
        <v>277857.0</v>
      </c>
      <c r="E83" s="17">
        <v>329514.0</v>
      </c>
      <c r="F83" s="17">
        <f t="shared" si="25"/>
        <v>2824655</v>
      </c>
      <c r="G83" s="143">
        <f t="shared" si="26"/>
        <v>0.02633928129</v>
      </c>
      <c r="H83" s="17">
        <f t="shared" si="27"/>
        <v>21759.89632</v>
      </c>
      <c r="I83" s="17">
        <f t="shared" si="28"/>
        <v>31963.02151</v>
      </c>
      <c r="J83" s="17">
        <f t="shared" si="29"/>
        <v>2685.998326</v>
      </c>
      <c r="K83" s="48">
        <f t="shared" si="30"/>
        <v>6813.566425</v>
      </c>
      <c r="L83" s="19"/>
      <c r="M83" s="4"/>
      <c r="N83" s="4"/>
      <c r="O83" s="4"/>
      <c r="P83" s="4"/>
      <c r="Q83" s="4"/>
      <c r="R83" s="4"/>
      <c r="S83" s="4"/>
      <c r="T83" s="4"/>
      <c r="U83" s="4"/>
      <c r="V83" s="4"/>
      <c r="W83" s="4"/>
      <c r="X83" s="4"/>
      <c r="Y83" s="4"/>
      <c r="Z83" s="4"/>
    </row>
    <row r="84" ht="15.75" customHeight="1">
      <c r="A84" s="4">
        <v>1273.0</v>
      </c>
      <c r="B84" s="46" t="s">
        <v>70</v>
      </c>
      <c r="C84" s="17">
        <v>1761985.0</v>
      </c>
      <c r="D84" s="17">
        <v>84372.0</v>
      </c>
      <c r="E84" s="17">
        <v>249873.0</v>
      </c>
      <c r="F84" s="17">
        <f t="shared" si="25"/>
        <v>2096230</v>
      </c>
      <c r="G84" s="143">
        <f t="shared" si="26"/>
        <v>0.01954687975</v>
      </c>
      <c r="H84" s="17">
        <f t="shared" si="27"/>
        <v>16148.43139</v>
      </c>
      <c r="I84" s="17">
        <f t="shared" si="28"/>
        <v>23720.36393</v>
      </c>
      <c r="J84" s="17">
        <f t="shared" si="29"/>
        <v>1993.330255</v>
      </c>
      <c r="K84" s="48">
        <f t="shared" si="30"/>
        <v>5056.476754</v>
      </c>
      <c r="L84" s="19"/>
      <c r="M84" s="4"/>
      <c r="N84" s="4"/>
      <c r="O84" s="4"/>
      <c r="P84" s="4"/>
      <c r="Q84" s="4"/>
      <c r="R84" s="4"/>
      <c r="S84" s="4"/>
      <c r="T84" s="4"/>
      <c r="U84" s="4"/>
      <c r="V84" s="4"/>
      <c r="W84" s="4"/>
      <c r="X84" s="4"/>
      <c r="Y84" s="4"/>
      <c r="Z84" s="4"/>
    </row>
    <row r="85" ht="15.75" customHeight="1">
      <c r="A85" s="45">
        <v>3987.0</v>
      </c>
      <c r="B85" s="46" t="s">
        <v>71</v>
      </c>
      <c r="C85" s="47">
        <v>2259085.0</v>
      </c>
      <c r="D85" s="17">
        <v>857086.0</v>
      </c>
      <c r="E85" s="17">
        <v>363764.0</v>
      </c>
      <c r="F85" s="17">
        <f t="shared" si="25"/>
        <v>3479935</v>
      </c>
      <c r="G85" s="143">
        <f t="shared" si="26"/>
        <v>0.03244962193</v>
      </c>
      <c r="H85" s="17">
        <f t="shared" si="27"/>
        <v>26807.88443</v>
      </c>
      <c r="I85" s="17">
        <f t="shared" si="28"/>
        <v>39377.99032</v>
      </c>
      <c r="J85" s="17">
        <f t="shared" si="29"/>
        <v>3309.111939</v>
      </c>
      <c r="K85" s="48">
        <f t="shared" si="30"/>
        <v>8394.217445</v>
      </c>
      <c r="L85" s="19"/>
      <c r="M85" s="4"/>
      <c r="N85" s="4"/>
      <c r="O85" s="4"/>
      <c r="P85" s="4"/>
      <c r="Q85" s="4"/>
      <c r="R85" s="4"/>
      <c r="S85" s="4"/>
      <c r="T85" s="4"/>
      <c r="U85" s="4"/>
      <c r="V85" s="4"/>
      <c r="W85" s="4"/>
      <c r="X85" s="4"/>
      <c r="Y85" s="4"/>
      <c r="Z85" s="4"/>
    </row>
    <row r="86" ht="15.75" customHeight="1">
      <c r="A86" s="45">
        <v>1523.0</v>
      </c>
      <c r="B86" s="46" t="s">
        <v>72</v>
      </c>
      <c r="C86" s="47">
        <v>1112779.0</v>
      </c>
      <c r="D86" s="17">
        <v>742825.0</v>
      </c>
      <c r="E86" s="17">
        <v>300249.0</v>
      </c>
      <c r="F86" s="17">
        <f t="shared" si="25"/>
        <v>2155853</v>
      </c>
      <c r="G86" s="143">
        <f t="shared" si="26"/>
        <v>0.020102851</v>
      </c>
      <c r="H86" s="17">
        <f t="shared" si="27"/>
        <v>16607.74068</v>
      </c>
      <c r="I86" s="17">
        <f t="shared" si="28"/>
        <v>24395.04145</v>
      </c>
      <c r="J86" s="17">
        <f t="shared" si="29"/>
        <v>2050.026481</v>
      </c>
      <c r="K86" s="48">
        <f t="shared" si="30"/>
        <v>5200.297954</v>
      </c>
      <c r="L86" s="19"/>
      <c r="M86" s="4"/>
      <c r="N86" s="4"/>
      <c r="O86" s="4"/>
      <c r="P86" s="4"/>
      <c r="Q86" s="4"/>
      <c r="R86" s="4"/>
      <c r="S86" s="4"/>
      <c r="T86" s="4"/>
      <c r="U86" s="4"/>
      <c r="V86" s="4"/>
      <c r="W86" s="4"/>
      <c r="X86" s="4"/>
      <c r="Y86" s="4"/>
      <c r="Z86" s="4"/>
    </row>
    <row r="87" ht="15.75" customHeight="1">
      <c r="A87" s="144" t="s">
        <v>10</v>
      </c>
      <c r="B87" s="145"/>
      <c r="C87" s="146">
        <f t="shared" ref="C87:K87" si="31">SUM(C72:C86)</f>
        <v>21552195</v>
      </c>
      <c r="D87" s="146">
        <f t="shared" si="31"/>
        <v>10828579</v>
      </c>
      <c r="E87" s="146">
        <f t="shared" si="31"/>
        <v>7262772</v>
      </c>
      <c r="F87" s="146">
        <f t="shared" si="31"/>
        <v>39643546</v>
      </c>
      <c r="G87" s="149">
        <f t="shared" si="31"/>
        <v>0.3696672724</v>
      </c>
      <c r="H87" s="146">
        <f t="shared" si="31"/>
        <v>305396.3938</v>
      </c>
      <c r="I87" s="146">
        <f t="shared" si="31"/>
        <v>448595.4969</v>
      </c>
      <c r="J87" s="146">
        <f t="shared" si="31"/>
        <v>37697.52348</v>
      </c>
      <c r="K87" s="146">
        <f t="shared" si="31"/>
        <v>95627.23022</v>
      </c>
      <c r="L87" s="4"/>
      <c r="M87" s="4"/>
      <c r="N87" s="4"/>
      <c r="O87" s="4"/>
      <c r="P87" s="4"/>
      <c r="Q87" s="4"/>
      <c r="R87" s="4"/>
      <c r="S87" s="4"/>
      <c r="T87" s="4"/>
      <c r="U87" s="4"/>
      <c r="V87" s="4"/>
      <c r="W87" s="4"/>
      <c r="X87" s="4"/>
      <c r="Y87" s="4"/>
      <c r="Z87" s="4"/>
    </row>
    <row r="88" ht="15.75" customHeight="1">
      <c r="A88" s="4"/>
      <c r="B88" s="4">
        <f>COUNTA(B72:B82)</f>
        <v>11</v>
      </c>
      <c r="C88" s="4"/>
      <c r="D88" s="4"/>
      <c r="E88" s="4"/>
      <c r="H88" s="137"/>
      <c r="I88" s="137"/>
      <c r="J88" s="137"/>
      <c r="K88" s="137"/>
      <c r="L88" s="4"/>
      <c r="M88" s="4"/>
      <c r="N88" s="4"/>
      <c r="O88" s="4"/>
      <c r="P88" s="4"/>
      <c r="Q88" s="4"/>
      <c r="R88" s="4"/>
      <c r="S88" s="4"/>
      <c r="T88" s="4"/>
      <c r="U88" s="4"/>
      <c r="V88" s="4"/>
      <c r="W88" s="4"/>
      <c r="X88" s="4"/>
      <c r="Y88" s="4"/>
      <c r="Z88" s="4"/>
    </row>
    <row r="89" ht="15.75" customHeight="1">
      <c r="A89" s="26"/>
      <c r="B89" s="26"/>
      <c r="C89" s="4"/>
      <c r="D89" s="4"/>
      <c r="E89" s="4"/>
      <c r="F89" s="82" t="s">
        <v>33</v>
      </c>
      <c r="G89" s="138">
        <f>SUM(G72:G86)</f>
        <v>0.3696672724</v>
      </c>
      <c r="H89" s="4"/>
      <c r="I89" s="4"/>
      <c r="J89" s="4"/>
      <c r="K89" s="4"/>
      <c r="L89" s="4"/>
      <c r="M89" s="4"/>
      <c r="N89" s="4"/>
      <c r="O89" s="4"/>
      <c r="P89" s="4"/>
      <c r="Q89" s="4"/>
      <c r="R89" s="4"/>
      <c r="S89" s="4"/>
      <c r="T89" s="4"/>
      <c r="U89" s="4"/>
      <c r="V89" s="4"/>
      <c r="W89" s="4"/>
      <c r="X89" s="4"/>
      <c r="Y89" s="4"/>
      <c r="Z89" s="4"/>
    </row>
    <row r="90" ht="15.75" customHeight="1">
      <c r="A90" s="26"/>
      <c r="B90" s="26"/>
      <c r="C90" s="4"/>
      <c r="D90" s="4"/>
      <c r="E90" s="4"/>
      <c r="F90" s="150"/>
      <c r="G90" s="19"/>
      <c r="H90" s="17" t="s">
        <v>90</v>
      </c>
      <c r="I90" s="17" t="s">
        <v>91</v>
      </c>
      <c r="J90" s="17" t="s">
        <v>92</v>
      </c>
      <c r="K90" s="17" t="s">
        <v>93</v>
      </c>
      <c r="L90" s="4"/>
      <c r="M90" s="4"/>
      <c r="N90" s="4"/>
      <c r="O90" s="4"/>
      <c r="P90" s="4"/>
      <c r="Q90" s="4"/>
      <c r="R90" s="4"/>
      <c r="S90" s="4"/>
      <c r="T90" s="4"/>
      <c r="U90" s="4"/>
      <c r="V90" s="4"/>
      <c r="W90" s="4"/>
      <c r="X90" s="4"/>
      <c r="Y90" s="4"/>
      <c r="Z90" s="4"/>
    </row>
    <row r="91" ht="15.75" customHeight="1">
      <c r="A91" s="26"/>
      <c r="B91" s="26"/>
      <c r="C91" s="4"/>
      <c r="D91" s="4"/>
      <c r="E91" s="151" t="s">
        <v>94</v>
      </c>
      <c r="F91" s="82" t="s">
        <v>95</v>
      </c>
      <c r="G91" s="138">
        <f>SUM(G89,G68,G53,G37)</f>
        <v>0.9976527109</v>
      </c>
      <c r="H91" s="148">
        <f t="shared" ref="H91:K91" si="32">SUM(H87,H66,H51,H35)</f>
        <v>824199.3893</v>
      </c>
      <c r="I91" s="146">
        <f t="shared" si="32"/>
        <v>1210663.066</v>
      </c>
      <c r="J91" s="146">
        <f t="shared" si="32"/>
        <v>101737.5334</v>
      </c>
      <c r="K91" s="152">
        <f t="shared" si="32"/>
        <v>258077.3917</v>
      </c>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2.0"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2.0"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2.0"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2.0"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2.0"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2.0"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2.0"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2.0"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2.0"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2.0"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2.0"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2.0"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2.0"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2.0"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2.0"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2.0"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2.0"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2.0"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2.0"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2.0"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2.0"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2.0"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2.0"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2.0"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2.0"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2.0"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2.0"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2.0"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2.0"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2.0"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2.0"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2.0"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2.0"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2.0"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2.0"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2.0"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2.0"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2.0"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2.0"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2.0"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2.0"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2.0"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2.0"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2.0"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2.0"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2.0"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2.0"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2.0"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2.0"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2.0"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2.0"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2.0"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2.0"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2.0"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2.0"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2.0"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2.0"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2.0"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2.0"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2.0"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2.0"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2.0"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2.0"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2.0"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2.0"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2.0"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2.0"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2.0"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2.0"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2.0"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2.0"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2.0"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2.0"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2.0"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2.0"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2.0"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2.0"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2.0"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2.0"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2.0"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2.0"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2.0"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2.0"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2.0"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2.0"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2.0"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2.0"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2.0"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2.0"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2.0"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2.0"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2.0"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2.0"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2.0"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2.0"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2.0"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2.0"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2.0"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2.0"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2.0"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2.0"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2.0"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2.0"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2.0"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2.0"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2.0"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2.0"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2.0"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2.0"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2.0"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2.0"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2.0"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2.0"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2.0"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2.0"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2.0"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2.0"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2.0"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2.0"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2.0"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2.0"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2.0"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2.0"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2.0"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2.0"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2.0"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2.0"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2.0"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2.0"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2.0"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2.0"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2.0"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2.0"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2.0"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2.0"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2.0"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2.0"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2.0"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2.0"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2.0"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2.0"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2.0"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2.0"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2.0"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2.0"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2.0"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2.0"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2.0"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2.0"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2.0"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2.0"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2.0"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2.0"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2.0"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F1"/>
    <mergeCell ref="K1:N1"/>
    <mergeCell ref="L4:L5"/>
    <mergeCell ref="M4:M5"/>
    <mergeCell ref="M16:O20"/>
    <mergeCell ref="A17:G17"/>
    <mergeCell ref="A19:C19"/>
    <mergeCell ref="A20:B20"/>
    <mergeCell ref="A21:A22"/>
    <mergeCell ref="B21:B22"/>
    <mergeCell ref="C21:F21"/>
    <mergeCell ref="G21:G22"/>
    <mergeCell ref="H21:K21"/>
    <mergeCell ref="A35:B35"/>
    <mergeCell ref="A38:B38"/>
    <mergeCell ref="A39:A40"/>
    <mergeCell ref="B39:B40"/>
    <mergeCell ref="C39:F39"/>
    <mergeCell ref="G39:G40"/>
    <mergeCell ref="H39:K39"/>
    <mergeCell ref="A51:B51"/>
    <mergeCell ref="A69:B69"/>
    <mergeCell ref="A70:A71"/>
    <mergeCell ref="B70:B71"/>
    <mergeCell ref="C70:F70"/>
    <mergeCell ref="G70:G71"/>
    <mergeCell ref="H70:K70"/>
    <mergeCell ref="A87:B87"/>
    <mergeCell ref="A54:B54"/>
    <mergeCell ref="A55:A56"/>
    <mergeCell ref="B55:B56"/>
    <mergeCell ref="C55:F55"/>
    <mergeCell ref="G55:G56"/>
    <mergeCell ref="H55:K55"/>
    <mergeCell ref="A66:B66"/>
  </mergeCells>
  <conditionalFormatting sqref="H91">
    <cfRule type="cellIs" dxfId="1" priority="1" operator="equal">
      <formula>"B13"</formula>
    </cfRule>
  </conditionalFormatting>
  <printOptions/>
  <pageMargins bottom="0.75" footer="0.0" header="0.0" left="0.25" right="0.25" top="0.75"/>
  <pageSetup fitToWidth="0"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51C75"/>
    <outlinePr summaryBelow="0" summaryRight="0"/>
    <pageSetUpPr fitToPage="1"/>
  </sheetPr>
  <sheetViews>
    <sheetView workbookViewId="0"/>
  </sheetViews>
  <sheetFormatPr customHeight="1" defaultColWidth="12.63" defaultRowHeight="15.0"/>
  <cols>
    <col customWidth="1" min="1" max="1" width="12.63"/>
    <col customWidth="1" min="2" max="3" width="7.63"/>
    <col customWidth="1" min="4" max="4" width="9.75"/>
    <col customWidth="1" min="5" max="5" width="9.38"/>
    <col customWidth="1" min="6" max="6" width="8.38"/>
    <col customWidth="1" min="7" max="7" width="13.38"/>
    <col customWidth="1" min="9" max="9" width="11.25"/>
    <col customWidth="1" min="10" max="10" width="6.88"/>
  </cols>
  <sheetData>
    <row r="1" ht="15.75" customHeight="1">
      <c r="A1" s="153" t="s">
        <v>96</v>
      </c>
      <c r="L1" s="154">
        <v>46024.0</v>
      </c>
      <c r="M1" s="155" t="s">
        <v>97</v>
      </c>
      <c r="N1" s="156"/>
      <c r="O1" s="145"/>
      <c r="P1" s="157"/>
      <c r="Q1" s="157"/>
    </row>
    <row r="2" ht="15.75" customHeight="1">
      <c r="G2" s="158"/>
      <c r="H2" s="159"/>
    </row>
    <row r="3" ht="15.75" customHeight="1">
      <c r="A3" s="160"/>
      <c r="J3" s="9"/>
      <c r="L3" s="161" t="s">
        <v>98</v>
      </c>
      <c r="P3" s="9"/>
      <c r="Q3" s="9"/>
      <c r="R3" s="9"/>
      <c r="S3" s="9"/>
      <c r="T3" s="162" t="s">
        <v>99</v>
      </c>
      <c r="X3" s="9"/>
      <c r="Y3" s="9"/>
      <c r="Z3" s="9"/>
      <c r="AA3" s="9"/>
    </row>
    <row r="4" ht="15.75" customHeight="1">
      <c r="A4" s="163" t="s">
        <v>100</v>
      </c>
      <c r="B4" s="164" t="s">
        <v>101</v>
      </c>
      <c r="C4" s="165" t="s">
        <v>102</v>
      </c>
      <c r="D4" s="164" t="s">
        <v>103</v>
      </c>
      <c r="E4" s="164" t="s">
        <v>104</v>
      </c>
      <c r="F4" s="164" t="s">
        <v>105</v>
      </c>
      <c r="G4" s="165" t="s">
        <v>106</v>
      </c>
      <c r="H4" s="164" t="s">
        <v>107</v>
      </c>
      <c r="I4" s="164" t="s">
        <v>108</v>
      </c>
      <c r="J4" s="166" t="s">
        <v>109</v>
      </c>
      <c r="K4" s="9"/>
      <c r="L4" s="167" t="s">
        <v>110</v>
      </c>
      <c r="S4" s="9"/>
      <c r="T4" s="9"/>
      <c r="U4" s="168" t="s">
        <v>111</v>
      </c>
      <c r="V4" s="169" t="s">
        <v>5</v>
      </c>
      <c r="W4" s="169" t="s">
        <v>6</v>
      </c>
      <c r="X4" s="169" t="s">
        <v>8</v>
      </c>
      <c r="Y4" s="9"/>
      <c r="Z4" s="9"/>
      <c r="AA4" s="9"/>
    </row>
    <row r="5" ht="15.75" customHeight="1">
      <c r="A5" s="170"/>
      <c r="B5" s="171"/>
      <c r="C5" s="171"/>
      <c r="D5" s="171"/>
      <c r="E5" s="171"/>
      <c r="F5" s="171"/>
      <c r="G5" s="171"/>
      <c r="H5" s="171"/>
      <c r="I5" s="171"/>
      <c r="J5" s="172"/>
      <c r="K5" s="9"/>
      <c r="L5" s="173" t="s">
        <v>112</v>
      </c>
      <c r="S5" s="9"/>
      <c r="T5" s="9"/>
      <c r="U5" s="174">
        <v>2012.0</v>
      </c>
      <c r="V5" s="60">
        <v>900.0</v>
      </c>
      <c r="W5" s="60">
        <v>125.0</v>
      </c>
      <c r="X5" s="60">
        <v>125.0</v>
      </c>
      <c r="Y5" s="9"/>
      <c r="Z5" s="9"/>
      <c r="AA5" s="9"/>
    </row>
    <row r="6" ht="15.75" customHeight="1">
      <c r="A6" s="175" t="s">
        <v>5</v>
      </c>
      <c r="B6" s="176">
        <f>IFERROR(__xludf.DUMMYFUNCTION("IMPORTRANGE(""https://docs.google.com/spreadsheets/d/16o26avt11eNbQTdY8bgf8e4G4Mskqme1yI30mjRNa-0/edit#gid=1833521013"", ""'GOA Gfish Specs'!I49"")"),27156.0)</f>
        <v>27156</v>
      </c>
      <c r="C6" s="177">
        <v>2800.0</v>
      </c>
      <c r="D6" s="177">
        <f>B6-C6</f>
        <v>24356</v>
      </c>
      <c r="E6" s="177">
        <f>IFERROR(__xludf.DUMMYFUNCTION("IMPORTRANGE(""https://docs.google.com/spreadsheets/d/16o26avt11eNbQTdY8bgf8e4G4Mskqme1yI30mjRNa-0/edit#gid=1833521013"", ""'GOA Other Alloc'!E16"")"),5.0)</f>
        <v>5</v>
      </c>
      <c r="F6" s="178">
        <f>D6-E6</f>
        <v>24351</v>
      </c>
      <c r="G6" s="179" t="s">
        <v>113</v>
      </c>
      <c r="H6" s="180">
        <v>6.2053356E7</v>
      </c>
      <c r="I6" s="181">
        <f>H6/H8</f>
        <v>0.6080272839</v>
      </c>
      <c r="J6" s="182">
        <f t="shared" ref="J6:J7" si="1">$F$6*I6</f>
        <v>14806.07239</v>
      </c>
      <c r="K6" s="9"/>
      <c r="L6" s="173" t="s">
        <v>114</v>
      </c>
      <c r="S6" s="9"/>
      <c r="T6" s="9"/>
      <c r="U6" s="174">
        <v>2013.0</v>
      </c>
      <c r="V6" s="60">
        <v>900.0</v>
      </c>
      <c r="W6" s="60">
        <v>125.0</v>
      </c>
      <c r="X6" s="60">
        <v>200.0</v>
      </c>
      <c r="Y6" s="9"/>
      <c r="Z6" s="9"/>
      <c r="AA6" s="9"/>
    </row>
    <row r="7" ht="15.75" customHeight="1">
      <c r="A7" s="183"/>
      <c r="B7" s="184"/>
      <c r="C7" s="185"/>
      <c r="D7" s="185"/>
      <c r="E7" s="185"/>
      <c r="F7" s="185"/>
      <c r="G7" s="186" t="s">
        <v>115</v>
      </c>
      <c r="H7" s="187">
        <v>4.0003505E7</v>
      </c>
      <c r="I7" s="188">
        <f>H7/H8</f>
        <v>0.3919727161</v>
      </c>
      <c r="J7" s="189">
        <f t="shared" si="1"/>
        <v>9544.927609</v>
      </c>
      <c r="K7" s="9"/>
      <c r="L7" s="190" t="s">
        <v>116</v>
      </c>
      <c r="S7" s="9"/>
      <c r="T7" s="9"/>
      <c r="U7" s="174">
        <v>2014.0</v>
      </c>
      <c r="V7" s="63">
        <v>1200.0</v>
      </c>
      <c r="W7" s="60">
        <v>200.0</v>
      </c>
      <c r="X7" s="60">
        <v>200.0</v>
      </c>
      <c r="Y7" s="9"/>
      <c r="Z7" s="9"/>
      <c r="AA7" s="9"/>
    </row>
    <row r="8" ht="15.75" customHeight="1">
      <c r="A8" s="124"/>
      <c r="B8" s="170"/>
      <c r="C8" s="171"/>
      <c r="D8" s="171"/>
      <c r="E8" s="171"/>
      <c r="F8" s="171"/>
      <c r="G8" s="191" t="s">
        <v>117</v>
      </c>
      <c r="H8" s="192">
        <v>1.02056861E8</v>
      </c>
      <c r="I8" s="193"/>
      <c r="J8" s="194">
        <f>SUM(J6:J7)</f>
        <v>24351</v>
      </c>
      <c r="K8" s="9"/>
      <c r="S8" s="9"/>
      <c r="T8" s="9"/>
      <c r="U8" s="174">
        <v>2015.0</v>
      </c>
      <c r="V8" s="63">
        <v>2000.0</v>
      </c>
      <c r="W8" s="60">
        <v>200.0</v>
      </c>
      <c r="X8" s="60">
        <v>250.0</v>
      </c>
      <c r="Y8" s="9"/>
      <c r="Z8" s="9"/>
      <c r="AA8" s="9"/>
    </row>
    <row r="9" ht="15.75" customHeight="1">
      <c r="A9" s="175" t="s">
        <v>6</v>
      </c>
      <c r="B9" s="195">
        <f>IFERROR(__xludf.DUMMYFUNCTION("IMPORTRANGE(""https://docs.google.com/spreadsheets/d/16o26avt11eNbQTdY8bgf8e4G4Mskqme1yI30mjRNa-0/edit#gid=1833521013"", ""'GOA Gfish Specs'!I55"")"),3549.0)</f>
        <v>3549</v>
      </c>
      <c r="C9" s="177">
        <v>300.0</v>
      </c>
      <c r="D9" s="177">
        <f>IFERROR(__xludf.DUMMYFUNCTION("IMPORTRANGE(""https://docs.google.com/spreadsheets/d/16o26avt11eNbQTdY8bgf8e4G4Mskqme1yI30mjRNa-0/edit#gid=1833521013"", ""'GOA Other Alloc'!D17"")"),3380.0)</f>
        <v>3380</v>
      </c>
      <c r="E9" s="196">
        <f>IFERROR(__xludf.DUMMYFUNCTION("IMPORTRANGE(""https://docs.google.com/spreadsheets/d/16o26avt11eNbQTdY8bgf8e4G4Mskqme1yI30mjRNa-0/edit#gid=1833521013"", ""'GOA Other Alloc'!E16"")"),5.0)</f>
        <v>5</v>
      </c>
      <c r="F9" s="178">
        <f>D9-E9</f>
        <v>3375</v>
      </c>
      <c r="G9" s="186" t="s">
        <v>113</v>
      </c>
      <c r="H9" s="187">
        <v>2.8632008E7</v>
      </c>
      <c r="I9" s="188">
        <f>H9/H11</f>
        <v>0.5992357904</v>
      </c>
      <c r="J9" s="189">
        <f t="shared" ref="J9:J10" si="2">$F$9*I9</f>
        <v>2022.420793</v>
      </c>
      <c r="K9" s="9"/>
      <c r="L9" s="190" t="s">
        <v>118</v>
      </c>
      <c r="S9" s="9"/>
      <c r="T9" s="9"/>
      <c r="U9" s="174">
        <v>2016.0</v>
      </c>
      <c r="V9" s="63">
        <v>1500.0</v>
      </c>
      <c r="W9" s="60">
        <v>300.0</v>
      </c>
      <c r="X9" s="60">
        <v>250.0</v>
      </c>
      <c r="Y9" s="9"/>
      <c r="Z9" s="9"/>
      <c r="AA9" s="9"/>
    </row>
    <row r="10" ht="15.75" customHeight="1">
      <c r="A10" s="183"/>
      <c r="B10" s="184"/>
      <c r="C10" s="185"/>
      <c r="D10" s="185"/>
      <c r="E10" s="185"/>
      <c r="F10" s="185"/>
      <c r="G10" s="186" t="s">
        <v>115</v>
      </c>
      <c r="H10" s="187">
        <v>1.9148863E7</v>
      </c>
      <c r="I10" s="188">
        <f>H10/H11</f>
        <v>0.4007642096</v>
      </c>
      <c r="J10" s="189">
        <f t="shared" si="2"/>
        <v>1352.579207</v>
      </c>
      <c r="K10" s="9"/>
      <c r="L10" s="167" t="s">
        <v>119</v>
      </c>
      <c r="S10" s="9"/>
      <c r="T10" s="9"/>
      <c r="U10" s="174">
        <v>2017.0</v>
      </c>
      <c r="V10" s="63">
        <v>2000.0</v>
      </c>
      <c r="W10" s="60">
        <v>300.0</v>
      </c>
      <c r="X10" s="60">
        <v>250.0</v>
      </c>
      <c r="Y10" s="9"/>
      <c r="Z10" s="9"/>
      <c r="AA10" s="9"/>
    </row>
    <row r="11" ht="15.75" customHeight="1">
      <c r="A11" s="124"/>
      <c r="B11" s="170"/>
      <c r="C11" s="171"/>
      <c r="D11" s="171"/>
      <c r="E11" s="171"/>
      <c r="F11" s="171"/>
      <c r="G11" s="191" t="s">
        <v>117</v>
      </c>
      <c r="H11" s="192">
        <v>4.7780871E7</v>
      </c>
      <c r="I11" s="193"/>
      <c r="J11" s="194">
        <f>SUM(J9:J10)</f>
        <v>3375</v>
      </c>
      <c r="K11" s="9"/>
      <c r="L11" s="190" t="s">
        <v>120</v>
      </c>
      <c r="S11" s="9"/>
      <c r="T11" s="9"/>
      <c r="U11" s="174">
        <v>2018.0</v>
      </c>
      <c r="V11" s="63">
        <v>4000.0</v>
      </c>
      <c r="W11" s="60">
        <v>300.0</v>
      </c>
      <c r="X11" s="60">
        <v>250.0</v>
      </c>
      <c r="Y11" s="9"/>
      <c r="Z11" s="9"/>
      <c r="AA11" s="9"/>
    </row>
    <row r="12" ht="15.75" customHeight="1">
      <c r="A12" s="175" t="s">
        <v>18</v>
      </c>
      <c r="B12" s="195">
        <f>IFERROR(__xludf.DUMMYFUNCTION("IMPORTRANGE(""https://docs.google.com/spreadsheets/d/16o26avt11eNbQTdY8bgf8e4G4Mskqme1yI30mjRNa-0/edit#gid=1833521013"", ""'GOA Gfish Specs'!I63"")"),5527.0)</f>
        <v>5527</v>
      </c>
      <c r="C12" s="177">
        <v>250.0</v>
      </c>
      <c r="D12" s="177">
        <f>IFERROR(__xludf.DUMMYFUNCTION("IMPORTRANGE(""https://docs.google.com/spreadsheets/d/16o26avt11eNbQTdY8bgf8e4G4Mskqme1yI30mjRNa-0/edit#gid=1833521013"", ""'GOA Other Alloc'!D18"")"),5568.0)</f>
        <v>5568</v>
      </c>
      <c r="E12" s="196">
        <v>50.0</v>
      </c>
      <c r="F12" s="178">
        <f>D12-E12</f>
        <v>5518</v>
      </c>
      <c r="G12" s="186" t="s">
        <v>113</v>
      </c>
      <c r="H12" s="187">
        <v>2.0078757E7</v>
      </c>
      <c r="I12" s="188">
        <f>H12/H14</f>
        <v>0.6227464789</v>
      </c>
      <c r="J12" s="189">
        <f t="shared" ref="J12:J13" si="3">$F$12*I12</f>
        <v>3436.31507</v>
      </c>
      <c r="K12" s="9"/>
      <c r="L12" s="9"/>
      <c r="S12" s="9"/>
      <c r="T12" s="9"/>
      <c r="U12" s="174">
        <v>2019.0</v>
      </c>
      <c r="V12" s="63">
        <v>3000.0</v>
      </c>
      <c r="W12" s="60">
        <v>300.0</v>
      </c>
      <c r="X12" s="60">
        <v>250.0</v>
      </c>
      <c r="Y12" s="9"/>
      <c r="Z12" s="9"/>
      <c r="AA12" s="9"/>
    </row>
    <row r="13" ht="15.75" customHeight="1">
      <c r="A13" s="183"/>
      <c r="B13" s="184"/>
      <c r="C13" s="185"/>
      <c r="D13" s="185"/>
      <c r="E13" s="185"/>
      <c r="F13" s="185"/>
      <c r="G13" s="186" t="s">
        <v>115</v>
      </c>
      <c r="H13" s="187">
        <v>1.2163508E7</v>
      </c>
      <c r="I13" s="188">
        <f>H13/H14</f>
        <v>0.3772535211</v>
      </c>
      <c r="J13" s="189">
        <f t="shared" si="3"/>
        <v>2081.68493</v>
      </c>
      <c r="K13" s="9"/>
      <c r="L13" s="9"/>
      <c r="S13" s="9"/>
      <c r="T13" s="9"/>
      <c r="U13" s="174">
        <v>2020.0</v>
      </c>
      <c r="V13" s="63">
        <v>3000.0</v>
      </c>
      <c r="W13" s="60">
        <v>300.0</v>
      </c>
      <c r="X13" s="60">
        <v>250.0</v>
      </c>
      <c r="Y13" s="9"/>
      <c r="Z13" s="9"/>
      <c r="AA13" s="9"/>
    </row>
    <row r="14" ht="15.75" customHeight="1">
      <c r="A14" s="124"/>
      <c r="B14" s="170"/>
      <c r="C14" s="171"/>
      <c r="D14" s="171"/>
      <c r="E14" s="171"/>
      <c r="F14" s="171"/>
      <c r="G14" s="191" t="s">
        <v>117</v>
      </c>
      <c r="H14" s="192">
        <v>3.2242265E7</v>
      </c>
      <c r="I14" s="193"/>
      <c r="J14" s="194">
        <f>SUM(J12:J13)</f>
        <v>5518</v>
      </c>
      <c r="K14" s="9"/>
      <c r="L14" s="9"/>
      <c r="S14" s="9"/>
      <c r="T14" s="9"/>
      <c r="U14" s="174">
        <v>2021.0</v>
      </c>
      <c r="V14" s="63">
        <v>2500.0</v>
      </c>
      <c r="W14" s="60">
        <v>300.0</v>
      </c>
      <c r="X14" s="60">
        <v>250.0</v>
      </c>
      <c r="Y14" s="9"/>
      <c r="Z14" s="9"/>
      <c r="AA14" s="9"/>
    </row>
    <row r="15" ht="15.75" customHeight="1">
      <c r="A15" s="197" t="s">
        <v>121</v>
      </c>
      <c r="B15" s="198"/>
      <c r="C15" s="199"/>
      <c r="D15" s="200">
        <f t="shared" ref="D15:F15" si="4">SUM(D6:D14)</f>
        <v>33304</v>
      </c>
      <c r="E15" s="196">
        <f t="shared" si="4"/>
        <v>60</v>
      </c>
      <c r="F15" s="200">
        <f t="shared" si="4"/>
        <v>33244</v>
      </c>
      <c r="G15" s="186" t="s">
        <v>113</v>
      </c>
      <c r="H15" s="187">
        <v>1.10764121E8</v>
      </c>
      <c r="I15" s="188">
        <f>H15/H17</f>
        <v>0.6083266851</v>
      </c>
      <c r="J15" s="189">
        <f t="shared" ref="J15:J16" si="5">$F$15*I15</f>
        <v>20223.21232</v>
      </c>
      <c r="K15" s="86"/>
      <c r="L15" s="9"/>
      <c r="S15" s="9"/>
      <c r="T15" s="9"/>
      <c r="U15" s="174">
        <v>2022.0</v>
      </c>
      <c r="V15" s="63">
        <v>2500.0</v>
      </c>
      <c r="W15" s="60">
        <v>300.0</v>
      </c>
      <c r="X15" s="60">
        <v>250.0</v>
      </c>
      <c r="Y15" s="9"/>
      <c r="Z15" s="9"/>
      <c r="AA15" s="9"/>
    </row>
    <row r="16" ht="15.75" customHeight="1">
      <c r="A16" s="183"/>
      <c r="B16" s="183"/>
      <c r="C16" s="201"/>
      <c r="D16" s="185"/>
      <c r="E16" s="185"/>
      <c r="F16" s="185"/>
      <c r="G16" s="186" t="s">
        <v>115</v>
      </c>
      <c r="H16" s="187">
        <v>7.1315876E7</v>
      </c>
      <c r="I16" s="188">
        <f>H16/H17</f>
        <v>0.3916733149</v>
      </c>
      <c r="J16" s="189">
        <f t="shared" si="5"/>
        <v>13020.78768</v>
      </c>
      <c r="K16" s="86"/>
      <c r="L16" s="202"/>
      <c r="S16" s="9"/>
      <c r="T16" s="9"/>
      <c r="U16" s="174">
        <v>2023.0</v>
      </c>
      <c r="V16" s="63">
        <v>3000.0</v>
      </c>
      <c r="W16" s="60">
        <v>300.0</v>
      </c>
      <c r="X16" s="60">
        <v>250.0</v>
      </c>
      <c r="Y16" s="9"/>
      <c r="Z16" s="9"/>
      <c r="AA16" s="9"/>
    </row>
    <row r="17" ht="15.75" customHeight="1">
      <c r="A17" s="124"/>
      <c r="B17" s="124"/>
      <c r="C17" s="203"/>
      <c r="D17" s="171"/>
      <c r="E17" s="171"/>
      <c r="F17" s="171"/>
      <c r="G17" s="191" t="s">
        <v>117</v>
      </c>
      <c r="H17" s="192">
        <v>1.82079997E8</v>
      </c>
      <c r="I17" s="193"/>
      <c r="J17" s="194">
        <f>SUM(J15:J16)</f>
        <v>33244</v>
      </c>
      <c r="K17" s="9"/>
      <c r="L17" s="202"/>
      <c r="S17" s="9"/>
      <c r="T17" s="9"/>
      <c r="U17" s="174">
        <v>2024.0</v>
      </c>
      <c r="V17" s="63">
        <v>3500.0</v>
      </c>
      <c r="W17" s="60">
        <v>300.0</v>
      </c>
      <c r="X17" s="60">
        <v>250.0</v>
      </c>
      <c r="Y17" s="9"/>
      <c r="Z17" s="9"/>
      <c r="AA17" s="9"/>
    </row>
    <row r="18" ht="15.75" customHeight="1">
      <c r="A18" s="204"/>
      <c r="B18" s="205"/>
      <c r="C18" s="205"/>
      <c r="D18" s="9"/>
      <c r="E18" s="9"/>
      <c r="F18" s="9"/>
      <c r="G18" s="9"/>
      <c r="H18" s="4"/>
      <c r="I18" s="4"/>
      <c r="J18" s="9"/>
      <c r="O18" s="9"/>
      <c r="P18" s="9"/>
      <c r="Q18" s="9"/>
      <c r="R18" s="9"/>
      <c r="S18" s="9"/>
      <c r="T18" s="206"/>
      <c r="U18" s="207">
        <v>2025.0</v>
      </c>
      <c r="V18" s="208">
        <v>3500.0</v>
      </c>
      <c r="W18" s="208">
        <v>300.0</v>
      </c>
      <c r="X18" s="208">
        <v>250.0</v>
      </c>
      <c r="Y18" s="9"/>
      <c r="Z18" s="9"/>
    </row>
    <row r="19" ht="15.75" customHeight="1">
      <c r="A19" s="209"/>
      <c r="B19" s="209"/>
      <c r="C19" s="209"/>
      <c r="D19" s="209"/>
      <c r="E19" s="209"/>
      <c r="F19" s="209"/>
      <c r="G19" s="209"/>
      <c r="H19" s="9"/>
      <c r="I19" s="9"/>
      <c r="J19" s="9"/>
      <c r="O19" s="9"/>
      <c r="P19" s="9"/>
      <c r="Q19" s="9"/>
      <c r="R19" s="9"/>
      <c r="S19" s="9"/>
      <c r="T19" s="206"/>
      <c r="U19" s="207">
        <v>2026.0</v>
      </c>
      <c r="V19" s="208">
        <v>2800.0</v>
      </c>
      <c r="W19" s="208">
        <v>300.0</v>
      </c>
      <c r="X19" s="208">
        <v>250.0</v>
      </c>
      <c r="Y19" s="9"/>
      <c r="Z19" s="9"/>
    </row>
    <row r="20" ht="15.75" customHeight="1">
      <c r="A20" s="210" t="s">
        <v>122</v>
      </c>
      <c r="H20" s="210"/>
      <c r="I20" s="210"/>
      <c r="J20" s="9"/>
      <c r="O20" s="9"/>
      <c r="P20" s="9"/>
      <c r="Q20" s="9"/>
      <c r="R20" s="9"/>
      <c r="S20" s="9"/>
      <c r="T20" s="206"/>
      <c r="U20" s="9"/>
      <c r="V20" s="9"/>
      <c r="W20" s="9"/>
      <c r="X20" s="9"/>
      <c r="Y20" s="9"/>
      <c r="Z20" s="9"/>
    </row>
    <row r="21" ht="15.75" customHeight="1">
      <c r="A21" s="211" t="s">
        <v>100</v>
      </c>
      <c r="B21" s="212" t="s">
        <v>123</v>
      </c>
      <c r="C21" s="213" t="s">
        <v>124</v>
      </c>
      <c r="D21" s="214"/>
      <c r="E21" s="212" t="s">
        <v>106</v>
      </c>
      <c r="F21" s="215" t="s">
        <v>109</v>
      </c>
      <c r="S21" s="9"/>
      <c r="T21" s="9"/>
      <c r="U21" s="9"/>
      <c r="V21" s="9"/>
      <c r="W21" s="9"/>
      <c r="X21" s="9"/>
      <c r="Y21" s="9"/>
    </row>
    <row r="22" ht="15.75" customHeight="1">
      <c r="A22" s="31" t="s">
        <v>125</v>
      </c>
      <c r="B22" s="216">
        <f>IFERROR(__xludf.DUMMYFUNCTION("IMPORTRANGE(""https://docs.google.com/spreadsheets/d/16o26avt11eNbQTdY8bgf8e4G4Mskqme1yI30mjRNa-0/edit#gid=1014936405"", ""'GOA Fed Cod'!D5"")"),14447.25)</f>
        <v>14447.25</v>
      </c>
      <c r="C22" s="217">
        <v>0.0381</v>
      </c>
      <c r="D22" s="28"/>
      <c r="E22" s="127" t="s">
        <v>126</v>
      </c>
      <c r="F22" s="218">
        <f t="shared" ref="F22:F23" si="6">B22*C22</f>
        <v>550.440225</v>
      </c>
      <c r="H22" s="219"/>
      <c r="I22" s="220"/>
      <c r="J22" s="220"/>
      <c r="K22" s="190"/>
      <c r="L22" s="190"/>
      <c r="M22" s="190"/>
      <c r="N22" s="190"/>
      <c r="O22" s="190"/>
      <c r="P22" s="173"/>
      <c r="Q22" s="173"/>
      <c r="R22" s="173"/>
      <c r="S22" s="9"/>
      <c r="T22" s="9"/>
      <c r="U22" s="9"/>
      <c r="V22" s="9"/>
      <c r="W22" s="9"/>
      <c r="X22" s="9"/>
      <c r="Y22" s="9"/>
    </row>
    <row r="23" ht="15.75" customHeight="1">
      <c r="A23" s="175" t="s">
        <v>83</v>
      </c>
      <c r="B23" s="177">
        <f>IFERROR(__xludf.DUMMYFUNCTION("IMPORTRANGE(""https://docs.google.com/spreadsheets/d/16o26avt11eNbQTdY8bgf8e4G4Mskqme1yI30mjRNa-0/edit#gid=1833521013"", ""'GOA Gfish Specs'!I63"")"),5527.0)</f>
        <v>5527</v>
      </c>
      <c r="C23" s="217">
        <v>0.0678</v>
      </c>
      <c r="D23" s="28"/>
      <c r="E23" s="127" t="s">
        <v>113</v>
      </c>
      <c r="F23" s="218">
        <f t="shared" si="6"/>
        <v>374.7306</v>
      </c>
      <c r="G23" s="221"/>
      <c r="H23" s="9"/>
      <c r="I23" s="9"/>
      <c r="M23" s="222"/>
      <c r="N23" s="9"/>
      <c r="O23" s="9"/>
      <c r="P23" s="9"/>
      <c r="Q23" s="9"/>
      <c r="R23" s="9"/>
      <c r="S23" s="9"/>
      <c r="T23" s="9"/>
      <c r="U23" s="9"/>
      <c r="V23" s="9"/>
      <c r="W23" s="9"/>
      <c r="X23" s="9"/>
      <c r="Y23" s="9"/>
    </row>
    <row r="24" ht="15.75" customHeight="1">
      <c r="A24" s="183"/>
      <c r="B24" s="185"/>
      <c r="C24" s="19">
        <v>0.0351</v>
      </c>
      <c r="E24" s="4" t="s">
        <v>115</v>
      </c>
      <c r="F24" s="223">
        <f>B23*C24</f>
        <v>193.9977</v>
      </c>
      <c r="H24" s="224"/>
      <c r="N24" s="9"/>
      <c r="O24" s="9"/>
      <c r="P24" s="9"/>
      <c r="Q24" s="9"/>
      <c r="R24" s="9"/>
      <c r="S24" s="9"/>
      <c r="T24" s="9"/>
      <c r="U24" s="9"/>
      <c r="V24" s="9"/>
      <c r="W24" s="9"/>
      <c r="X24" s="9"/>
      <c r="Y24" s="9"/>
    </row>
    <row r="25" ht="15.75" customHeight="1">
      <c r="A25" s="124"/>
      <c r="B25" s="171"/>
      <c r="C25" s="225"/>
      <c r="D25" s="226"/>
      <c r="E25" s="34" t="s">
        <v>117</v>
      </c>
      <c r="F25" s="227">
        <f>SUM(F23:F24)</f>
        <v>568.7283</v>
      </c>
      <c r="H25" s="9"/>
      <c r="I25" s="9"/>
      <c r="N25" s="9"/>
      <c r="O25" s="9"/>
      <c r="P25" s="9"/>
      <c r="Q25" s="9"/>
      <c r="R25" s="9"/>
      <c r="S25" s="9"/>
      <c r="T25" s="9"/>
      <c r="U25" s="9"/>
      <c r="V25" s="9"/>
      <c r="W25" s="9"/>
      <c r="X25" s="9"/>
      <c r="Y25" s="9"/>
    </row>
    <row r="26" ht="15.75" customHeight="1">
      <c r="A26" s="31" t="s">
        <v>127</v>
      </c>
      <c r="B26" s="216">
        <f>IFERROR(__xludf.DUMMYFUNCTION("IMPORTRANGE(""https://docs.google.com/spreadsheets/d/16o26avt11eNbQTdY8bgf8e4G4Mskqme1yI30mjRNa-0/edit#gid=1833521013"", ""'GOA Gfish Specs'!I59"")"),189.0)</f>
        <v>189</v>
      </c>
      <c r="C26" s="228">
        <v>0.4</v>
      </c>
      <c r="D26" s="125"/>
      <c r="E26" s="130" t="s">
        <v>128</v>
      </c>
      <c r="F26" s="229">
        <f t="shared" ref="F26:F28" si="7">B26*C26</f>
        <v>75.6</v>
      </c>
      <c r="H26" s="9">
        <f>B26*0.0972</f>
        <v>18.3708</v>
      </c>
      <c r="I26" s="9"/>
      <c r="J26" s="9"/>
      <c r="K26" s="9"/>
      <c r="L26" s="9"/>
      <c r="M26" s="9"/>
      <c r="N26" s="9"/>
      <c r="O26" s="9"/>
      <c r="P26" s="9"/>
      <c r="Q26" s="9"/>
      <c r="R26" s="9"/>
      <c r="S26" s="9"/>
      <c r="T26" s="9"/>
      <c r="U26" s="9"/>
      <c r="V26" s="9"/>
      <c r="W26" s="9"/>
      <c r="X26" s="9"/>
      <c r="Y26" s="9"/>
    </row>
    <row r="27" ht="15.75" customHeight="1">
      <c r="A27" s="31" t="s">
        <v>129</v>
      </c>
      <c r="B27" s="216">
        <f>IFERROR(__xludf.DUMMYFUNCTION("IMPORTRANGE(""https://docs.google.com/spreadsheets/d/16o26avt11eNbQTdY8bgf8e4G4Mskqme1yI30mjRNa-0/edit#gid=1833521013"", ""'GOA Gfish Specs'!I68"")"),366.0)</f>
        <v>366</v>
      </c>
      <c r="C27" s="149">
        <v>0.5887</v>
      </c>
      <c r="D27" s="156"/>
      <c r="E27" s="32" t="s">
        <v>128</v>
      </c>
      <c r="F27" s="230">
        <f t="shared" si="7"/>
        <v>215.4642</v>
      </c>
      <c r="H27" s="9"/>
      <c r="I27" s="9"/>
      <c r="J27" s="9"/>
      <c r="K27" s="9"/>
      <c r="L27" s="9"/>
      <c r="M27" s="9"/>
      <c r="N27" s="9"/>
      <c r="O27" s="9"/>
      <c r="P27" s="9"/>
      <c r="Q27" s="9"/>
      <c r="R27" s="9"/>
      <c r="S27" s="9"/>
      <c r="T27" s="9"/>
      <c r="U27" s="9"/>
      <c r="V27" s="9"/>
      <c r="W27" s="9"/>
      <c r="X27" s="9"/>
      <c r="Y27" s="9"/>
    </row>
    <row r="28" ht="15.75" customHeight="1">
      <c r="A28" s="175" t="s">
        <v>130</v>
      </c>
      <c r="B28" s="177">
        <f>IFERROR(__xludf.DUMMYFUNCTION("IMPORTRANGE(""https://docs.google.com/spreadsheets/d/16o26avt11eNbQTdY8bgf8e4G4Mskqme1yI30mjRNa-0/edit#gid=1833521013"", ""'GOA Gfish Specs'!I75"")"),590.0)</f>
        <v>590</v>
      </c>
      <c r="C28" s="217">
        <v>0.0784</v>
      </c>
      <c r="D28" s="28"/>
      <c r="E28" s="127" t="s">
        <v>113</v>
      </c>
      <c r="F28" s="218">
        <f t="shared" si="7"/>
        <v>46.256</v>
      </c>
      <c r="H28" s="9"/>
      <c r="I28" s="9"/>
      <c r="J28" s="9"/>
      <c r="K28" s="9"/>
      <c r="L28" s="9"/>
      <c r="M28" s="9"/>
      <c r="N28" s="9"/>
      <c r="O28" s="231"/>
      <c r="P28" s="9"/>
      <c r="Q28" s="231"/>
      <c r="R28" s="9"/>
      <c r="S28" s="9"/>
      <c r="T28" s="9"/>
      <c r="U28" s="9"/>
      <c r="V28" s="9"/>
      <c r="W28" s="9"/>
      <c r="X28" s="9"/>
      <c r="Y28" s="9"/>
    </row>
    <row r="29" ht="15.75" customHeight="1">
      <c r="A29" s="183"/>
      <c r="B29" s="185"/>
      <c r="C29" s="19">
        <v>0.265</v>
      </c>
      <c r="E29" s="4" t="s">
        <v>115</v>
      </c>
      <c r="F29" s="223">
        <f>B28*C29</f>
        <v>156.35</v>
      </c>
      <c r="H29" s="9"/>
      <c r="I29" s="9"/>
      <c r="J29" s="9"/>
      <c r="K29" s="9"/>
      <c r="L29" s="9"/>
      <c r="M29" s="9"/>
      <c r="N29" s="9"/>
      <c r="O29" s="231"/>
      <c r="P29" s="9"/>
      <c r="Q29" s="231"/>
      <c r="R29" s="9"/>
      <c r="S29" s="9"/>
      <c r="T29" s="9"/>
      <c r="U29" s="9"/>
      <c r="V29" s="9"/>
      <c r="W29" s="9"/>
      <c r="X29" s="9"/>
      <c r="Y29" s="9"/>
    </row>
    <row r="30" ht="15.75" customHeight="1">
      <c r="A30" s="124"/>
      <c r="B30" s="171"/>
      <c r="C30" s="225"/>
      <c r="D30" s="226"/>
      <c r="E30" s="34" t="s">
        <v>117</v>
      </c>
      <c r="F30" s="227">
        <f>SUM(F28:F29)</f>
        <v>202.606</v>
      </c>
      <c r="H30" s="9"/>
      <c r="I30" s="9"/>
      <c r="J30" s="9"/>
      <c r="K30" s="9"/>
      <c r="L30" s="9"/>
      <c r="M30" s="9"/>
      <c r="N30" s="9"/>
      <c r="O30" s="231"/>
      <c r="P30" s="9"/>
      <c r="Q30" s="231"/>
      <c r="R30" s="9"/>
      <c r="S30" s="9"/>
      <c r="T30" s="9"/>
      <c r="U30" s="9"/>
      <c r="V30" s="9"/>
      <c r="W30" s="9"/>
      <c r="X30" s="9"/>
      <c r="Y30" s="9"/>
    </row>
    <row r="31" ht="16.5" customHeight="1">
      <c r="A31" s="190" t="s">
        <v>131</v>
      </c>
      <c r="G31" s="190"/>
      <c r="H31" s="190"/>
      <c r="I31" s="9"/>
      <c r="J31" s="9"/>
      <c r="K31" s="9"/>
      <c r="L31" s="9"/>
      <c r="M31" s="9"/>
      <c r="N31" s="9"/>
      <c r="O31" s="231"/>
      <c r="P31" s="86"/>
      <c r="Q31" s="231"/>
      <c r="R31" s="9"/>
      <c r="S31" s="9"/>
      <c r="T31" s="9"/>
      <c r="U31" s="9"/>
      <c r="V31" s="9"/>
      <c r="W31" s="9"/>
      <c r="X31" s="9"/>
      <c r="Y31" s="9"/>
    </row>
    <row r="32" ht="16.5" customHeight="1">
      <c r="G32" s="9"/>
      <c r="H32" s="9"/>
      <c r="I32" s="9"/>
      <c r="J32" s="9"/>
      <c r="K32" s="9"/>
      <c r="L32" s="9"/>
      <c r="M32" s="9"/>
      <c r="N32" s="9"/>
      <c r="O32" s="231"/>
      <c r="P32" s="86"/>
      <c r="Q32" s="231"/>
      <c r="R32" s="9"/>
      <c r="S32" s="9"/>
      <c r="T32" s="9"/>
      <c r="U32" s="9"/>
      <c r="V32" s="9"/>
      <c r="W32" s="9"/>
      <c r="X32" s="9"/>
      <c r="Y32" s="9"/>
    </row>
    <row r="33" ht="16.5" customHeight="1">
      <c r="A33" s="4"/>
      <c r="B33" s="4"/>
      <c r="C33" s="4"/>
      <c r="D33" s="4"/>
      <c r="E33" s="9"/>
      <c r="F33" s="9"/>
      <c r="G33" s="9"/>
      <c r="H33" s="9"/>
      <c r="I33" s="9"/>
      <c r="J33" s="9"/>
      <c r="K33" s="9"/>
      <c r="L33" s="9"/>
      <c r="M33" s="9"/>
      <c r="N33" s="9"/>
      <c r="O33" s="231"/>
      <c r="P33" s="86"/>
      <c r="Q33" s="231"/>
      <c r="R33" s="9"/>
      <c r="S33" s="9"/>
      <c r="T33" s="9"/>
      <c r="U33" s="9"/>
      <c r="V33" s="9"/>
      <c r="W33" s="9"/>
      <c r="X33" s="9"/>
      <c r="Y33" s="9"/>
    </row>
    <row r="34" ht="15.75" customHeight="1">
      <c r="A34" s="4"/>
      <c r="B34" s="9"/>
      <c r="C34" s="19"/>
      <c r="D34" s="19"/>
      <c r="E34" s="9"/>
      <c r="F34" s="9"/>
      <c r="G34" s="9"/>
      <c r="H34" s="9"/>
      <c r="I34" s="9"/>
      <c r="J34" s="9"/>
      <c r="K34" s="9"/>
      <c r="L34" s="9"/>
      <c r="M34" s="9"/>
      <c r="N34" s="9"/>
      <c r="O34" s="231"/>
      <c r="P34" s="86"/>
      <c r="Q34" s="231"/>
      <c r="R34" s="9"/>
      <c r="S34" s="9"/>
      <c r="T34" s="9"/>
      <c r="U34" s="9"/>
      <c r="V34" s="9"/>
      <c r="W34" s="9"/>
      <c r="X34" s="9"/>
      <c r="Y34" s="9"/>
    </row>
    <row r="35" ht="15.75" customHeight="1">
      <c r="A35" s="232" t="s">
        <v>132</v>
      </c>
      <c r="G35" s="231"/>
      <c r="H35" s="9"/>
      <c r="I35" s="9"/>
      <c r="J35" s="233"/>
      <c r="K35" s="233"/>
      <c r="L35" s="233"/>
      <c r="M35" s="233"/>
      <c r="N35" s="233"/>
      <c r="O35" s="233"/>
      <c r="P35" s="9"/>
      <c r="Q35" s="9"/>
      <c r="R35" s="9"/>
      <c r="S35" s="9"/>
      <c r="T35" s="9"/>
      <c r="U35" s="9"/>
      <c r="V35" s="9"/>
      <c r="W35" s="9"/>
      <c r="X35" s="9"/>
      <c r="Y35" s="9"/>
    </row>
    <row r="36" ht="15.75" customHeight="1">
      <c r="A36" s="234" t="s">
        <v>100</v>
      </c>
      <c r="B36" s="235" t="s">
        <v>133</v>
      </c>
      <c r="C36" s="236" t="s">
        <v>134</v>
      </c>
      <c r="D36" s="214"/>
      <c r="E36" s="235" t="s">
        <v>106</v>
      </c>
      <c r="F36" s="237" t="s">
        <v>135</v>
      </c>
      <c r="G36" s="231"/>
      <c r="H36" s="9"/>
      <c r="I36" s="9"/>
      <c r="J36" s="233"/>
      <c r="K36" s="233"/>
      <c r="L36" s="233"/>
      <c r="M36" s="233"/>
      <c r="N36" s="233"/>
      <c r="O36" s="233"/>
      <c r="P36" s="9"/>
      <c r="Q36" s="9"/>
      <c r="R36" s="9"/>
      <c r="S36" s="9"/>
      <c r="T36" s="9"/>
      <c r="U36" s="9"/>
      <c r="V36" s="9"/>
      <c r="W36" s="9"/>
      <c r="X36" s="9"/>
      <c r="Y36" s="9"/>
    </row>
    <row r="37" ht="15.75" customHeight="1">
      <c r="A37" s="238" t="s">
        <v>86</v>
      </c>
      <c r="B37" s="4">
        <v>134.1</v>
      </c>
      <c r="C37" s="19">
        <v>0.875</v>
      </c>
      <c r="E37" s="4" t="s">
        <v>113</v>
      </c>
      <c r="F37" s="239">
        <f t="shared" ref="F37:F38" si="8">B37*C37</f>
        <v>117.3375</v>
      </c>
      <c r="G37" s="231"/>
      <c r="H37" s="9"/>
      <c r="I37" s="9"/>
      <c r="J37" s="91"/>
      <c r="K37" s="206"/>
      <c r="L37" s="206"/>
      <c r="M37" s="206"/>
      <c r="N37" s="206"/>
      <c r="O37" s="206"/>
      <c r="P37" s="9"/>
      <c r="Q37" s="9"/>
      <c r="R37" s="9"/>
      <c r="S37" s="9"/>
      <c r="T37" s="9"/>
      <c r="U37" s="9"/>
      <c r="V37" s="9"/>
      <c r="W37" s="9"/>
      <c r="X37" s="9"/>
      <c r="Y37" s="9"/>
    </row>
    <row r="38" ht="15.75" customHeight="1">
      <c r="A38" s="183"/>
      <c r="B38" s="4">
        <v>84.7</v>
      </c>
      <c r="C38" s="19">
        <v>0.875</v>
      </c>
      <c r="E38" s="4" t="s">
        <v>115</v>
      </c>
      <c r="F38" s="239">
        <f t="shared" si="8"/>
        <v>74.1125</v>
      </c>
      <c r="G38" s="9"/>
      <c r="H38" s="9"/>
      <c r="I38" s="9"/>
      <c r="J38" s="91"/>
      <c r="K38" s="206"/>
      <c r="L38" s="206"/>
      <c r="M38" s="206"/>
      <c r="N38" s="206"/>
      <c r="O38" s="206"/>
      <c r="P38" s="9"/>
      <c r="Q38" s="9"/>
      <c r="R38" s="9"/>
      <c r="S38" s="9"/>
      <c r="T38" s="9"/>
      <c r="U38" s="9"/>
      <c r="V38" s="9"/>
      <c r="W38" s="9"/>
      <c r="X38" s="9"/>
      <c r="Y38" s="9"/>
    </row>
    <row r="39" ht="15.75" customHeight="1">
      <c r="A39" s="124"/>
      <c r="B39" s="34">
        <f>SUM(B37:B38)</f>
        <v>218.8</v>
      </c>
      <c r="C39" s="130"/>
      <c r="D39" s="125"/>
      <c r="E39" s="34" t="s">
        <v>117</v>
      </c>
      <c r="F39" s="240">
        <f>SUM(F37:F38)</f>
        <v>191.45</v>
      </c>
      <c r="G39" s="9"/>
      <c r="H39" s="86"/>
      <c r="I39" s="9"/>
      <c r="J39" s="91"/>
      <c r="K39" s="206"/>
      <c r="L39" s="206"/>
      <c r="M39" s="206"/>
      <c r="N39" s="206"/>
      <c r="O39" s="206"/>
      <c r="P39" s="9"/>
      <c r="Q39" s="9"/>
      <c r="R39" s="9"/>
      <c r="S39" s="9"/>
      <c r="T39" s="9"/>
      <c r="U39" s="9"/>
      <c r="V39" s="9"/>
      <c r="W39" s="9"/>
      <c r="X39" s="9"/>
      <c r="Y39" s="9"/>
    </row>
    <row r="40" ht="15.75" customHeight="1">
      <c r="A40" s="241" t="s">
        <v>136</v>
      </c>
      <c r="G40" s="9"/>
      <c r="H40" s="9"/>
      <c r="I40" s="9"/>
      <c r="J40" s="206"/>
      <c r="K40" s="206"/>
      <c r="L40" s="206"/>
      <c r="M40" s="206"/>
      <c r="N40" s="206"/>
      <c r="O40" s="206"/>
      <c r="P40" s="9"/>
      <c r="Q40" s="9"/>
      <c r="R40" s="9"/>
      <c r="S40" s="9"/>
      <c r="T40" s="9"/>
      <c r="U40" s="9"/>
      <c r="V40" s="9"/>
      <c r="W40" s="9"/>
      <c r="X40" s="9"/>
      <c r="Y40" s="9"/>
    </row>
    <row r="41" ht="15.75" customHeight="1">
      <c r="A41" s="9"/>
      <c r="B41" s="9"/>
      <c r="C41" s="9"/>
      <c r="D41" s="9"/>
      <c r="E41" s="9"/>
      <c r="F41" s="9"/>
      <c r="G41" s="9"/>
      <c r="H41" s="9"/>
      <c r="I41" s="9"/>
      <c r="J41" s="206"/>
      <c r="K41" s="206"/>
      <c r="L41" s="206"/>
      <c r="M41" s="206"/>
      <c r="N41" s="206"/>
      <c r="O41" s="206"/>
      <c r="P41" s="9"/>
      <c r="Q41" s="9"/>
      <c r="R41" s="9"/>
      <c r="S41" s="9"/>
      <c r="T41" s="9"/>
      <c r="U41" s="9"/>
      <c r="V41" s="9"/>
      <c r="W41" s="9"/>
      <c r="X41" s="9"/>
      <c r="Y41" s="9"/>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c r="A76" s="9"/>
      <c r="B76" s="9"/>
      <c r="C76" s="9"/>
      <c r="D76" s="9"/>
      <c r="E76" s="9"/>
      <c r="F76" s="9"/>
      <c r="G76" s="9"/>
      <c r="H76" s="9"/>
      <c r="I76" s="9"/>
      <c r="J76" s="9"/>
      <c r="K76" s="9"/>
      <c r="L76" s="9"/>
      <c r="M76" s="9"/>
      <c r="N76" s="9"/>
      <c r="O76" s="9"/>
      <c r="P76" s="9"/>
      <c r="Q76" s="9"/>
      <c r="R76" s="9"/>
      <c r="S76" s="9"/>
      <c r="T76" s="9"/>
      <c r="U76" s="9"/>
      <c r="V76" s="9"/>
      <c r="W76" s="9"/>
      <c r="X76" s="9"/>
      <c r="Y76" s="9"/>
      <c r="Z76" s="9"/>
      <c r="AA76" s="9"/>
    </row>
    <row r="77" ht="15.75" customHeight="1">
      <c r="A77" s="9"/>
      <c r="B77" s="9"/>
      <c r="C77" s="9"/>
      <c r="D77" s="9"/>
      <c r="E77" s="9"/>
      <c r="F77" s="9"/>
      <c r="G77" s="9"/>
      <c r="H77" s="9"/>
      <c r="I77" s="9"/>
      <c r="J77" s="9"/>
      <c r="K77" s="9"/>
      <c r="L77" s="9"/>
      <c r="M77" s="9"/>
      <c r="N77" s="9"/>
      <c r="O77" s="9"/>
      <c r="P77" s="9"/>
      <c r="Q77" s="9"/>
      <c r="R77" s="9"/>
      <c r="S77" s="9"/>
      <c r="T77" s="9"/>
      <c r="U77" s="9"/>
      <c r="V77" s="9"/>
      <c r="W77" s="9"/>
      <c r="X77" s="9"/>
      <c r="Y77" s="9"/>
      <c r="Z77" s="9"/>
      <c r="AA77" s="9"/>
    </row>
    <row r="78" ht="15.75" customHeight="1">
      <c r="A78" s="9"/>
      <c r="B78" s="9"/>
      <c r="C78" s="9"/>
      <c r="D78" s="9"/>
      <c r="E78" s="9"/>
      <c r="F78" s="9"/>
      <c r="G78" s="9"/>
      <c r="H78" s="9"/>
      <c r="I78" s="9"/>
      <c r="J78" s="9"/>
      <c r="K78" s="9"/>
      <c r="L78" s="9"/>
      <c r="M78" s="9"/>
      <c r="N78" s="9"/>
      <c r="O78" s="9"/>
      <c r="P78" s="9"/>
      <c r="Q78" s="9"/>
      <c r="R78" s="9"/>
      <c r="S78" s="9"/>
      <c r="T78" s="9"/>
      <c r="U78" s="9"/>
      <c r="V78" s="9"/>
      <c r="W78" s="9"/>
      <c r="X78" s="9"/>
      <c r="Y78" s="9"/>
      <c r="Z78" s="9"/>
      <c r="AA78" s="9"/>
    </row>
    <row r="79" ht="15.75" customHeight="1">
      <c r="A79" s="9"/>
      <c r="B79" s="9"/>
      <c r="C79" s="9"/>
      <c r="D79" s="9"/>
      <c r="E79" s="9"/>
      <c r="F79" s="9"/>
      <c r="G79" s="9"/>
      <c r="H79" s="9"/>
      <c r="I79" s="9"/>
      <c r="J79" s="9"/>
      <c r="K79" s="9"/>
      <c r="L79" s="9"/>
      <c r="M79" s="9"/>
      <c r="N79" s="9"/>
      <c r="O79" s="9"/>
      <c r="P79" s="9"/>
      <c r="Q79" s="9"/>
      <c r="R79" s="9"/>
      <c r="S79" s="9"/>
      <c r="T79" s="9"/>
      <c r="U79" s="9"/>
      <c r="V79" s="9"/>
      <c r="W79" s="9"/>
      <c r="X79" s="9"/>
      <c r="Y79" s="9"/>
      <c r="Z79" s="9"/>
      <c r="AA79" s="9"/>
    </row>
    <row r="80" ht="15.75" customHeight="1">
      <c r="A80" s="9"/>
      <c r="B80" s="9"/>
      <c r="C80" s="9"/>
      <c r="D80" s="9"/>
      <c r="E80" s="9"/>
      <c r="F80" s="9"/>
      <c r="G80" s="9"/>
      <c r="H80" s="9"/>
      <c r="I80" s="9"/>
      <c r="J80" s="9"/>
      <c r="K80" s="9"/>
      <c r="L80" s="9"/>
      <c r="M80" s="9"/>
      <c r="N80" s="9"/>
      <c r="O80" s="9"/>
      <c r="P80" s="9"/>
      <c r="Q80" s="9"/>
      <c r="R80" s="9"/>
      <c r="S80" s="9"/>
      <c r="T80" s="9"/>
      <c r="U80" s="9"/>
      <c r="V80" s="9"/>
      <c r="W80" s="9"/>
      <c r="X80" s="9"/>
      <c r="Y80" s="9"/>
      <c r="Z80" s="9"/>
      <c r="AA80" s="9"/>
    </row>
    <row r="81" ht="15.75" customHeight="1">
      <c r="A81" s="9"/>
      <c r="B81" s="9"/>
      <c r="C81" s="9"/>
      <c r="D81" s="9"/>
      <c r="E81" s="9"/>
      <c r="F81" s="9"/>
      <c r="G81" s="9"/>
      <c r="H81" s="9"/>
      <c r="I81" s="9"/>
      <c r="J81" s="9"/>
      <c r="K81" s="9"/>
      <c r="L81" s="9"/>
      <c r="M81" s="9"/>
      <c r="N81" s="9"/>
      <c r="O81" s="9"/>
      <c r="P81" s="9"/>
      <c r="Q81" s="9"/>
      <c r="R81" s="9"/>
      <c r="S81" s="9"/>
      <c r="T81" s="9"/>
      <c r="U81" s="9"/>
      <c r="V81" s="9"/>
      <c r="W81" s="9"/>
      <c r="X81" s="9"/>
      <c r="Y81" s="9"/>
      <c r="Z81" s="9"/>
      <c r="AA81" s="9"/>
    </row>
    <row r="82" ht="15.75" customHeight="1">
      <c r="A82" s="9"/>
      <c r="B82" s="9"/>
      <c r="C82" s="9"/>
      <c r="D82" s="9"/>
      <c r="E82" s="9"/>
      <c r="F82" s="9"/>
      <c r="G82" s="9"/>
      <c r="H82" s="9"/>
      <c r="I82" s="9"/>
      <c r="J82" s="9"/>
      <c r="K82" s="9"/>
      <c r="L82" s="9"/>
      <c r="M82" s="9"/>
      <c r="N82" s="9"/>
      <c r="O82" s="9"/>
      <c r="P82" s="9"/>
      <c r="Q82" s="9"/>
      <c r="R82" s="9"/>
      <c r="S82" s="9"/>
      <c r="T82" s="9"/>
      <c r="U82" s="9"/>
      <c r="V82" s="9"/>
      <c r="W82" s="9"/>
      <c r="X82" s="9"/>
      <c r="Y82" s="9"/>
      <c r="Z82" s="9"/>
      <c r="AA82" s="9"/>
    </row>
    <row r="83" ht="15.75" customHeight="1">
      <c r="A83" s="9"/>
      <c r="B83" s="9"/>
      <c r="C83" s="9"/>
      <c r="D83" s="9"/>
      <c r="E83" s="9"/>
      <c r="F83" s="9"/>
      <c r="G83" s="9"/>
      <c r="H83" s="9"/>
      <c r="I83" s="9"/>
      <c r="J83" s="9"/>
      <c r="K83" s="9"/>
      <c r="L83" s="9"/>
      <c r="M83" s="9"/>
      <c r="N83" s="9"/>
      <c r="O83" s="9"/>
      <c r="P83" s="9"/>
      <c r="Q83" s="9"/>
      <c r="R83" s="9"/>
      <c r="S83" s="9"/>
      <c r="T83" s="9"/>
      <c r="U83" s="9"/>
      <c r="V83" s="9"/>
      <c r="W83" s="9"/>
      <c r="X83" s="9"/>
      <c r="Y83" s="9"/>
      <c r="Z83" s="9"/>
      <c r="AA83" s="9"/>
    </row>
    <row r="84" ht="15.75" customHeight="1">
      <c r="A84" s="9"/>
      <c r="B84" s="9"/>
      <c r="C84" s="9"/>
      <c r="D84" s="9"/>
      <c r="E84" s="9"/>
      <c r="F84" s="9"/>
      <c r="G84" s="9"/>
      <c r="H84" s="9"/>
      <c r="I84" s="9"/>
      <c r="J84" s="9"/>
      <c r="K84" s="9"/>
      <c r="L84" s="9"/>
      <c r="M84" s="9"/>
      <c r="N84" s="9"/>
      <c r="O84" s="9"/>
      <c r="P84" s="9"/>
      <c r="Q84" s="9"/>
      <c r="R84" s="9"/>
      <c r="S84" s="9"/>
      <c r="T84" s="9"/>
      <c r="U84" s="9"/>
      <c r="V84" s="9"/>
      <c r="W84" s="9"/>
      <c r="X84" s="9"/>
      <c r="Y84" s="9"/>
      <c r="Z84" s="9"/>
      <c r="AA84" s="9"/>
    </row>
    <row r="85" ht="15.75" customHeight="1">
      <c r="A85" s="9"/>
      <c r="B85" s="9"/>
      <c r="C85" s="9"/>
      <c r="D85" s="9"/>
      <c r="E85" s="9"/>
      <c r="F85" s="9"/>
      <c r="G85" s="9"/>
      <c r="H85" s="9"/>
      <c r="I85" s="9"/>
      <c r="J85" s="9"/>
      <c r="K85" s="9"/>
      <c r="L85" s="9"/>
      <c r="M85" s="9"/>
      <c r="N85" s="9"/>
      <c r="O85" s="9"/>
      <c r="P85" s="9"/>
      <c r="Q85" s="9"/>
      <c r="R85" s="9"/>
      <c r="S85" s="9"/>
      <c r="T85" s="9"/>
      <c r="U85" s="9"/>
      <c r="V85" s="9"/>
      <c r="W85" s="9"/>
      <c r="X85" s="9"/>
      <c r="Y85" s="9"/>
      <c r="Z85" s="9"/>
      <c r="AA85" s="9"/>
    </row>
    <row r="86" ht="15.75" customHeight="1">
      <c r="A86" s="9"/>
      <c r="B86" s="9"/>
      <c r="C86" s="9"/>
      <c r="D86" s="9"/>
      <c r="E86" s="9"/>
      <c r="F86" s="9"/>
      <c r="G86" s="9"/>
      <c r="H86" s="9"/>
      <c r="I86" s="9"/>
      <c r="J86" s="9"/>
      <c r="K86" s="9"/>
      <c r="L86" s="9"/>
      <c r="M86" s="9"/>
      <c r="N86" s="9"/>
      <c r="O86" s="9"/>
      <c r="P86" s="9"/>
      <c r="Q86" s="9"/>
      <c r="R86" s="9"/>
      <c r="S86" s="9"/>
      <c r="T86" s="9"/>
      <c r="U86" s="9"/>
      <c r="V86" s="9"/>
      <c r="W86" s="9"/>
      <c r="X86" s="9"/>
      <c r="Y86" s="9"/>
      <c r="Z86" s="9"/>
      <c r="AA86" s="9"/>
    </row>
    <row r="87" ht="15.75" customHeight="1">
      <c r="A87" s="9"/>
      <c r="B87" s="9"/>
      <c r="C87" s="9"/>
      <c r="D87" s="9"/>
      <c r="E87" s="9"/>
      <c r="F87" s="9"/>
      <c r="G87" s="9"/>
      <c r="H87" s="9"/>
      <c r="I87" s="9"/>
      <c r="J87" s="9"/>
      <c r="K87" s="9"/>
      <c r="L87" s="9"/>
      <c r="M87" s="9"/>
      <c r="N87" s="9"/>
      <c r="O87" s="9"/>
      <c r="P87" s="9"/>
      <c r="Q87" s="9"/>
      <c r="R87" s="9"/>
      <c r="S87" s="9"/>
      <c r="T87" s="9"/>
      <c r="U87" s="9"/>
      <c r="V87" s="9"/>
      <c r="W87" s="9"/>
      <c r="X87" s="9"/>
      <c r="Y87" s="9"/>
      <c r="Z87" s="9"/>
      <c r="AA87" s="9"/>
    </row>
    <row r="88" ht="15.75" customHeight="1">
      <c r="A88" s="9"/>
      <c r="B88" s="9"/>
      <c r="C88" s="9"/>
      <c r="D88" s="9"/>
      <c r="E88" s="9"/>
      <c r="F88" s="9"/>
      <c r="G88" s="9"/>
      <c r="H88" s="9"/>
      <c r="I88" s="9"/>
      <c r="J88" s="9"/>
      <c r="K88" s="9"/>
      <c r="L88" s="9"/>
      <c r="M88" s="9"/>
      <c r="N88" s="9"/>
      <c r="O88" s="9"/>
      <c r="P88" s="9"/>
      <c r="Q88" s="9"/>
      <c r="R88" s="9"/>
      <c r="S88" s="9"/>
      <c r="T88" s="9"/>
      <c r="U88" s="9"/>
      <c r="V88" s="9"/>
      <c r="W88" s="9"/>
      <c r="X88" s="9"/>
      <c r="Y88" s="9"/>
      <c r="Z88" s="9"/>
      <c r="AA88" s="9"/>
    </row>
    <row r="89" ht="15.75" customHeight="1">
      <c r="A89" s="9"/>
      <c r="B89" s="9"/>
      <c r="C89" s="9"/>
      <c r="D89" s="9"/>
      <c r="E89" s="9"/>
      <c r="F89" s="9"/>
      <c r="G89" s="9"/>
      <c r="H89" s="9"/>
      <c r="I89" s="9"/>
      <c r="J89" s="9"/>
      <c r="K89" s="9"/>
      <c r="L89" s="9"/>
      <c r="M89" s="9"/>
      <c r="N89" s="9"/>
      <c r="O89" s="9"/>
      <c r="P89" s="9"/>
      <c r="Q89" s="9"/>
      <c r="R89" s="9"/>
      <c r="S89" s="9"/>
      <c r="T89" s="9"/>
      <c r="U89" s="9"/>
      <c r="V89" s="9"/>
      <c r="W89" s="9"/>
      <c r="X89" s="9"/>
      <c r="Y89" s="9"/>
      <c r="Z89" s="9"/>
      <c r="AA89" s="9"/>
    </row>
    <row r="90" ht="15.75" customHeight="1">
      <c r="A90" s="9"/>
      <c r="B90" s="9"/>
      <c r="C90" s="9"/>
      <c r="D90" s="9"/>
      <c r="E90" s="9"/>
      <c r="F90" s="9"/>
      <c r="G90" s="9"/>
      <c r="H90" s="9"/>
      <c r="I90" s="9"/>
      <c r="J90" s="9"/>
      <c r="K90" s="9"/>
      <c r="L90" s="9"/>
      <c r="M90" s="9"/>
      <c r="N90" s="9"/>
      <c r="O90" s="9"/>
      <c r="P90" s="9"/>
      <c r="Q90" s="9"/>
      <c r="R90" s="9"/>
      <c r="S90" s="9"/>
      <c r="T90" s="9"/>
      <c r="U90" s="9"/>
      <c r="V90" s="9"/>
      <c r="W90" s="9"/>
      <c r="X90" s="9"/>
      <c r="Y90" s="9"/>
      <c r="Z90" s="9"/>
      <c r="AA90" s="9"/>
    </row>
    <row r="91" ht="15.75" customHeight="1">
      <c r="A91" s="9"/>
      <c r="B91" s="9"/>
      <c r="C91" s="9"/>
      <c r="D91" s="9"/>
      <c r="E91" s="9"/>
      <c r="F91" s="9"/>
      <c r="G91" s="9"/>
      <c r="H91" s="9"/>
      <c r="I91" s="9"/>
      <c r="J91" s="9"/>
      <c r="K91" s="9"/>
      <c r="L91" s="9"/>
      <c r="M91" s="9"/>
      <c r="N91" s="9"/>
      <c r="O91" s="9"/>
      <c r="P91" s="9"/>
      <c r="Q91" s="9"/>
      <c r="R91" s="9"/>
      <c r="S91" s="9"/>
      <c r="T91" s="9"/>
      <c r="U91" s="9"/>
      <c r="V91" s="9"/>
      <c r="W91" s="9"/>
      <c r="X91" s="9"/>
      <c r="Y91" s="9"/>
      <c r="Z91" s="9"/>
      <c r="AA91" s="9"/>
    </row>
    <row r="92" ht="15.75" customHeight="1">
      <c r="A92" s="9"/>
      <c r="B92" s="9"/>
      <c r="C92" s="9"/>
      <c r="D92" s="9"/>
      <c r="E92" s="9"/>
      <c r="F92" s="9"/>
      <c r="G92" s="9"/>
      <c r="H92" s="9"/>
      <c r="I92" s="9"/>
      <c r="J92" s="9"/>
      <c r="K92" s="9"/>
      <c r="L92" s="9"/>
      <c r="M92" s="9"/>
      <c r="N92" s="9"/>
      <c r="O92" s="9"/>
      <c r="P92" s="9"/>
      <c r="Q92" s="9"/>
      <c r="R92" s="9"/>
      <c r="S92" s="9"/>
      <c r="T92" s="9"/>
      <c r="U92" s="9"/>
      <c r="V92" s="9"/>
      <c r="W92" s="9"/>
      <c r="X92" s="9"/>
      <c r="Y92" s="9"/>
      <c r="Z92" s="9"/>
      <c r="AA92" s="9"/>
    </row>
    <row r="93" ht="15.75" customHeight="1">
      <c r="A93" s="9"/>
      <c r="B93" s="9"/>
      <c r="C93" s="9"/>
      <c r="D93" s="9"/>
      <c r="E93" s="9"/>
      <c r="F93" s="9"/>
      <c r="G93" s="9"/>
      <c r="H93" s="9"/>
      <c r="I93" s="9"/>
      <c r="J93" s="9"/>
      <c r="K93" s="9"/>
      <c r="L93" s="9"/>
      <c r="M93" s="9"/>
      <c r="N93" s="9"/>
      <c r="O93" s="9"/>
      <c r="P93" s="9"/>
      <c r="Q93" s="9"/>
      <c r="R93" s="9"/>
      <c r="S93" s="9"/>
      <c r="T93" s="9"/>
      <c r="U93" s="9"/>
      <c r="V93" s="9"/>
      <c r="W93" s="9"/>
      <c r="X93" s="9"/>
      <c r="Y93" s="9"/>
      <c r="Z93" s="9"/>
      <c r="AA93" s="9"/>
    </row>
    <row r="94" ht="15.75" customHeight="1">
      <c r="A94" s="9"/>
      <c r="B94" s="9"/>
      <c r="C94" s="9"/>
      <c r="D94" s="9"/>
      <c r="E94" s="9"/>
      <c r="F94" s="9"/>
      <c r="G94" s="9"/>
      <c r="H94" s="9"/>
      <c r="I94" s="9"/>
      <c r="J94" s="9"/>
      <c r="K94" s="9"/>
      <c r="L94" s="9"/>
      <c r="M94" s="9"/>
      <c r="N94" s="9"/>
      <c r="O94" s="9"/>
      <c r="P94" s="9"/>
      <c r="Q94" s="9"/>
      <c r="R94" s="9"/>
      <c r="S94" s="9"/>
      <c r="T94" s="9"/>
      <c r="U94" s="9"/>
      <c r="V94" s="9"/>
      <c r="W94" s="9"/>
      <c r="X94" s="9"/>
      <c r="Y94" s="9"/>
      <c r="Z94" s="9"/>
      <c r="AA94" s="9"/>
    </row>
    <row r="95" ht="15.75" customHeight="1">
      <c r="A95" s="9"/>
      <c r="B95" s="9"/>
      <c r="C95" s="9"/>
      <c r="D95" s="9"/>
      <c r="E95" s="9"/>
      <c r="F95" s="9"/>
      <c r="G95" s="9"/>
      <c r="H95" s="9"/>
      <c r="I95" s="9"/>
      <c r="J95" s="9"/>
      <c r="K95" s="9"/>
      <c r="L95" s="9"/>
      <c r="M95" s="9"/>
      <c r="N95" s="9"/>
      <c r="O95" s="9"/>
      <c r="P95" s="9"/>
      <c r="Q95" s="9"/>
      <c r="R95" s="9"/>
      <c r="S95" s="9"/>
      <c r="T95" s="9"/>
      <c r="U95" s="9"/>
      <c r="V95" s="9"/>
      <c r="W95" s="9"/>
      <c r="X95" s="9"/>
      <c r="Y95" s="9"/>
      <c r="Z95" s="9"/>
      <c r="AA95" s="9"/>
    </row>
    <row r="96" ht="15.75" customHeight="1">
      <c r="A96" s="9"/>
      <c r="B96" s="9"/>
      <c r="C96" s="9"/>
      <c r="D96" s="9"/>
      <c r="E96" s="9"/>
      <c r="F96" s="9"/>
      <c r="G96" s="9"/>
      <c r="H96" s="9"/>
      <c r="I96" s="9"/>
      <c r="J96" s="9"/>
      <c r="K96" s="9"/>
      <c r="L96" s="9"/>
      <c r="M96" s="9"/>
      <c r="N96" s="9"/>
      <c r="O96" s="9"/>
      <c r="P96" s="9"/>
      <c r="Q96" s="9"/>
      <c r="R96" s="9"/>
      <c r="S96" s="9"/>
      <c r="T96" s="9"/>
      <c r="U96" s="9"/>
      <c r="V96" s="9"/>
      <c r="W96" s="9"/>
      <c r="X96" s="9"/>
      <c r="Y96" s="9"/>
      <c r="Z96" s="9"/>
      <c r="AA96" s="9"/>
    </row>
    <row r="97" ht="15.75" customHeight="1">
      <c r="A97" s="9"/>
      <c r="B97" s="9"/>
      <c r="C97" s="9"/>
      <c r="D97" s="9"/>
      <c r="E97" s="9"/>
      <c r="F97" s="9"/>
      <c r="G97" s="9"/>
      <c r="H97" s="9"/>
      <c r="I97" s="9"/>
      <c r="J97" s="9"/>
      <c r="K97" s="9"/>
      <c r="L97" s="9"/>
      <c r="M97" s="9"/>
      <c r="N97" s="9"/>
      <c r="O97" s="9"/>
      <c r="P97" s="9"/>
      <c r="Q97" s="9"/>
      <c r="R97" s="9"/>
      <c r="S97" s="9"/>
      <c r="T97" s="9"/>
      <c r="U97" s="9"/>
      <c r="V97" s="9"/>
      <c r="W97" s="9"/>
      <c r="X97" s="9"/>
      <c r="Y97" s="9"/>
      <c r="Z97" s="9"/>
      <c r="AA97" s="9"/>
    </row>
    <row r="98" ht="15.75" customHeight="1">
      <c r="A98" s="9"/>
      <c r="B98" s="9"/>
      <c r="C98" s="9"/>
      <c r="D98" s="9"/>
      <c r="E98" s="9"/>
      <c r="F98" s="9"/>
      <c r="G98" s="9"/>
      <c r="H98" s="9"/>
      <c r="I98" s="9"/>
      <c r="J98" s="9"/>
      <c r="K98" s="9"/>
      <c r="L98" s="9"/>
      <c r="M98" s="9"/>
      <c r="N98" s="9"/>
      <c r="O98" s="9"/>
      <c r="P98" s="9"/>
      <c r="Q98" s="9"/>
      <c r="R98" s="9"/>
      <c r="S98" s="9"/>
      <c r="T98" s="9"/>
      <c r="U98" s="9"/>
      <c r="V98" s="9"/>
      <c r="W98" s="9"/>
      <c r="X98" s="9"/>
      <c r="Y98" s="9"/>
      <c r="Z98" s="9"/>
      <c r="AA98" s="9"/>
    </row>
    <row r="99" ht="15.75" customHeight="1">
      <c r="I99" s="9"/>
      <c r="J99" s="9"/>
      <c r="K99" s="9"/>
      <c r="L99" s="9"/>
      <c r="M99" s="9"/>
      <c r="N99" s="9"/>
      <c r="O99" s="9"/>
      <c r="P99" s="9"/>
      <c r="Q99" s="9"/>
      <c r="R99" s="9"/>
      <c r="S99" s="9"/>
      <c r="T99" s="9"/>
      <c r="U99" s="9"/>
      <c r="V99" s="9"/>
      <c r="W99" s="9"/>
      <c r="X99" s="9"/>
      <c r="Y99" s="9"/>
      <c r="Z99" s="9"/>
      <c r="AA99" s="9"/>
    </row>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3">
    <mergeCell ref="B15:C17"/>
    <mergeCell ref="D15:D17"/>
    <mergeCell ref="E15:E17"/>
    <mergeCell ref="F15:F17"/>
    <mergeCell ref="A12:A14"/>
    <mergeCell ref="B12:B14"/>
    <mergeCell ref="C12:C14"/>
    <mergeCell ref="D12:D14"/>
    <mergeCell ref="E12:E14"/>
    <mergeCell ref="F12:F14"/>
    <mergeCell ref="A15:A17"/>
    <mergeCell ref="A20:F20"/>
    <mergeCell ref="C21:D21"/>
    <mergeCell ref="C22:D22"/>
    <mergeCell ref="A23:A25"/>
    <mergeCell ref="B23:B25"/>
    <mergeCell ref="C23:D23"/>
    <mergeCell ref="C24:D24"/>
    <mergeCell ref="C25:D25"/>
    <mergeCell ref="C26:D26"/>
    <mergeCell ref="C27:D27"/>
    <mergeCell ref="A28:A30"/>
    <mergeCell ref="B28:B30"/>
    <mergeCell ref="C28:D28"/>
    <mergeCell ref="C29:D29"/>
    <mergeCell ref="C39:D39"/>
    <mergeCell ref="A40:F40"/>
    <mergeCell ref="C30:D30"/>
    <mergeCell ref="A31:F32"/>
    <mergeCell ref="A35:F35"/>
    <mergeCell ref="C36:D36"/>
    <mergeCell ref="A37:A39"/>
    <mergeCell ref="C37:D37"/>
    <mergeCell ref="C38:D38"/>
    <mergeCell ref="F4:F5"/>
    <mergeCell ref="G4:G5"/>
    <mergeCell ref="H4:H5"/>
    <mergeCell ref="I4:I5"/>
    <mergeCell ref="A1:H1"/>
    <mergeCell ref="M1:O1"/>
    <mergeCell ref="A3:I3"/>
    <mergeCell ref="T3:W3"/>
    <mergeCell ref="A4:A5"/>
    <mergeCell ref="B4:B5"/>
    <mergeCell ref="C4:C5"/>
    <mergeCell ref="D4:D5"/>
    <mergeCell ref="E4:E5"/>
    <mergeCell ref="B6:B8"/>
    <mergeCell ref="C6:C8"/>
    <mergeCell ref="D6:D8"/>
    <mergeCell ref="E6:E8"/>
    <mergeCell ref="F6:F8"/>
    <mergeCell ref="A6:A8"/>
    <mergeCell ref="A9:A11"/>
    <mergeCell ref="B9:B11"/>
    <mergeCell ref="C9:C11"/>
    <mergeCell ref="D9:D11"/>
    <mergeCell ref="E9:E11"/>
    <mergeCell ref="F9:F11"/>
    <mergeCell ref="L11:R11"/>
    <mergeCell ref="L12:R12"/>
    <mergeCell ref="L13:R13"/>
    <mergeCell ref="L14:R14"/>
    <mergeCell ref="L15:R15"/>
    <mergeCell ref="L16:R16"/>
    <mergeCell ref="L17:R17"/>
    <mergeCell ref="J4:J5"/>
    <mergeCell ref="L4:R4"/>
    <mergeCell ref="L5:R5"/>
    <mergeCell ref="L6:R6"/>
    <mergeCell ref="L7:R8"/>
    <mergeCell ref="L9:R9"/>
    <mergeCell ref="L10:R10"/>
  </mergeCells>
  <hyperlinks>
    <hyperlink r:id="rId2" location="gid=1833521013" ref="L4"/>
    <hyperlink r:id="rId3" location="gid=1014936405" ref="L10"/>
  </hyperlinks>
  <printOptions horizontalCentered="1"/>
  <pageMargins bottom="0.75" footer="0.0" header="0.0" left="0.7" right="0.7" top="0.75"/>
  <pageSetup fitToWidth="0" orientation="portrait" pageOrder="overThenDown"/>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6923C"/>
    <pageSetUpPr/>
  </sheetPr>
  <sheetViews>
    <sheetView workbookViewId="0"/>
  </sheetViews>
  <sheetFormatPr customHeight="1" defaultColWidth="12.63" defaultRowHeight="15.0"/>
  <cols>
    <col customWidth="1" min="1" max="1" width="11.38"/>
    <col customWidth="1" min="2" max="2" width="12.25"/>
    <col customWidth="1" min="3" max="3" width="12.0"/>
    <col customWidth="1" min="4" max="4" width="12.25"/>
    <col customWidth="1" min="5" max="5" width="11.63"/>
    <col customWidth="1" min="6" max="6" width="12.38"/>
    <col customWidth="1" min="7" max="7" width="11.38"/>
    <col customWidth="1" min="8" max="8" width="6.0"/>
    <col customWidth="1" min="9" max="9" width="12.25"/>
    <col customWidth="1" min="10" max="10" width="11.25"/>
    <col customWidth="1" min="11" max="11" width="9.25"/>
    <col customWidth="1" min="12" max="12" width="9.88"/>
    <col customWidth="1" min="13" max="13" width="9.38"/>
    <col customWidth="1" min="14" max="14" width="9.0"/>
    <col customWidth="1" min="15" max="15" width="8.13"/>
    <col customWidth="1" min="16" max="16" width="8.63"/>
    <col customWidth="1" min="17" max="17" width="2.25"/>
    <col customWidth="1" min="18" max="18" width="12.0"/>
    <col customWidth="1" min="19" max="19" width="9.88"/>
    <col customWidth="1" min="20" max="20" width="9.63"/>
    <col customWidth="1" min="21" max="21" width="10.0"/>
    <col customWidth="1" min="22" max="22" width="10.38"/>
    <col customWidth="1" min="23" max="23" width="7.88"/>
    <col customWidth="1" min="24" max="24" width="11.63"/>
    <col customWidth="1" min="25" max="25" width="12.63"/>
    <col customWidth="1" min="26" max="26" width="10.75"/>
  </cols>
  <sheetData>
    <row r="1" ht="12.0" customHeight="1">
      <c r="A1" s="1" t="s">
        <v>137</v>
      </c>
      <c r="E1" s="242" t="s">
        <v>138</v>
      </c>
      <c r="F1" s="243"/>
      <c r="G1" s="243"/>
      <c r="H1" s="243"/>
      <c r="I1" s="244">
        <v>2204.62</v>
      </c>
      <c r="J1" s="4"/>
      <c r="K1" s="6" t="s">
        <v>139</v>
      </c>
      <c r="L1" s="7"/>
      <c r="M1" s="7"/>
      <c r="N1" s="8"/>
      <c r="O1" s="4"/>
      <c r="P1" s="4"/>
      <c r="Q1" s="4"/>
      <c r="R1" s="4"/>
      <c r="S1" s="4"/>
      <c r="T1" s="4"/>
      <c r="U1" s="4"/>
      <c r="V1" s="4"/>
      <c r="W1" s="4"/>
      <c r="X1" s="4"/>
      <c r="Y1" s="4"/>
      <c r="Z1" s="4"/>
    </row>
    <row r="2" ht="12.0" customHeight="1">
      <c r="A2" s="9"/>
      <c r="B2" s="9"/>
      <c r="C2" s="4"/>
      <c r="D2" s="4"/>
      <c r="E2" s="242"/>
      <c r="F2" s="243"/>
      <c r="G2" s="243"/>
      <c r="H2" s="243"/>
      <c r="I2" s="4"/>
      <c r="J2" s="4"/>
      <c r="K2" s="4"/>
      <c r="L2" s="4"/>
      <c r="M2" s="4"/>
      <c r="N2" s="4"/>
      <c r="O2" s="4"/>
      <c r="P2" s="4"/>
      <c r="Q2" s="4"/>
      <c r="R2" s="4"/>
      <c r="S2" s="4"/>
      <c r="T2" s="4"/>
      <c r="U2" s="4"/>
      <c r="V2" s="4"/>
      <c r="W2" s="4"/>
      <c r="X2" s="4"/>
      <c r="Y2" s="4"/>
      <c r="Z2" s="4"/>
    </row>
    <row r="3" ht="12.0" customHeight="1">
      <c r="A3" s="245" t="s">
        <v>140</v>
      </c>
      <c r="B3" s="125"/>
      <c r="C3" s="4"/>
      <c r="D3" s="4"/>
      <c r="E3" s="4"/>
      <c r="F3" s="4"/>
      <c r="G3" s="4"/>
      <c r="H3" s="4"/>
      <c r="I3" s="246" t="s">
        <v>141</v>
      </c>
      <c r="J3" s="130"/>
      <c r="K3" s="130"/>
      <c r="L3" s="130"/>
      <c r="M3" s="130"/>
      <c r="N3" s="130"/>
      <c r="O3" s="130"/>
      <c r="P3" s="130"/>
      <c r="Q3" s="4"/>
      <c r="R3" s="4"/>
      <c r="S3" s="4"/>
      <c r="T3" s="4"/>
      <c r="U3" s="4"/>
      <c r="V3" s="4"/>
      <c r="W3" s="4"/>
      <c r="X3" s="4"/>
      <c r="Y3" s="4"/>
      <c r="Z3" s="4"/>
    </row>
    <row r="4" ht="12.0" customHeight="1">
      <c r="A4" s="247" t="s">
        <v>142</v>
      </c>
      <c r="B4" s="32" t="s">
        <v>5</v>
      </c>
      <c r="C4" s="32" t="s">
        <v>6</v>
      </c>
      <c r="D4" s="32" t="s">
        <v>8</v>
      </c>
      <c r="E4" s="84" t="s">
        <v>10</v>
      </c>
      <c r="F4" s="4"/>
      <c r="G4" s="4"/>
      <c r="H4" s="4"/>
      <c r="I4" s="248" t="s">
        <v>142</v>
      </c>
      <c r="J4" s="249" t="s">
        <v>5</v>
      </c>
      <c r="K4" s="249" t="s">
        <v>6</v>
      </c>
      <c r="L4" s="249" t="s">
        <v>18</v>
      </c>
      <c r="M4" s="249" t="s">
        <v>143</v>
      </c>
      <c r="N4" s="249" t="s">
        <v>144</v>
      </c>
      <c r="O4" s="249" t="s">
        <v>145</v>
      </c>
      <c r="P4" s="250" t="s">
        <v>146</v>
      </c>
      <c r="Q4" s="4"/>
      <c r="R4" s="248" t="s">
        <v>147</v>
      </c>
      <c r="S4" s="251" t="s">
        <v>148</v>
      </c>
      <c r="T4" s="251" t="s">
        <v>149</v>
      </c>
      <c r="U4" s="251" t="s">
        <v>150</v>
      </c>
      <c r="V4" s="251" t="s">
        <v>151</v>
      </c>
      <c r="W4" s="251" t="s">
        <v>152</v>
      </c>
      <c r="X4" s="251" t="s">
        <v>153</v>
      </c>
      <c r="Y4" s="251" t="s">
        <v>154</v>
      </c>
      <c r="Z4" s="252" t="s">
        <v>155</v>
      </c>
    </row>
    <row r="5" ht="12.0" customHeight="1">
      <c r="A5" s="253" t="s">
        <v>156</v>
      </c>
      <c r="B5" s="41">
        <f>'CV Coop LLP Primary Alloc'!C22</f>
        <v>16058147</v>
      </c>
      <c r="C5" s="41">
        <f>'CV Coop LLP Primary Alloc'!D22</f>
        <v>6569492</v>
      </c>
      <c r="D5" s="41">
        <f>'CV Coop LLP Primary Alloc'!E22</f>
        <v>4304318</v>
      </c>
      <c r="E5" s="42">
        <f t="shared" ref="E5:E8" si="1">SUM(B5:D5)</f>
        <v>26931957</v>
      </c>
      <c r="F5" s="4"/>
      <c r="G5" s="4"/>
      <c r="H5" s="4"/>
      <c r="I5" s="27" t="s">
        <v>157</v>
      </c>
      <c r="J5" s="254">
        <v>3978.241</v>
      </c>
      <c r="K5" s="254">
        <v>474.254</v>
      </c>
      <c r="L5" s="254">
        <v>754.885</v>
      </c>
      <c r="M5" s="254">
        <v>164.359</v>
      </c>
      <c r="N5" s="254">
        <v>145.774</v>
      </c>
      <c r="O5" s="254">
        <v>11.507</v>
      </c>
      <c r="P5" s="255">
        <v>29.182</v>
      </c>
      <c r="Q5" s="4"/>
      <c r="R5" s="27" t="s">
        <v>157</v>
      </c>
      <c r="S5" s="44">
        <f t="shared" ref="S5:S9" si="2">J5</f>
        <v>3978.241</v>
      </c>
      <c r="T5" s="217">
        <f t="shared" ref="T5:T9" si="3">S5/$S$10</f>
        <v>0.2648505023</v>
      </c>
      <c r="U5" s="44">
        <f t="shared" ref="U5:U9" si="4">K5</f>
        <v>474.254</v>
      </c>
      <c r="V5" s="217">
        <f t="shared" ref="V5:V9" si="5">U5/$U$10</f>
        <v>0.2344983903</v>
      </c>
      <c r="W5" s="44">
        <f t="shared" ref="W5:W9" si="6">L5</f>
        <v>754.885</v>
      </c>
      <c r="X5" s="217">
        <f t="shared" ref="X5:X9" si="7">W5/$W$10</f>
        <v>0.2196787662</v>
      </c>
      <c r="Y5" s="44">
        <f t="shared" ref="Y5:Y9" si="8">SUM(J5:L5)</f>
        <v>5207.38</v>
      </c>
      <c r="Z5" s="256">
        <f t="shared" ref="Z5:Z9" si="9">Y5/$Y$10</f>
        <v>0.254273604</v>
      </c>
    </row>
    <row r="6" ht="12.0" customHeight="1">
      <c r="A6" s="257" t="s">
        <v>158</v>
      </c>
      <c r="B6" s="17">
        <f>'CV Coop LLP Primary Alloc'!C40</f>
        <v>9927300</v>
      </c>
      <c r="C6" s="17">
        <f>'CV Coop LLP Primary Alloc'!D40</f>
        <v>3937558</v>
      </c>
      <c r="D6" s="17">
        <f>'CV Coop LLP Primary Alloc'!E40</f>
        <v>3185813</v>
      </c>
      <c r="E6" s="48">
        <f t="shared" si="1"/>
        <v>17050671</v>
      </c>
      <c r="F6" s="4"/>
      <c r="G6" s="4"/>
      <c r="H6" s="4"/>
      <c r="I6" s="36" t="s">
        <v>158</v>
      </c>
      <c r="J6" s="137">
        <v>2527.059</v>
      </c>
      <c r="K6" s="137">
        <v>291.378</v>
      </c>
      <c r="L6" s="137">
        <v>565.949</v>
      </c>
      <c r="M6" s="137">
        <v>106.588</v>
      </c>
      <c r="N6" s="137">
        <v>94.536</v>
      </c>
      <c r="O6" s="137">
        <v>7.462</v>
      </c>
      <c r="P6" s="258">
        <v>18.925</v>
      </c>
      <c r="Q6" s="4"/>
      <c r="R6" s="36" t="s">
        <v>158</v>
      </c>
      <c r="S6" s="49">
        <f t="shared" si="2"/>
        <v>2527.059</v>
      </c>
      <c r="T6" s="19">
        <f t="shared" si="3"/>
        <v>0.1682383862</v>
      </c>
      <c r="U6" s="49">
        <f t="shared" si="4"/>
        <v>291.378</v>
      </c>
      <c r="V6" s="19">
        <f t="shared" si="5"/>
        <v>0.1440740025</v>
      </c>
      <c r="W6" s="49">
        <f t="shared" si="6"/>
        <v>565.949</v>
      </c>
      <c r="X6" s="19">
        <f t="shared" si="7"/>
        <v>0.1646965803</v>
      </c>
      <c r="Y6" s="49">
        <f t="shared" si="8"/>
        <v>3384.386</v>
      </c>
      <c r="Z6" s="78">
        <f t="shared" si="9"/>
        <v>0.1652577737</v>
      </c>
    </row>
    <row r="7" ht="12.0" customHeight="1">
      <c r="A7" s="257" t="s">
        <v>47</v>
      </c>
      <c r="B7" s="17">
        <f>'CV Coop LLP Primary Alloc'!C57</f>
        <v>12462620</v>
      </c>
      <c r="C7" s="17">
        <f>'CV Coop LLP Primary Alloc'!D57</f>
        <v>6418765</v>
      </c>
      <c r="D7" s="17">
        <f>'CV Coop LLP Primary Alloc'!E57</f>
        <v>4733598</v>
      </c>
      <c r="E7" s="48">
        <f t="shared" si="1"/>
        <v>23614983</v>
      </c>
      <c r="F7" s="4"/>
      <c r="G7" s="4"/>
      <c r="H7" s="4"/>
      <c r="I7" s="36" t="s">
        <v>47</v>
      </c>
      <c r="J7" s="137">
        <v>3119.942</v>
      </c>
      <c r="K7" s="137">
        <v>467.725</v>
      </c>
      <c r="L7" s="137">
        <v>834.738</v>
      </c>
      <c r="M7" s="137">
        <v>145.476</v>
      </c>
      <c r="N7" s="137">
        <v>129.026</v>
      </c>
      <c r="O7" s="137">
        <v>10.185</v>
      </c>
      <c r="P7" s="258">
        <v>25.829</v>
      </c>
      <c r="Q7" s="4"/>
      <c r="R7" s="36" t="s">
        <v>47</v>
      </c>
      <c r="S7" s="49">
        <f t="shared" si="2"/>
        <v>3119.942</v>
      </c>
      <c r="T7" s="19">
        <f t="shared" si="3"/>
        <v>0.2077094389</v>
      </c>
      <c r="U7" s="49">
        <f t="shared" si="4"/>
        <v>467.725</v>
      </c>
      <c r="V7" s="19">
        <f t="shared" si="5"/>
        <v>0.2312700781</v>
      </c>
      <c r="W7" s="49">
        <f t="shared" si="6"/>
        <v>834.738</v>
      </c>
      <c r="X7" s="19">
        <f t="shared" si="7"/>
        <v>0.2429167541</v>
      </c>
      <c r="Y7" s="49">
        <f t="shared" si="8"/>
        <v>4422.405</v>
      </c>
      <c r="Z7" s="78">
        <f t="shared" si="9"/>
        <v>0.215943691</v>
      </c>
    </row>
    <row r="8" ht="12.0" customHeight="1">
      <c r="A8" s="257" t="s">
        <v>89</v>
      </c>
      <c r="B8" s="17">
        <f>'CV Coop LLP Primary Alloc'!C80</f>
        <v>21552195</v>
      </c>
      <c r="C8" s="17">
        <f>'CV Coop LLP Primary Alloc'!D80</f>
        <v>10828579</v>
      </c>
      <c r="D8" s="17">
        <f>'CV Coop LLP Primary Alloc'!E80</f>
        <v>7262772</v>
      </c>
      <c r="E8" s="48">
        <f t="shared" si="1"/>
        <v>39643546</v>
      </c>
      <c r="F8" s="4"/>
      <c r="G8" s="4"/>
      <c r="H8" s="4"/>
      <c r="I8" s="36" t="s">
        <v>89</v>
      </c>
      <c r="J8" s="137">
        <v>5395.462</v>
      </c>
      <c r="K8" s="137">
        <v>789.062</v>
      </c>
      <c r="L8" s="137">
        <v>1280.741</v>
      </c>
      <c r="M8" s="137">
        <v>244.218</v>
      </c>
      <c r="N8" s="137">
        <v>216.602</v>
      </c>
      <c r="O8" s="137">
        <v>17.099</v>
      </c>
      <c r="P8" s="258">
        <v>43.361</v>
      </c>
      <c r="Q8" s="4"/>
      <c r="R8" s="36" t="s">
        <v>89</v>
      </c>
      <c r="S8" s="49">
        <f t="shared" si="2"/>
        <v>5395.462</v>
      </c>
      <c r="T8" s="19">
        <f t="shared" si="3"/>
        <v>0.3592016726</v>
      </c>
      <c r="U8" s="49">
        <f t="shared" si="4"/>
        <v>789.062</v>
      </c>
      <c r="V8" s="19">
        <f t="shared" si="5"/>
        <v>0.3901575292</v>
      </c>
      <c r="W8" s="49">
        <f t="shared" si="6"/>
        <v>1280.741</v>
      </c>
      <c r="X8" s="19">
        <f t="shared" si="7"/>
        <v>0.3727078994</v>
      </c>
      <c r="Y8" s="49">
        <f t="shared" si="8"/>
        <v>7465.265</v>
      </c>
      <c r="Z8" s="78">
        <f t="shared" si="9"/>
        <v>0.3645249313</v>
      </c>
    </row>
    <row r="9" ht="12.0" customHeight="1">
      <c r="A9" s="259" t="s">
        <v>159</v>
      </c>
      <c r="B9" s="62">
        <v>0.0</v>
      </c>
      <c r="C9" s="62">
        <v>0.0</v>
      </c>
      <c r="D9" s="62">
        <v>0.0</v>
      </c>
      <c r="E9" s="63">
        <v>0.0</v>
      </c>
      <c r="F9" s="4"/>
      <c r="G9" s="4"/>
      <c r="H9" s="4"/>
      <c r="I9" s="36" t="s">
        <v>159</v>
      </c>
      <c r="J9" s="260">
        <v>0.0</v>
      </c>
      <c r="K9" s="260">
        <v>0.0</v>
      </c>
      <c r="L9" s="260">
        <v>0.0</v>
      </c>
      <c r="M9" s="260">
        <v>0.0</v>
      </c>
      <c r="N9" s="260">
        <v>0.0</v>
      </c>
      <c r="O9" s="260">
        <v>0.0</v>
      </c>
      <c r="P9" s="261">
        <v>0.0</v>
      </c>
      <c r="Q9" s="4"/>
      <c r="R9" s="36" t="s">
        <v>159</v>
      </c>
      <c r="S9" s="64">
        <f t="shared" si="2"/>
        <v>0</v>
      </c>
      <c r="T9" s="228">
        <f t="shared" si="3"/>
        <v>0</v>
      </c>
      <c r="U9" s="64">
        <f t="shared" si="4"/>
        <v>0</v>
      </c>
      <c r="V9" s="228">
        <f t="shared" si="5"/>
        <v>0</v>
      </c>
      <c r="W9" s="64">
        <f t="shared" si="6"/>
        <v>0</v>
      </c>
      <c r="X9" s="228">
        <f t="shared" si="7"/>
        <v>0</v>
      </c>
      <c r="Y9" s="64">
        <f t="shared" si="8"/>
        <v>0</v>
      </c>
      <c r="Z9" s="262">
        <f t="shared" si="9"/>
        <v>0</v>
      </c>
    </row>
    <row r="10" ht="12.0" customHeight="1">
      <c r="A10" s="247" t="s">
        <v>117</v>
      </c>
      <c r="B10" s="146">
        <f t="shared" ref="B10:E10" si="10">SUM(B5:B9)</f>
        <v>60000262</v>
      </c>
      <c r="C10" s="146">
        <f t="shared" si="10"/>
        <v>27754394</v>
      </c>
      <c r="D10" s="146">
        <f t="shared" si="10"/>
        <v>19486501</v>
      </c>
      <c r="E10" s="152">
        <f t="shared" si="10"/>
        <v>107241157</v>
      </c>
      <c r="F10" s="17"/>
      <c r="G10" s="4"/>
      <c r="H10" s="4"/>
      <c r="I10" s="248" t="s">
        <v>117</v>
      </c>
      <c r="J10" s="89">
        <f t="shared" ref="J10:P10" si="11">SUM(J5:J9)</f>
        <v>15020.704</v>
      </c>
      <c r="K10" s="89">
        <f t="shared" si="11"/>
        <v>2022.419</v>
      </c>
      <c r="L10" s="89">
        <f t="shared" si="11"/>
        <v>3436.313</v>
      </c>
      <c r="M10" s="89">
        <f t="shared" si="11"/>
        <v>660.641</v>
      </c>
      <c r="N10" s="89">
        <f t="shared" si="11"/>
        <v>585.938</v>
      </c>
      <c r="O10" s="89">
        <f t="shared" si="11"/>
        <v>46.253</v>
      </c>
      <c r="P10" s="263">
        <f t="shared" si="11"/>
        <v>117.297</v>
      </c>
      <c r="Q10" s="4"/>
      <c r="R10" s="248" t="s">
        <v>117</v>
      </c>
      <c r="S10" s="264">
        <f t="shared" ref="S10:Z10" si="12">SUM(S5:S9)</f>
        <v>15020.704</v>
      </c>
      <c r="T10" s="265">
        <f t="shared" si="12"/>
        <v>1</v>
      </c>
      <c r="U10" s="264">
        <f t="shared" si="12"/>
        <v>2022.419</v>
      </c>
      <c r="V10" s="265">
        <f t="shared" si="12"/>
        <v>1</v>
      </c>
      <c r="W10" s="264">
        <f t="shared" si="12"/>
        <v>3436.313</v>
      </c>
      <c r="X10" s="265">
        <f t="shared" si="12"/>
        <v>1</v>
      </c>
      <c r="Y10" s="264">
        <f t="shared" si="12"/>
        <v>20479.436</v>
      </c>
      <c r="Z10" s="266">
        <f t="shared" si="12"/>
        <v>1</v>
      </c>
    </row>
    <row r="11" ht="12.0" customHeight="1">
      <c r="A11" s="9"/>
      <c r="B11" s="17"/>
      <c r="C11" s="17"/>
      <c r="D11" s="17"/>
      <c r="E11" s="17"/>
      <c r="F11" s="4"/>
      <c r="G11" s="4"/>
      <c r="H11" s="4"/>
      <c r="I11" s="4"/>
      <c r="J11" s="267"/>
      <c r="K11" s="267"/>
      <c r="L11" s="267"/>
      <c r="M11" s="267"/>
      <c r="N11" s="267"/>
      <c r="O11" s="267"/>
      <c r="P11" s="267"/>
      <c r="Q11" s="268"/>
      <c r="R11" s="269"/>
      <c r="S11" s="269"/>
      <c r="T11" s="269"/>
      <c r="U11" s="269"/>
      <c r="V11" s="269"/>
      <c r="W11" s="269"/>
      <c r="X11" s="269"/>
      <c r="Y11" s="269"/>
      <c r="Z11" s="4"/>
    </row>
    <row r="12" ht="12.0" customHeight="1">
      <c r="A12" s="161" t="s">
        <v>160</v>
      </c>
      <c r="B12" s="4"/>
      <c r="C12" s="4"/>
      <c r="D12" s="4"/>
      <c r="E12" s="4"/>
      <c r="F12" s="137"/>
      <c r="G12" s="4"/>
      <c r="H12" s="4"/>
      <c r="I12" s="4"/>
      <c r="J12" s="49"/>
      <c r="K12" s="49"/>
      <c r="L12" s="49"/>
      <c r="M12" s="49"/>
      <c r="N12" s="49"/>
      <c r="O12" s="49"/>
      <c r="P12" s="49"/>
      <c r="Q12" s="49"/>
      <c r="R12" s="4"/>
      <c r="S12" s="4"/>
      <c r="T12" s="269"/>
      <c r="U12" s="269"/>
      <c r="V12" s="269"/>
      <c r="W12" s="269"/>
      <c r="X12" s="269"/>
      <c r="Y12" s="4"/>
      <c r="Z12" s="19"/>
    </row>
    <row r="13" ht="12.0" customHeight="1">
      <c r="A13" s="245" t="s">
        <v>161</v>
      </c>
      <c r="B13" s="125"/>
      <c r="C13" s="125"/>
      <c r="D13" s="125"/>
      <c r="E13" s="125"/>
      <c r="F13" s="125"/>
      <c r="G13" s="125"/>
      <c r="H13" s="4"/>
      <c r="I13" s="121" t="s">
        <v>162</v>
      </c>
      <c r="K13" s="4"/>
      <c r="L13" s="4"/>
      <c r="M13" s="49"/>
      <c r="N13" s="4"/>
      <c r="O13" s="4"/>
      <c r="P13" s="4"/>
      <c r="Q13" s="4"/>
      <c r="R13" s="270" t="s">
        <v>163</v>
      </c>
      <c r="S13" s="7"/>
      <c r="T13" s="7"/>
      <c r="U13" s="8"/>
      <c r="V13" s="269"/>
      <c r="W13" s="269"/>
      <c r="X13" s="269"/>
      <c r="Y13" s="4"/>
      <c r="Z13" s="4"/>
    </row>
    <row r="14" ht="12.0" customHeight="1">
      <c r="A14" s="247" t="s">
        <v>164</v>
      </c>
      <c r="B14" s="32" t="s">
        <v>165</v>
      </c>
      <c r="C14" s="32" t="s">
        <v>166</v>
      </c>
      <c r="D14" s="271" t="s">
        <v>167</v>
      </c>
      <c r="E14" s="32" t="s">
        <v>168</v>
      </c>
      <c r="F14" s="272" t="s">
        <v>169</v>
      </c>
      <c r="G14" s="84" t="s">
        <v>170</v>
      </c>
      <c r="H14" s="4"/>
      <c r="I14" s="248" t="s">
        <v>142</v>
      </c>
      <c r="J14" s="122" t="s">
        <v>5</v>
      </c>
      <c r="K14" s="122" t="s">
        <v>6</v>
      </c>
      <c r="L14" s="122" t="s">
        <v>18</v>
      </c>
      <c r="M14" s="122" t="s">
        <v>143</v>
      </c>
      <c r="N14" s="122" t="s">
        <v>144</v>
      </c>
      <c r="O14" s="122" t="s">
        <v>145</v>
      </c>
      <c r="P14" s="273" t="s">
        <v>146</v>
      </c>
      <c r="Q14" s="4"/>
      <c r="R14" s="274">
        <v>2025.0</v>
      </c>
      <c r="S14" s="275" t="s">
        <v>171</v>
      </c>
      <c r="T14" s="275" t="s">
        <v>172</v>
      </c>
      <c r="U14" s="276" t="s">
        <v>173</v>
      </c>
      <c r="V14" s="4"/>
      <c r="W14" s="4"/>
      <c r="X14" s="4"/>
      <c r="Y14" s="4"/>
      <c r="Z14" s="4"/>
    </row>
    <row r="15" ht="12.0" customHeight="1">
      <c r="A15" s="253" t="s">
        <v>5</v>
      </c>
      <c r="B15" s="41">
        <f>'CV Coop LLP Primary Alloc'!E3</f>
        <v>14806.07239</v>
      </c>
      <c r="C15" s="41">
        <f>+B5</f>
        <v>16058147</v>
      </c>
      <c r="D15" s="41">
        <f>$B$10</f>
        <v>60000262</v>
      </c>
      <c r="E15" s="217">
        <f t="shared" ref="E15:E18" si="14">+C15/D15</f>
        <v>0.2676346147</v>
      </c>
      <c r="F15" s="44">
        <f t="shared" ref="F15:F17" si="15">+E15*B15</f>
        <v>3962.617479</v>
      </c>
      <c r="G15" s="42">
        <f t="shared" ref="G15:G18" si="16">+F15*$I$1</f>
        <v>8736065.747</v>
      </c>
      <c r="H15" s="4"/>
      <c r="I15" s="27" t="s">
        <v>157</v>
      </c>
      <c r="J15" s="40">
        <f t="shared" ref="J15:P15" si="13">J5*2204.62</f>
        <v>8770509.673</v>
      </c>
      <c r="K15" s="41">
        <f t="shared" si="13"/>
        <v>1045549.853</v>
      </c>
      <c r="L15" s="41">
        <f t="shared" si="13"/>
        <v>1664234.569</v>
      </c>
      <c r="M15" s="41">
        <f t="shared" si="13"/>
        <v>362349.1386</v>
      </c>
      <c r="N15" s="41">
        <f t="shared" si="13"/>
        <v>321376.2759</v>
      </c>
      <c r="O15" s="41">
        <f t="shared" si="13"/>
        <v>25368.56234</v>
      </c>
      <c r="P15" s="42">
        <f t="shared" si="13"/>
        <v>64335.22084</v>
      </c>
      <c r="Q15" s="4"/>
      <c r="R15" s="277" t="s">
        <v>5</v>
      </c>
      <c r="S15" s="278">
        <v>15020.704</v>
      </c>
      <c r="T15" s="279">
        <f>J10</f>
        <v>15020.704</v>
      </c>
      <c r="U15" s="280">
        <f t="shared" ref="U15:U22" si="18">S15-T15</f>
        <v>0</v>
      </c>
      <c r="V15" s="4"/>
      <c r="W15" s="4"/>
      <c r="X15" s="4"/>
      <c r="Y15" s="4"/>
      <c r="Z15" s="4"/>
    </row>
    <row r="16" ht="12.0" customHeight="1">
      <c r="A16" s="257" t="s">
        <v>6</v>
      </c>
      <c r="B16" s="17">
        <f>'CV Coop LLP Primary Alloc'!E4</f>
        <v>2022.420793</v>
      </c>
      <c r="C16" s="17">
        <f>+C5</f>
        <v>6569492</v>
      </c>
      <c r="D16" s="17">
        <f>$C$10</f>
        <v>27754394</v>
      </c>
      <c r="E16" s="19">
        <f t="shared" si="14"/>
        <v>0.2367009707</v>
      </c>
      <c r="F16" s="49">
        <f t="shared" si="15"/>
        <v>478.7089647</v>
      </c>
      <c r="G16" s="48">
        <f t="shared" si="16"/>
        <v>1055371.358</v>
      </c>
      <c r="H16" s="4"/>
      <c r="I16" s="36" t="s">
        <v>158</v>
      </c>
      <c r="J16" s="47">
        <f t="shared" ref="J16:P16" si="17">J6*2204.62</f>
        <v>5571204.813</v>
      </c>
      <c r="K16" s="17">
        <f t="shared" si="17"/>
        <v>642377.7664</v>
      </c>
      <c r="L16" s="17">
        <f t="shared" si="17"/>
        <v>1247702.484</v>
      </c>
      <c r="M16" s="17">
        <f t="shared" si="17"/>
        <v>234986.0366</v>
      </c>
      <c r="N16" s="17">
        <f t="shared" si="17"/>
        <v>208415.9563</v>
      </c>
      <c r="O16" s="17">
        <f t="shared" si="17"/>
        <v>16450.87444</v>
      </c>
      <c r="P16" s="48">
        <f t="shared" si="17"/>
        <v>41722.4335</v>
      </c>
      <c r="Q16" s="4"/>
      <c r="R16" s="277" t="s">
        <v>174</v>
      </c>
      <c r="S16" s="278">
        <v>2022.419</v>
      </c>
      <c r="T16" s="279">
        <f>K10</f>
        <v>2022.419</v>
      </c>
      <c r="U16" s="280">
        <f t="shared" si="18"/>
        <v>0</v>
      </c>
      <c r="V16" s="4"/>
      <c r="W16" s="4"/>
      <c r="X16" s="4"/>
      <c r="Y16" s="4"/>
      <c r="Z16" s="4"/>
    </row>
    <row r="17" ht="12.0" customHeight="1">
      <c r="A17" s="259" t="s">
        <v>8</v>
      </c>
      <c r="B17" s="62">
        <f>'CV Coop LLP Primary Alloc'!E5</f>
        <v>3436.31507</v>
      </c>
      <c r="C17" s="62">
        <f>+D5</f>
        <v>4304318</v>
      </c>
      <c r="D17" s="62">
        <f>$D$10</f>
        <v>19486501</v>
      </c>
      <c r="E17" s="228">
        <f t="shared" si="14"/>
        <v>0.220887167</v>
      </c>
      <c r="F17" s="64">
        <f t="shared" si="15"/>
        <v>759.0379007</v>
      </c>
      <c r="G17" s="63">
        <f t="shared" si="16"/>
        <v>1673390.137</v>
      </c>
      <c r="H17" s="4"/>
      <c r="I17" s="36" t="s">
        <v>47</v>
      </c>
      <c r="J17" s="47">
        <f t="shared" ref="J17:P17" si="19">J7*2204.62</f>
        <v>6878286.532</v>
      </c>
      <c r="K17" s="17">
        <f t="shared" si="19"/>
        <v>1031155.89</v>
      </c>
      <c r="L17" s="17">
        <f t="shared" si="19"/>
        <v>1840280.09</v>
      </c>
      <c r="M17" s="17">
        <f t="shared" si="19"/>
        <v>320719.2991</v>
      </c>
      <c r="N17" s="17">
        <f t="shared" si="19"/>
        <v>284453.3001</v>
      </c>
      <c r="O17" s="17">
        <f t="shared" si="19"/>
        <v>22454.0547</v>
      </c>
      <c r="P17" s="48">
        <f t="shared" si="19"/>
        <v>56943.12998</v>
      </c>
      <c r="Q17" s="4"/>
      <c r="R17" s="277" t="s">
        <v>8</v>
      </c>
      <c r="S17" s="278">
        <v>3436.314</v>
      </c>
      <c r="T17" s="279">
        <f>L10</f>
        <v>3436.313</v>
      </c>
      <c r="U17" s="280">
        <f t="shared" si="18"/>
        <v>0.0009999999997</v>
      </c>
      <c r="V17" s="4"/>
      <c r="W17" s="4"/>
      <c r="X17" s="4"/>
      <c r="Y17" s="4"/>
      <c r="Z17" s="4"/>
    </row>
    <row r="18" ht="12.0" customHeight="1">
      <c r="A18" s="247" t="s">
        <v>117</v>
      </c>
      <c r="B18" s="146">
        <f t="shared" ref="B18:D18" si="20">SUM(B15:B17)</f>
        <v>20264.80825</v>
      </c>
      <c r="C18" s="146">
        <f t="shared" si="20"/>
        <v>26931957</v>
      </c>
      <c r="D18" s="146">
        <f t="shared" si="20"/>
        <v>107241157</v>
      </c>
      <c r="E18" s="149">
        <f t="shared" si="14"/>
        <v>0.2511345248</v>
      </c>
      <c r="F18" s="281">
        <f>SUM(F15:F17)</f>
        <v>5200.364344</v>
      </c>
      <c r="G18" s="152">
        <f t="shared" si="16"/>
        <v>11464827.24</v>
      </c>
      <c r="H18" s="4"/>
      <c r="I18" s="36" t="s">
        <v>89</v>
      </c>
      <c r="J18" s="47">
        <f t="shared" ref="J18:P18" si="21">J8*2204.62</f>
        <v>11894943.43</v>
      </c>
      <c r="K18" s="17">
        <f t="shared" si="21"/>
        <v>1739581.866</v>
      </c>
      <c r="L18" s="17">
        <f t="shared" si="21"/>
        <v>2823547.223</v>
      </c>
      <c r="M18" s="17">
        <f t="shared" si="21"/>
        <v>538407.8872</v>
      </c>
      <c r="N18" s="17">
        <f t="shared" si="21"/>
        <v>477525.1012</v>
      </c>
      <c r="O18" s="17">
        <f t="shared" si="21"/>
        <v>37696.79738</v>
      </c>
      <c r="P18" s="48">
        <f t="shared" si="21"/>
        <v>95594.52782</v>
      </c>
      <c r="Q18" s="4"/>
      <c r="R18" s="277" t="s">
        <v>83</v>
      </c>
      <c r="S18" s="278">
        <v>660.641</v>
      </c>
      <c r="T18" s="279">
        <f>M10</f>
        <v>660.641</v>
      </c>
      <c r="U18" s="280">
        <f t="shared" si="18"/>
        <v>0</v>
      </c>
      <c r="V18" s="4"/>
      <c r="W18" s="4"/>
      <c r="X18" s="49"/>
      <c r="Y18" s="4"/>
      <c r="Z18" s="4"/>
    </row>
    <row r="19" ht="15.75" customHeight="1">
      <c r="A19" s="161" t="s">
        <v>175</v>
      </c>
      <c r="H19" s="4"/>
      <c r="I19" s="36" t="s">
        <v>159</v>
      </c>
      <c r="J19" s="61">
        <f t="shared" ref="J19:P19" si="22">J9*2204.62</f>
        <v>0</v>
      </c>
      <c r="K19" s="62">
        <f t="shared" si="22"/>
        <v>0</v>
      </c>
      <c r="L19" s="62">
        <f t="shared" si="22"/>
        <v>0</v>
      </c>
      <c r="M19" s="62">
        <f t="shared" si="22"/>
        <v>0</v>
      </c>
      <c r="N19" s="62">
        <f t="shared" si="22"/>
        <v>0</v>
      </c>
      <c r="O19" s="62">
        <f t="shared" si="22"/>
        <v>0</v>
      </c>
      <c r="P19" s="63">
        <f t="shared" si="22"/>
        <v>0</v>
      </c>
      <c r="Q19" s="4"/>
      <c r="R19" s="277" t="s">
        <v>125</v>
      </c>
      <c r="S19" s="278">
        <v>585.938</v>
      </c>
      <c r="T19" s="279">
        <f>N10</f>
        <v>585.938</v>
      </c>
      <c r="U19" s="280">
        <f t="shared" si="18"/>
        <v>0</v>
      </c>
      <c r="V19" s="4"/>
      <c r="W19" s="4"/>
      <c r="X19" s="49"/>
      <c r="Y19" s="4"/>
      <c r="Z19" s="4"/>
    </row>
    <row r="20" ht="15.75" customHeight="1">
      <c r="A20" s="125"/>
      <c r="B20" s="125"/>
      <c r="C20" s="125"/>
      <c r="D20" s="125"/>
      <c r="E20" s="125"/>
      <c r="F20" s="125"/>
      <c r="G20" s="125"/>
      <c r="H20" s="4"/>
      <c r="I20" s="248" t="s">
        <v>117</v>
      </c>
      <c r="J20" s="148">
        <f t="shared" ref="J20:P20" si="23">SUM(J15:J19)</f>
        <v>33114944.45</v>
      </c>
      <c r="K20" s="146">
        <f t="shared" si="23"/>
        <v>4458665.376</v>
      </c>
      <c r="L20" s="146">
        <f t="shared" si="23"/>
        <v>7575764.366</v>
      </c>
      <c r="M20" s="146">
        <f t="shared" si="23"/>
        <v>1456462.361</v>
      </c>
      <c r="N20" s="146">
        <f t="shared" si="23"/>
        <v>1291770.634</v>
      </c>
      <c r="O20" s="146">
        <f t="shared" si="23"/>
        <v>101970.2889</v>
      </c>
      <c r="P20" s="152">
        <f t="shared" si="23"/>
        <v>258595.3121</v>
      </c>
      <c r="Q20" s="4"/>
      <c r="R20" s="277" t="s">
        <v>85</v>
      </c>
      <c r="S20" s="278">
        <v>46.254</v>
      </c>
      <c r="T20" s="279">
        <f>O10</f>
        <v>46.253</v>
      </c>
      <c r="U20" s="280">
        <f t="shared" si="18"/>
        <v>0.001</v>
      </c>
      <c r="V20" s="4"/>
      <c r="W20" s="4"/>
      <c r="X20" s="49"/>
      <c r="Y20" s="4"/>
      <c r="Z20" s="4"/>
    </row>
    <row r="21" ht="15.75" customHeight="1">
      <c r="A21" s="247" t="s">
        <v>164</v>
      </c>
      <c r="B21" s="32" t="s">
        <v>165</v>
      </c>
      <c r="C21" s="32" t="s">
        <v>176</v>
      </c>
      <c r="D21" s="271" t="s">
        <v>167</v>
      </c>
      <c r="E21" s="32" t="s">
        <v>168</v>
      </c>
      <c r="F21" s="281" t="s">
        <v>169</v>
      </c>
      <c r="G21" s="84" t="s">
        <v>170</v>
      </c>
      <c r="H21" s="4"/>
      <c r="I21" s="4"/>
      <c r="J21" s="4"/>
      <c r="K21" s="4"/>
      <c r="L21" s="4"/>
      <c r="M21" s="4"/>
      <c r="N21" s="4"/>
      <c r="O21" s="4"/>
      <c r="P21" s="4"/>
      <c r="Q21" s="4"/>
      <c r="R21" s="277" t="s">
        <v>86</v>
      </c>
      <c r="S21" s="278">
        <v>117.298</v>
      </c>
      <c r="T21" s="279">
        <f>P10</f>
        <v>117.297</v>
      </c>
      <c r="U21" s="280">
        <f t="shared" si="18"/>
        <v>0.001</v>
      </c>
      <c r="V21" s="4"/>
      <c r="W21" s="4"/>
      <c r="X21" s="49"/>
      <c r="Y21" s="4"/>
      <c r="Z21" s="4"/>
    </row>
    <row r="22" ht="12.0" customHeight="1">
      <c r="A22" s="253" t="s">
        <v>5</v>
      </c>
      <c r="B22" s="41">
        <f t="shared" ref="B22:B24" si="25">+B15</f>
        <v>14806.07239</v>
      </c>
      <c r="C22" s="41">
        <f>+B6</f>
        <v>9927300</v>
      </c>
      <c r="D22" s="41">
        <f>$B$10</f>
        <v>60000262</v>
      </c>
      <c r="E22" s="217">
        <f t="shared" ref="E22:E25" si="26">+C22/D22</f>
        <v>0.1654542775</v>
      </c>
      <c r="F22" s="44">
        <f t="shared" ref="F22:F24" si="27">+E22*B22</f>
        <v>2449.72801</v>
      </c>
      <c r="G22" s="42">
        <f t="shared" ref="G22:G25" si="28">+F22*$I$1</f>
        <v>5400719.366</v>
      </c>
      <c r="H22" s="4"/>
      <c r="I22" s="4"/>
      <c r="J22" s="31" t="s">
        <v>177</v>
      </c>
      <c r="K22" s="156"/>
      <c r="L22" s="145"/>
      <c r="M22" s="4"/>
      <c r="N22" s="4"/>
      <c r="O22" s="4"/>
      <c r="P22" s="4"/>
      <c r="Q22" s="4"/>
      <c r="R22" s="282" t="s">
        <v>178</v>
      </c>
      <c r="S22" s="283">
        <f t="shared" ref="S22:T22" si="24">SUM(S15:S21)</f>
        <v>21889.568</v>
      </c>
      <c r="T22" s="283">
        <f t="shared" si="24"/>
        <v>21889.565</v>
      </c>
      <c r="U22" s="284">
        <f t="shared" si="18"/>
        <v>0.002999999997</v>
      </c>
      <c r="V22" s="4"/>
      <c r="W22" s="4"/>
      <c r="X22" s="49"/>
      <c r="Y22" s="4"/>
      <c r="Z22" s="4"/>
    </row>
    <row r="23" ht="12.0" customHeight="1">
      <c r="A23" s="257" t="s">
        <v>6</v>
      </c>
      <c r="B23" s="17">
        <f t="shared" si="25"/>
        <v>2022.420793</v>
      </c>
      <c r="C23" s="17">
        <f>+C6</f>
        <v>3937558</v>
      </c>
      <c r="D23" s="17">
        <f>$C$10</f>
        <v>27754394</v>
      </c>
      <c r="E23" s="19">
        <f t="shared" si="26"/>
        <v>0.1418715177</v>
      </c>
      <c r="F23" s="49">
        <f t="shared" si="27"/>
        <v>286.9239073</v>
      </c>
      <c r="G23" s="48">
        <f t="shared" si="28"/>
        <v>632558.1845</v>
      </c>
      <c r="H23" s="4"/>
      <c r="I23" s="4"/>
      <c r="J23" s="208">
        <f>SUM(J20:L20)*0.4</f>
        <v>18059749.68</v>
      </c>
      <c r="K23" s="208">
        <f t="shared" ref="K23:L23" si="29">M20*0.4</f>
        <v>582584.9446</v>
      </c>
      <c r="L23" s="208">
        <f t="shared" si="29"/>
        <v>516708.2534</v>
      </c>
      <c r="M23" s="4"/>
      <c r="N23" s="17"/>
      <c r="O23" s="4"/>
      <c r="P23" s="4"/>
      <c r="Q23" s="4"/>
      <c r="R23" s="285" t="s">
        <v>179</v>
      </c>
      <c r="V23" s="4"/>
      <c r="W23" s="4"/>
      <c r="X23" s="49"/>
      <c r="Y23" s="4"/>
      <c r="Z23" s="4"/>
    </row>
    <row r="24" ht="12.0" customHeight="1">
      <c r="A24" s="259" t="s">
        <v>8</v>
      </c>
      <c r="B24" s="62">
        <f t="shared" si="25"/>
        <v>3436.31507</v>
      </c>
      <c r="C24" s="62">
        <f>+D6</f>
        <v>3185813</v>
      </c>
      <c r="D24" s="62">
        <f>$D$10</f>
        <v>19486501</v>
      </c>
      <c r="E24" s="228">
        <f t="shared" si="26"/>
        <v>0.1634882014</v>
      </c>
      <c r="F24" s="64">
        <f t="shared" si="27"/>
        <v>561.7969703</v>
      </c>
      <c r="G24" s="63">
        <f t="shared" si="28"/>
        <v>1238548.837</v>
      </c>
      <c r="H24" s="4"/>
      <c r="I24" s="4"/>
      <c r="J24" s="207" t="s">
        <v>180</v>
      </c>
      <c r="K24" s="207" t="s">
        <v>181</v>
      </c>
      <c r="L24" s="208" t="s">
        <v>182</v>
      </c>
      <c r="M24" s="4"/>
      <c r="N24" s="4"/>
      <c r="O24" s="4"/>
      <c r="P24" s="4"/>
      <c r="Q24" s="4"/>
      <c r="V24" s="4"/>
      <c r="W24" s="4"/>
      <c r="X24" s="49"/>
      <c r="Y24" s="4"/>
      <c r="Z24" s="4"/>
    </row>
    <row r="25" ht="12.0" customHeight="1">
      <c r="A25" s="247" t="s">
        <v>117</v>
      </c>
      <c r="B25" s="146">
        <f t="shared" ref="B25:D25" si="30">SUM(B22:B24)</f>
        <v>20264.80825</v>
      </c>
      <c r="C25" s="146">
        <f t="shared" si="30"/>
        <v>17050671</v>
      </c>
      <c r="D25" s="146">
        <f t="shared" si="30"/>
        <v>107241157</v>
      </c>
      <c r="E25" s="149">
        <f t="shared" si="26"/>
        <v>0.1589937248</v>
      </c>
      <c r="F25" s="281">
        <f>SUM(F22:F24)</f>
        <v>3298.448888</v>
      </c>
      <c r="G25" s="152">
        <f t="shared" si="28"/>
        <v>7271826.387</v>
      </c>
      <c r="H25" s="4"/>
      <c r="I25" s="4"/>
      <c r="J25" s="31" t="s">
        <v>183</v>
      </c>
      <c r="K25" s="156"/>
      <c r="L25" s="145"/>
      <c r="M25" s="4"/>
      <c r="N25" s="4"/>
      <c r="O25" s="4"/>
      <c r="P25" s="4"/>
      <c r="Q25" s="4"/>
      <c r="V25" s="4"/>
      <c r="W25" s="4"/>
      <c r="X25" s="49"/>
      <c r="Y25" s="4"/>
      <c r="Z25" s="4"/>
    </row>
    <row r="26" ht="12.0" customHeight="1">
      <c r="A26" s="161" t="s">
        <v>184</v>
      </c>
      <c r="H26" s="4"/>
      <c r="I26" s="4"/>
      <c r="J26" s="148">
        <f>J20*0.08</f>
        <v>2649195.556</v>
      </c>
      <c r="K26" s="156"/>
      <c r="L26" s="145"/>
      <c r="M26" s="4"/>
      <c r="N26" s="4"/>
      <c r="O26" s="4"/>
      <c r="P26" s="4"/>
      <c r="Q26" s="4"/>
      <c r="V26" s="4"/>
      <c r="W26" s="4"/>
      <c r="X26" s="4"/>
      <c r="Y26" s="4"/>
      <c r="Z26" s="4"/>
    </row>
    <row r="27" ht="12.0" customHeight="1">
      <c r="A27" s="125"/>
      <c r="B27" s="125"/>
      <c r="C27" s="125"/>
      <c r="D27" s="125"/>
      <c r="E27" s="125"/>
      <c r="F27" s="125"/>
      <c r="G27" s="125"/>
      <c r="H27" s="4"/>
      <c r="I27" s="3"/>
      <c r="J27" s="3"/>
      <c r="K27" s="4"/>
      <c r="L27" s="286"/>
      <c r="M27" s="4"/>
      <c r="N27" s="4"/>
      <c r="O27" s="4"/>
      <c r="P27" s="4"/>
      <c r="Q27" s="4"/>
      <c r="R27" s="4"/>
      <c r="S27" s="4"/>
      <c r="T27" s="4"/>
      <c r="U27" s="4"/>
      <c r="V27" s="4"/>
      <c r="W27" s="4"/>
      <c r="X27" s="4"/>
      <c r="Y27" s="4"/>
      <c r="Z27" s="4"/>
    </row>
    <row r="28" ht="12.0" customHeight="1">
      <c r="A28" s="247" t="s">
        <v>164</v>
      </c>
      <c r="B28" s="32" t="s">
        <v>165</v>
      </c>
      <c r="C28" s="32" t="s">
        <v>185</v>
      </c>
      <c r="D28" s="271" t="s">
        <v>167</v>
      </c>
      <c r="E28" s="32" t="s">
        <v>168</v>
      </c>
      <c r="F28" s="281" t="s">
        <v>169</v>
      </c>
      <c r="G28" s="84" t="s">
        <v>170</v>
      </c>
      <c r="H28" s="4"/>
      <c r="I28" s="4"/>
      <c r="J28" s="4"/>
      <c r="K28" s="17"/>
      <c r="L28" s="17"/>
      <c r="M28" s="17"/>
      <c r="N28" s="4"/>
      <c r="O28" s="17"/>
      <c r="P28" s="4"/>
      <c r="Q28" s="4"/>
      <c r="R28" s="4"/>
      <c r="S28" s="4"/>
      <c r="T28" s="4"/>
      <c r="U28" s="4"/>
      <c r="V28" s="4"/>
      <c r="W28" s="4"/>
      <c r="X28" s="4"/>
      <c r="Y28" s="4"/>
      <c r="Z28" s="4"/>
    </row>
    <row r="29" ht="12.0" customHeight="1">
      <c r="A29" s="253" t="s">
        <v>5</v>
      </c>
      <c r="B29" s="41">
        <f t="shared" ref="B29:B31" si="31">+B22</f>
        <v>14806.07239</v>
      </c>
      <c r="C29" s="41">
        <f>+B7</f>
        <v>12462620</v>
      </c>
      <c r="D29" s="41">
        <f>$B$10</f>
        <v>60000262</v>
      </c>
      <c r="E29" s="217">
        <f t="shared" ref="E29:E32" si="32">+C29/D29</f>
        <v>0.2077094263</v>
      </c>
      <c r="F29" s="44">
        <f t="shared" ref="F29:F31" si="33">+E29*B29</f>
        <v>3075.360803</v>
      </c>
      <c r="G29" s="42">
        <f t="shared" ref="G29:G32" si="34">+F29*$I$1</f>
        <v>6780001.933</v>
      </c>
      <c r="H29" s="4"/>
      <c r="I29" s="4"/>
      <c r="J29" s="49"/>
      <c r="K29" s="4"/>
      <c r="L29" s="4"/>
      <c r="M29" s="4"/>
      <c r="N29" s="4"/>
      <c r="O29" s="4"/>
      <c r="P29" s="4"/>
      <c r="Q29" s="4"/>
      <c r="R29" s="4"/>
      <c r="S29" s="4"/>
      <c r="T29" s="4"/>
      <c r="U29" s="4"/>
      <c r="V29" s="4"/>
      <c r="W29" s="4"/>
      <c r="X29" s="4"/>
      <c r="Y29" s="4"/>
      <c r="Z29" s="4"/>
    </row>
    <row r="30" ht="12.0" customHeight="1">
      <c r="A30" s="257" t="s">
        <v>6</v>
      </c>
      <c r="B30" s="17">
        <f t="shared" si="31"/>
        <v>2022.420793</v>
      </c>
      <c r="C30" s="17">
        <f>+C7</f>
        <v>6418765</v>
      </c>
      <c r="D30" s="17">
        <f>$C$10</f>
        <v>27754394</v>
      </c>
      <c r="E30" s="19">
        <f t="shared" si="32"/>
        <v>0.231270227</v>
      </c>
      <c r="F30" s="49">
        <f t="shared" si="33"/>
        <v>467.7257158</v>
      </c>
      <c r="G30" s="48">
        <f t="shared" si="34"/>
        <v>1031157.467</v>
      </c>
      <c r="H30" s="4"/>
      <c r="I30" s="4"/>
      <c r="J30" s="17"/>
      <c r="K30" s="17"/>
      <c r="L30" s="17"/>
      <c r="M30" s="17"/>
      <c r="N30" s="17"/>
      <c r="O30" s="17"/>
      <c r="P30" s="17"/>
      <c r="Q30" s="4"/>
      <c r="R30" s="4"/>
      <c r="S30" s="4"/>
      <c r="T30" s="4"/>
      <c r="U30" s="4"/>
      <c r="V30" s="4"/>
      <c r="W30" s="4"/>
      <c r="X30" s="4"/>
      <c r="Y30" s="4"/>
      <c r="Z30" s="4"/>
    </row>
    <row r="31" ht="12.0" customHeight="1">
      <c r="A31" s="259" t="s">
        <v>8</v>
      </c>
      <c r="B31" s="62">
        <f t="shared" si="31"/>
        <v>3436.31507</v>
      </c>
      <c r="C31" s="62">
        <f>+D7</f>
        <v>4733598</v>
      </c>
      <c r="D31" s="62">
        <f>$D$10</f>
        <v>19486501</v>
      </c>
      <c r="E31" s="228">
        <f t="shared" si="32"/>
        <v>0.2429167761</v>
      </c>
      <c r="F31" s="64">
        <f t="shared" si="33"/>
        <v>834.7385785</v>
      </c>
      <c r="G31" s="63">
        <f t="shared" si="34"/>
        <v>1840281.365</v>
      </c>
      <c r="H31" s="4"/>
      <c r="I31" s="3"/>
      <c r="J31" s="17"/>
      <c r="K31" s="17"/>
      <c r="L31" s="17"/>
      <c r="M31" s="17"/>
      <c r="N31" s="17"/>
      <c r="O31" s="17"/>
      <c r="P31" s="17"/>
      <c r="Q31" s="4"/>
      <c r="R31" s="4"/>
      <c r="S31" s="4"/>
      <c r="T31" s="4"/>
      <c r="U31" s="4"/>
      <c r="V31" s="4"/>
      <c r="W31" s="4"/>
      <c r="X31" s="4"/>
      <c r="Y31" s="4"/>
      <c r="Z31" s="4"/>
    </row>
    <row r="32" ht="12.0" customHeight="1">
      <c r="A32" s="247" t="s">
        <v>117</v>
      </c>
      <c r="B32" s="146">
        <f t="shared" ref="B32:D32" si="35">SUM(B29:B31)</f>
        <v>20264.80825</v>
      </c>
      <c r="C32" s="146">
        <f t="shared" si="35"/>
        <v>23614983</v>
      </c>
      <c r="D32" s="146">
        <f t="shared" si="35"/>
        <v>107241157</v>
      </c>
      <c r="E32" s="149">
        <f t="shared" si="32"/>
        <v>0.220204478</v>
      </c>
      <c r="F32" s="281">
        <f>SUM(F29:F31)</f>
        <v>4377.825097</v>
      </c>
      <c r="G32" s="152">
        <f t="shared" si="34"/>
        <v>9651440.765</v>
      </c>
      <c r="H32" s="4"/>
      <c r="I32" s="4"/>
      <c r="J32" s="17"/>
      <c r="K32" s="17"/>
      <c r="L32" s="17"/>
      <c r="M32" s="17"/>
      <c r="N32" s="17"/>
      <c r="O32" s="17"/>
      <c r="P32" s="17"/>
      <c r="Q32" s="4"/>
      <c r="R32" s="4"/>
      <c r="S32" s="4"/>
      <c r="T32" s="4"/>
      <c r="U32" s="4"/>
      <c r="V32" s="4"/>
      <c r="W32" s="4"/>
      <c r="X32" s="4"/>
      <c r="Y32" s="4"/>
      <c r="Z32" s="4"/>
    </row>
    <row r="33" ht="12.0" customHeight="1">
      <c r="A33" s="161" t="s">
        <v>186</v>
      </c>
      <c r="H33" s="4"/>
      <c r="I33" s="4"/>
      <c r="J33" s="17"/>
      <c r="K33" s="17"/>
      <c r="L33" s="17"/>
      <c r="M33" s="17"/>
      <c r="N33" s="17"/>
      <c r="O33" s="17"/>
      <c r="P33" s="17"/>
      <c r="Q33" s="4"/>
      <c r="R33" s="4"/>
      <c r="S33" s="4"/>
      <c r="T33" s="4"/>
      <c r="U33" s="4"/>
      <c r="V33" s="4"/>
      <c r="W33" s="4"/>
      <c r="X33" s="4"/>
      <c r="Y33" s="4"/>
      <c r="Z33" s="4"/>
    </row>
    <row r="34" ht="12.0" customHeight="1">
      <c r="A34" s="125"/>
      <c r="B34" s="125"/>
      <c r="C34" s="125"/>
      <c r="D34" s="125"/>
      <c r="E34" s="125"/>
      <c r="F34" s="125"/>
      <c r="G34" s="125"/>
      <c r="H34" s="4"/>
      <c r="I34" s="4"/>
      <c r="J34" s="17"/>
      <c r="K34" s="17"/>
      <c r="L34" s="17"/>
      <c r="M34" s="17"/>
      <c r="N34" s="17"/>
      <c r="O34" s="17"/>
      <c r="P34" s="17"/>
      <c r="Q34" s="4"/>
      <c r="R34" s="4"/>
      <c r="S34" s="4"/>
      <c r="T34" s="4"/>
      <c r="U34" s="4"/>
      <c r="V34" s="4"/>
      <c r="W34" s="4"/>
      <c r="X34" s="4"/>
      <c r="Y34" s="4"/>
      <c r="Z34" s="4"/>
    </row>
    <row r="35" ht="12.0" customHeight="1">
      <c r="A35" s="247" t="s">
        <v>164</v>
      </c>
      <c r="B35" s="32" t="s">
        <v>165</v>
      </c>
      <c r="C35" s="32" t="s">
        <v>187</v>
      </c>
      <c r="D35" s="271" t="s">
        <v>167</v>
      </c>
      <c r="E35" s="32" t="s">
        <v>168</v>
      </c>
      <c r="F35" s="281" t="s">
        <v>169</v>
      </c>
      <c r="G35" s="84" t="s">
        <v>170</v>
      </c>
      <c r="H35" s="4"/>
      <c r="I35" s="3"/>
      <c r="J35" s="17"/>
      <c r="K35" s="17"/>
      <c r="L35" s="17"/>
      <c r="M35" s="17"/>
      <c r="N35" s="17"/>
      <c r="O35" s="17"/>
      <c r="P35" s="17"/>
      <c r="Q35" s="4"/>
      <c r="R35" s="4"/>
      <c r="S35" s="4"/>
      <c r="T35" s="4"/>
      <c r="U35" s="4"/>
      <c r="V35" s="4"/>
      <c r="W35" s="4"/>
      <c r="X35" s="4"/>
      <c r="Y35" s="4"/>
      <c r="Z35" s="4"/>
    </row>
    <row r="36" ht="12.0" customHeight="1">
      <c r="A36" s="253" t="s">
        <v>5</v>
      </c>
      <c r="B36" s="41">
        <f t="shared" ref="B36:B38" si="36">+B29</f>
        <v>14806.07239</v>
      </c>
      <c r="C36" s="41">
        <f>+B8</f>
        <v>21552195</v>
      </c>
      <c r="D36" s="41">
        <f>$B$10</f>
        <v>60000262</v>
      </c>
      <c r="E36" s="217">
        <f t="shared" ref="E36:E39" si="37">+C36/D36</f>
        <v>0.3592016815</v>
      </c>
      <c r="F36" s="44">
        <f t="shared" ref="F36:F38" si="38">+E36*B36</f>
        <v>5318.366099</v>
      </c>
      <c r="G36" s="42">
        <f t="shared" ref="G36:G39" si="39">+F36*$I$1</f>
        <v>11724976.27</v>
      </c>
      <c r="H36" s="4"/>
      <c r="I36" s="4"/>
      <c r="J36" s="17"/>
      <c r="K36" s="17"/>
      <c r="L36" s="17"/>
      <c r="M36" s="17"/>
      <c r="N36" s="17"/>
      <c r="O36" s="17"/>
      <c r="P36" s="17"/>
      <c r="Q36" s="4"/>
      <c r="R36" s="4"/>
      <c r="S36" s="4"/>
      <c r="T36" s="4"/>
      <c r="U36" s="4"/>
      <c r="V36" s="4"/>
      <c r="W36" s="4"/>
      <c r="X36" s="4"/>
      <c r="Y36" s="4"/>
      <c r="Z36" s="4"/>
    </row>
    <row r="37" ht="12.0" customHeight="1">
      <c r="A37" s="257" t="s">
        <v>6</v>
      </c>
      <c r="B37" s="17">
        <f t="shared" si="36"/>
        <v>2022.420793</v>
      </c>
      <c r="C37" s="17">
        <f>+C8</f>
        <v>10828579</v>
      </c>
      <c r="D37" s="17">
        <f>$C$10</f>
        <v>27754394</v>
      </c>
      <c r="E37" s="19">
        <f t="shared" si="37"/>
        <v>0.3901572846</v>
      </c>
      <c r="F37" s="49">
        <f t="shared" si="38"/>
        <v>789.0622049</v>
      </c>
      <c r="G37" s="48">
        <f t="shared" si="39"/>
        <v>1739582.318</v>
      </c>
      <c r="H37" s="4"/>
      <c r="I37" s="4"/>
      <c r="J37" s="287"/>
      <c r="K37" s="287"/>
      <c r="L37" s="287"/>
      <c r="M37" s="287"/>
      <c r="N37" s="287"/>
      <c r="O37" s="287"/>
      <c r="P37" s="287"/>
      <c r="Q37" s="4"/>
      <c r="R37" s="4"/>
      <c r="S37" s="4"/>
      <c r="T37" s="4"/>
      <c r="U37" s="4"/>
      <c r="V37" s="4"/>
      <c r="W37" s="4"/>
      <c r="X37" s="4"/>
      <c r="Y37" s="4"/>
      <c r="Z37" s="4"/>
    </row>
    <row r="38" ht="12.0" customHeight="1">
      <c r="A38" s="259" t="s">
        <v>8</v>
      </c>
      <c r="B38" s="62">
        <f t="shared" si="36"/>
        <v>3436.31507</v>
      </c>
      <c r="C38" s="62">
        <f>+D8</f>
        <v>7262772</v>
      </c>
      <c r="D38" s="62">
        <f>$D$10</f>
        <v>19486501</v>
      </c>
      <c r="E38" s="228">
        <f t="shared" si="37"/>
        <v>0.3727078556</v>
      </c>
      <c r="F38" s="64">
        <f t="shared" si="38"/>
        <v>1280.741621</v>
      </c>
      <c r="G38" s="63">
        <f t="shared" si="39"/>
        <v>2823548.592</v>
      </c>
      <c r="H38" s="4"/>
      <c r="I38" s="4"/>
      <c r="J38" s="4"/>
      <c r="K38" s="4"/>
      <c r="L38" s="4"/>
      <c r="M38" s="4"/>
      <c r="N38" s="4"/>
      <c r="O38" s="4"/>
      <c r="P38" s="4"/>
      <c r="Q38" s="4"/>
      <c r="R38" s="4"/>
      <c r="S38" s="4"/>
      <c r="T38" s="4"/>
      <c r="U38" s="4"/>
      <c r="V38" s="4"/>
      <c r="W38" s="4"/>
      <c r="X38" s="4"/>
      <c r="Y38" s="4"/>
      <c r="Z38" s="4"/>
    </row>
    <row r="39" ht="12.0" customHeight="1">
      <c r="A39" s="247" t="s">
        <v>117</v>
      </c>
      <c r="B39" s="146">
        <f t="shared" ref="B39:D39" si="40">SUM(B36:B38)</f>
        <v>20264.80825</v>
      </c>
      <c r="C39" s="146">
        <f t="shared" si="40"/>
        <v>39643546</v>
      </c>
      <c r="D39" s="146">
        <f t="shared" si="40"/>
        <v>107241157</v>
      </c>
      <c r="E39" s="149">
        <f t="shared" si="37"/>
        <v>0.3696672724</v>
      </c>
      <c r="F39" s="281">
        <f>SUM(F36:F38)</f>
        <v>7388.169925</v>
      </c>
      <c r="G39" s="152">
        <f t="shared" si="39"/>
        <v>16288107.18</v>
      </c>
      <c r="H39" s="4"/>
      <c r="I39" s="3"/>
      <c r="J39" s="3"/>
      <c r="K39" s="4"/>
      <c r="L39" s="4"/>
      <c r="M39" s="4"/>
      <c r="N39" s="4"/>
      <c r="O39" s="4"/>
      <c r="P39" s="4"/>
      <c r="Q39" s="4"/>
      <c r="R39" s="4"/>
      <c r="S39" s="4"/>
      <c r="T39" s="4"/>
      <c r="U39" s="4"/>
      <c r="V39" s="4"/>
      <c r="W39" s="4"/>
      <c r="X39" s="4"/>
      <c r="Y39" s="4"/>
      <c r="Z39" s="4"/>
    </row>
    <row r="40" ht="12.0" customHeight="1">
      <c r="A40" s="161"/>
      <c r="H40" s="4"/>
      <c r="I40" s="4"/>
      <c r="J40" s="4"/>
      <c r="K40" s="4"/>
      <c r="L40" s="4"/>
      <c r="M40" s="4"/>
      <c r="N40" s="4"/>
      <c r="O40" s="4"/>
      <c r="P40" s="4"/>
      <c r="Q40" s="4"/>
      <c r="R40" s="4"/>
      <c r="S40" s="4"/>
      <c r="T40" s="4"/>
      <c r="U40" s="4"/>
      <c r="V40" s="4"/>
      <c r="W40" s="4"/>
      <c r="X40" s="4"/>
      <c r="Y40" s="4"/>
      <c r="Z40" s="4"/>
    </row>
    <row r="41" ht="12.0" customHeight="1">
      <c r="A41" s="125"/>
      <c r="B41" s="125"/>
      <c r="C41" s="125"/>
      <c r="D41" s="125"/>
      <c r="E41" s="125"/>
      <c r="F41" s="125"/>
      <c r="G41" s="125"/>
      <c r="H41" s="4"/>
      <c r="I41" s="4"/>
      <c r="J41" s="4"/>
      <c r="K41" s="4"/>
      <c r="L41" s="4"/>
      <c r="M41" s="4"/>
      <c r="N41" s="4"/>
      <c r="O41" s="4"/>
      <c r="P41" s="4"/>
      <c r="Q41" s="4"/>
      <c r="R41" s="4"/>
      <c r="S41" s="4"/>
      <c r="T41" s="4"/>
      <c r="U41" s="4"/>
      <c r="V41" s="4"/>
      <c r="W41" s="4"/>
      <c r="X41" s="4"/>
      <c r="Y41" s="4"/>
      <c r="Z41" s="4"/>
    </row>
    <row r="42" ht="12.0" hidden="1" customHeight="1">
      <c r="A42" s="245" t="s">
        <v>188</v>
      </c>
      <c r="B42" s="125"/>
      <c r="C42" s="4"/>
      <c r="D42" s="4"/>
      <c r="E42" s="4"/>
      <c r="F42" s="17"/>
      <c r="G42" s="4"/>
      <c r="H42" s="4"/>
      <c r="I42" s="3"/>
      <c r="J42" s="3"/>
      <c r="K42" s="4"/>
      <c r="L42" s="4"/>
      <c r="M42" s="4"/>
      <c r="N42" s="4"/>
      <c r="O42" s="4"/>
      <c r="P42" s="4"/>
      <c r="Q42" s="4"/>
      <c r="R42" s="4"/>
      <c r="S42" s="4"/>
      <c r="T42" s="4"/>
      <c r="U42" s="4"/>
      <c r="V42" s="4"/>
      <c r="W42" s="4"/>
      <c r="X42" s="4"/>
      <c r="Y42" s="4"/>
      <c r="Z42" s="4"/>
    </row>
    <row r="43" ht="12.0" hidden="1" customHeight="1">
      <c r="A43" s="247" t="s">
        <v>164</v>
      </c>
      <c r="B43" s="32" t="s">
        <v>165</v>
      </c>
      <c r="C43" s="32" t="s">
        <v>189</v>
      </c>
      <c r="D43" s="271" t="s">
        <v>167</v>
      </c>
      <c r="E43" s="32" t="s">
        <v>168</v>
      </c>
      <c r="F43" s="146" t="s">
        <v>169</v>
      </c>
      <c r="G43" s="84" t="s">
        <v>170</v>
      </c>
      <c r="H43" s="4"/>
      <c r="I43" s="4"/>
      <c r="J43" s="4"/>
      <c r="K43" s="4"/>
      <c r="L43" s="4"/>
      <c r="M43" s="4"/>
      <c r="N43" s="4"/>
      <c r="O43" s="4"/>
      <c r="P43" s="4"/>
      <c r="Q43" s="4"/>
      <c r="R43" s="4"/>
      <c r="S43" s="4"/>
      <c r="T43" s="4"/>
      <c r="U43" s="4"/>
      <c r="V43" s="4"/>
      <c r="W43" s="4"/>
      <c r="X43" s="4"/>
      <c r="Y43" s="4"/>
      <c r="Z43" s="4"/>
    </row>
    <row r="44" ht="12.0" hidden="1" customHeight="1">
      <c r="A44" s="253" t="s">
        <v>5</v>
      </c>
      <c r="B44" s="41" t="str">
        <f t="shared" ref="B44:B46" si="41">+#REF!</f>
        <v>#REF!</v>
      </c>
      <c r="C44" s="41">
        <f>+B9</f>
        <v>0</v>
      </c>
      <c r="D44" s="41">
        <f>$B$10</f>
        <v>60000262</v>
      </c>
      <c r="E44" s="217">
        <f t="shared" ref="E44:E47" si="42">+C44/D44</f>
        <v>0</v>
      </c>
      <c r="F44" s="41" t="str">
        <f t="shared" ref="F44:F46" si="43">+E44*B44</f>
        <v>#REF!</v>
      </c>
      <c r="G44" s="42" t="str">
        <f t="shared" ref="G44:G47" si="44">+F44*$I$1</f>
        <v>#REF!</v>
      </c>
      <c r="H44" s="4"/>
      <c r="I44" s="4"/>
      <c r="J44" s="4"/>
      <c r="K44" s="4"/>
      <c r="L44" s="4"/>
      <c r="M44" s="4"/>
      <c r="N44" s="4"/>
      <c r="O44" s="4"/>
      <c r="P44" s="4"/>
      <c r="Q44" s="4"/>
      <c r="R44" s="4"/>
      <c r="S44" s="4"/>
      <c r="T44" s="4"/>
      <c r="U44" s="4"/>
      <c r="V44" s="4"/>
      <c r="W44" s="4"/>
      <c r="X44" s="4"/>
      <c r="Y44" s="4"/>
      <c r="Z44" s="4"/>
    </row>
    <row r="45" ht="12.0" hidden="1" customHeight="1">
      <c r="A45" s="257" t="s">
        <v>6</v>
      </c>
      <c r="B45" s="17" t="str">
        <f t="shared" si="41"/>
        <v>#REF!</v>
      </c>
      <c r="C45" s="17">
        <f>+C9</f>
        <v>0</v>
      </c>
      <c r="D45" s="17">
        <f>$C$10</f>
        <v>27754394</v>
      </c>
      <c r="E45" s="19">
        <f t="shared" si="42"/>
        <v>0</v>
      </c>
      <c r="F45" s="17" t="str">
        <f t="shared" si="43"/>
        <v>#REF!</v>
      </c>
      <c r="G45" s="48" t="str">
        <f t="shared" si="44"/>
        <v>#REF!</v>
      </c>
      <c r="H45" s="4"/>
      <c r="I45" s="4"/>
      <c r="J45" s="4"/>
      <c r="K45" s="4"/>
      <c r="L45" s="4"/>
      <c r="M45" s="4"/>
      <c r="N45" s="4"/>
      <c r="O45" s="4"/>
      <c r="P45" s="4"/>
      <c r="Q45" s="4"/>
      <c r="R45" s="4"/>
      <c r="S45" s="4"/>
      <c r="T45" s="4"/>
      <c r="U45" s="4"/>
      <c r="V45" s="4"/>
      <c r="W45" s="4"/>
      <c r="X45" s="4"/>
      <c r="Y45" s="4"/>
      <c r="Z45" s="4"/>
    </row>
    <row r="46" ht="12.0" hidden="1" customHeight="1">
      <c r="A46" s="259" t="s">
        <v>8</v>
      </c>
      <c r="B46" s="62" t="str">
        <f t="shared" si="41"/>
        <v>#REF!</v>
      </c>
      <c r="C46" s="62">
        <f>+D9</f>
        <v>0</v>
      </c>
      <c r="D46" s="62">
        <f>$D$10</f>
        <v>19486501</v>
      </c>
      <c r="E46" s="228">
        <f t="shared" si="42"/>
        <v>0</v>
      </c>
      <c r="F46" s="62" t="str">
        <f t="shared" si="43"/>
        <v>#REF!</v>
      </c>
      <c r="G46" s="63" t="str">
        <f t="shared" si="44"/>
        <v>#REF!</v>
      </c>
      <c r="H46" s="4"/>
      <c r="I46" s="4"/>
      <c r="J46" s="4"/>
      <c r="K46" s="4"/>
      <c r="L46" s="4"/>
      <c r="M46" s="4"/>
      <c r="N46" s="4"/>
      <c r="O46" s="4"/>
      <c r="P46" s="4"/>
      <c r="Q46" s="4"/>
      <c r="R46" s="4"/>
      <c r="S46" s="4"/>
      <c r="T46" s="4"/>
      <c r="U46" s="4"/>
      <c r="V46" s="4"/>
      <c r="W46" s="4"/>
      <c r="X46" s="4"/>
      <c r="Y46" s="4"/>
      <c r="Z46" s="4"/>
    </row>
    <row r="47" ht="12.0" hidden="1" customHeight="1">
      <c r="A47" s="247" t="s">
        <v>117</v>
      </c>
      <c r="B47" s="146" t="str">
        <f t="shared" ref="B47:D47" si="45">SUM(B44:B46)</f>
        <v>#REF!</v>
      </c>
      <c r="C47" s="146">
        <f t="shared" si="45"/>
        <v>0</v>
      </c>
      <c r="D47" s="146">
        <f t="shared" si="45"/>
        <v>107241157</v>
      </c>
      <c r="E47" s="149">
        <f t="shared" si="42"/>
        <v>0</v>
      </c>
      <c r="F47" s="146" t="str">
        <f>SUM(F44:F46)</f>
        <v>#REF!</v>
      </c>
      <c r="G47" s="152" t="str">
        <f t="shared" si="44"/>
        <v>#REF!</v>
      </c>
      <c r="H47" s="4"/>
      <c r="I47" s="4"/>
      <c r="J47" s="4"/>
      <c r="K47" s="4"/>
      <c r="L47" s="4"/>
      <c r="M47" s="4"/>
      <c r="N47" s="4"/>
      <c r="O47" s="4"/>
      <c r="P47" s="4"/>
      <c r="Q47" s="4"/>
      <c r="R47" s="4"/>
      <c r="S47" s="4"/>
      <c r="T47" s="4"/>
      <c r="U47" s="4"/>
      <c r="V47" s="4"/>
      <c r="W47" s="4"/>
      <c r="X47" s="4"/>
      <c r="Y47" s="4"/>
      <c r="Z47" s="4"/>
    </row>
    <row r="48" ht="12.0" customHeight="1">
      <c r="A48" s="288" t="s">
        <v>190</v>
      </c>
      <c r="B48" s="4"/>
      <c r="C48" s="49"/>
      <c r="D48" s="4"/>
      <c r="E48" s="49"/>
      <c r="F48" s="17"/>
      <c r="G48" s="4"/>
      <c r="H48" s="4"/>
      <c r="I48" s="4"/>
      <c r="J48" s="4"/>
      <c r="K48" s="4"/>
      <c r="L48" s="4"/>
      <c r="M48" s="4"/>
      <c r="N48" s="4"/>
      <c r="O48" s="4"/>
      <c r="P48" s="4"/>
      <c r="Q48" s="4"/>
      <c r="R48" s="4"/>
      <c r="S48" s="4"/>
      <c r="T48" s="4"/>
      <c r="U48" s="4"/>
      <c r="V48" s="4"/>
      <c r="W48" s="4"/>
      <c r="X48" s="4"/>
      <c r="Y48" s="4"/>
      <c r="Z48" s="4"/>
    </row>
    <row r="49" ht="12.0" customHeight="1">
      <c r="A49" s="9"/>
      <c r="B49" s="4"/>
      <c r="C49" s="4"/>
      <c r="D49" s="4"/>
      <c r="E49" s="4"/>
      <c r="F49" s="17"/>
      <c r="G49" s="4"/>
      <c r="H49" s="4"/>
      <c r="I49" s="4"/>
      <c r="J49" s="4"/>
      <c r="K49" s="4"/>
      <c r="L49" s="4"/>
      <c r="M49" s="4"/>
      <c r="N49" s="4"/>
      <c r="O49" s="4"/>
      <c r="P49" s="4"/>
      <c r="Q49" s="4"/>
      <c r="R49" s="4"/>
      <c r="S49" s="4"/>
      <c r="T49" s="4"/>
      <c r="U49" s="4"/>
      <c r="V49" s="4"/>
      <c r="W49" s="4"/>
      <c r="X49" s="4"/>
      <c r="Y49" s="4"/>
      <c r="Z49" s="4"/>
    </row>
    <row r="50" ht="12.0" customHeight="1">
      <c r="A50" s="161" t="s">
        <v>191</v>
      </c>
      <c r="B50" s="4"/>
      <c r="C50" s="4"/>
      <c r="D50" s="4"/>
      <c r="E50" s="4"/>
      <c r="F50" s="4"/>
      <c r="G50" s="4"/>
      <c r="H50" s="4"/>
      <c r="I50" s="4"/>
      <c r="J50" s="4"/>
      <c r="K50" s="4"/>
      <c r="L50" s="4"/>
      <c r="M50" s="4"/>
      <c r="N50" s="4"/>
      <c r="O50" s="4"/>
      <c r="P50" s="4"/>
      <c r="Q50" s="4"/>
      <c r="R50" s="4"/>
      <c r="S50" s="4"/>
      <c r="T50" s="4"/>
      <c r="U50" s="4"/>
      <c r="V50" s="4"/>
      <c r="W50" s="4"/>
      <c r="X50" s="4"/>
      <c r="Y50" s="4"/>
      <c r="Z50" s="4"/>
    </row>
    <row r="51" ht="12.0" customHeight="1">
      <c r="A51" s="247" t="s">
        <v>100</v>
      </c>
      <c r="B51" s="32" t="s">
        <v>192</v>
      </c>
      <c r="C51" s="32" t="s">
        <v>157</v>
      </c>
      <c r="D51" s="32" t="s">
        <v>193</v>
      </c>
      <c r="E51" s="32" t="s">
        <v>47</v>
      </c>
      <c r="F51" s="32" t="s">
        <v>89</v>
      </c>
      <c r="G51" s="84" t="s">
        <v>117</v>
      </c>
      <c r="H51" s="4"/>
      <c r="I51" s="4"/>
      <c r="J51" s="4"/>
      <c r="K51" s="4"/>
      <c r="L51" s="4"/>
      <c r="M51" s="4"/>
      <c r="N51" s="4"/>
      <c r="O51" s="4"/>
      <c r="P51" s="4"/>
      <c r="Q51" s="4"/>
      <c r="R51" s="4"/>
      <c r="S51" s="4"/>
      <c r="T51" s="4"/>
      <c r="U51" s="4"/>
      <c r="V51" s="4"/>
      <c r="W51" s="4"/>
    </row>
    <row r="52" ht="12.0" customHeight="1">
      <c r="A52" s="253" t="s">
        <v>83</v>
      </c>
      <c r="B52" s="289">
        <f>'TAC Sector Allocations'!F23</f>
        <v>374.7306</v>
      </c>
      <c r="C52" s="44">
        <f>+B52*E18</f>
        <v>94.10779115</v>
      </c>
      <c r="D52" s="44">
        <f>+B52*E25</f>
        <v>59.57981388</v>
      </c>
      <c r="E52" s="44">
        <f>+B52*E32</f>
        <v>82.51735617</v>
      </c>
      <c r="F52" s="44">
        <f>+B52*E39</f>
        <v>138.5256388</v>
      </c>
      <c r="G52" s="290">
        <f t="shared" ref="G52:G55" si="46">SUM(C52:F52)</f>
        <v>374.7306</v>
      </c>
      <c r="H52" s="4"/>
      <c r="I52" s="4"/>
      <c r="J52" s="4"/>
      <c r="K52" s="4"/>
      <c r="L52" s="4"/>
      <c r="M52" s="4"/>
      <c r="N52" s="4"/>
      <c r="O52" s="4"/>
      <c r="P52" s="4"/>
      <c r="Q52" s="4"/>
      <c r="R52" s="4"/>
      <c r="S52" s="4"/>
      <c r="T52" s="4"/>
      <c r="U52" s="4"/>
      <c r="V52" s="4"/>
      <c r="W52" s="4"/>
    </row>
    <row r="53" ht="12.0" customHeight="1">
      <c r="A53" s="257" t="s">
        <v>125</v>
      </c>
      <c r="B53" s="291">
        <f>'TAC Sector Allocations'!F22</f>
        <v>550.440225</v>
      </c>
      <c r="C53" s="49">
        <f>+B53*E18</f>
        <v>138.2345443</v>
      </c>
      <c r="D53" s="49">
        <f>+B53*E25</f>
        <v>87.51654164</v>
      </c>
      <c r="E53" s="49">
        <f>+B53*E32</f>
        <v>121.2094024</v>
      </c>
      <c r="F53" s="49">
        <f>+E39*B53</f>
        <v>203.4797366</v>
      </c>
      <c r="G53" s="292">
        <f t="shared" si="46"/>
        <v>550.440225</v>
      </c>
      <c r="H53" s="4"/>
      <c r="I53" s="4"/>
      <c r="J53" s="4"/>
      <c r="K53" s="4"/>
      <c r="L53" s="4"/>
      <c r="M53" s="4"/>
      <c r="N53" s="4"/>
      <c r="O53" s="4"/>
      <c r="P53" s="4"/>
      <c r="Q53" s="4"/>
      <c r="R53" s="4"/>
      <c r="S53" s="4"/>
      <c r="T53" s="4"/>
      <c r="U53" s="4"/>
      <c r="V53" s="4"/>
      <c r="W53" s="4"/>
    </row>
    <row r="54" ht="12.0" customHeight="1">
      <c r="A54" s="257" t="s">
        <v>130</v>
      </c>
      <c r="B54" s="291">
        <f>'TAC Sector Allocations'!F28</f>
        <v>46.256</v>
      </c>
      <c r="C54" s="49">
        <f>+B54*E18</f>
        <v>11.61647858</v>
      </c>
      <c r="D54" s="49">
        <f>+B54*E25</f>
        <v>7.354413733</v>
      </c>
      <c r="E54" s="49">
        <f>+B54*E32</f>
        <v>10.18577834</v>
      </c>
      <c r="F54" s="49">
        <f>+B54*E39</f>
        <v>17.09932935</v>
      </c>
      <c r="G54" s="292">
        <f t="shared" si="46"/>
        <v>46.256</v>
      </c>
      <c r="H54" s="4"/>
      <c r="I54" s="4"/>
      <c r="J54" s="4"/>
      <c r="K54" s="4"/>
      <c r="L54" s="4"/>
      <c r="M54" s="4"/>
      <c r="N54" s="4"/>
      <c r="O54" s="4"/>
      <c r="P54" s="4"/>
      <c r="Q54" s="4"/>
      <c r="R54" s="4"/>
      <c r="S54" s="4"/>
      <c r="T54" s="4"/>
      <c r="U54" s="4"/>
      <c r="V54" s="4"/>
      <c r="W54" s="4"/>
    </row>
    <row r="55" ht="12.0" customHeight="1">
      <c r="A55" s="259" t="s">
        <v>86</v>
      </c>
      <c r="B55" s="293">
        <f>'TAC Sector Allocations'!F37</f>
        <v>117.3375</v>
      </c>
      <c r="C55" s="64">
        <f>+B55*E18</f>
        <v>29.4674973</v>
      </c>
      <c r="D55" s="64">
        <f>+B55*E25</f>
        <v>18.65592618</v>
      </c>
      <c r="E55" s="64">
        <f>+B55*E32</f>
        <v>25.83824294</v>
      </c>
      <c r="F55" s="64">
        <f>+B55*E39</f>
        <v>43.37583358</v>
      </c>
      <c r="G55" s="294">
        <f t="shared" si="46"/>
        <v>117.3375</v>
      </c>
      <c r="H55" s="4"/>
      <c r="I55" s="4"/>
      <c r="J55" s="4"/>
      <c r="K55" s="4"/>
      <c r="L55" s="4"/>
      <c r="M55" s="4"/>
      <c r="N55" s="4"/>
      <c r="O55" s="4"/>
      <c r="P55" s="4"/>
      <c r="Q55" s="4"/>
      <c r="R55" s="4"/>
      <c r="S55" s="4"/>
      <c r="T55" s="4"/>
      <c r="U55" s="4"/>
      <c r="V55" s="4"/>
      <c r="W55" s="4"/>
    </row>
    <row r="56" ht="12.0" customHeight="1">
      <c r="A56" s="9"/>
      <c r="B56" s="4"/>
      <c r="C56" s="4"/>
      <c r="D56" s="4"/>
      <c r="E56" s="4"/>
      <c r="F56" s="4"/>
      <c r="G56" s="4"/>
      <c r="H56" s="4"/>
      <c r="I56" s="4"/>
      <c r="J56" s="4"/>
      <c r="K56" s="4"/>
      <c r="L56" s="4"/>
      <c r="M56" s="4"/>
      <c r="N56" s="4"/>
      <c r="O56" s="4"/>
      <c r="P56" s="4"/>
      <c r="Q56" s="4"/>
      <c r="R56" s="4"/>
      <c r="S56" s="4"/>
      <c r="T56" s="4"/>
      <c r="U56" s="4"/>
      <c r="V56" s="4"/>
      <c r="W56" s="4"/>
      <c r="X56" s="4"/>
      <c r="Y56" s="4"/>
    </row>
    <row r="57" ht="12.0" customHeight="1">
      <c r="A57" s="9"/>
      <c r="B57" s="4"/>
      <c r="C57" s="4"/>
      <c r="D57" s="4"/>
      <c r="E57" s="4"/>
      <c r="F57" s="4"/>
      <c r="G57" s="4"/>
      <c r="H57" s="4"/>
      <c r="I57" s="4"/>
      <c r="J57" s="4"/>
      <c r="K57" s="4"/>
      <c r="L57" s="4"/>
      <c r="M57" s="4"/>
      <c r="N57" s="4"/>
      <c r="O57" s="4"/>
      <c r="P57" s="4"/>
      <c r="Q57" s="4"/>
      <c r="R57" s="4"/>
      <c r="S57" s="4"/>
      <c r="T57" s="4"/>
      <c r="U57" s="4"/>
      <c r="V57" s="4"/>
      <c r="W57" s="4"/>
      <c r="X57" s="4"/>
      <c r="Y57" s="4"/>
    </row>
    <row r="58" ht="12.0" customHeight="1">
      <c r="A58" s="161" t="s">
        <v>194</v>
      </c>
      <c r="B58" s="4"/>
      <c r="C58" s="4"/>
      <c r="D58" s="4"/>
      <c r="E58" s="4"/>
      <c r="F58" s="4"/>
      <c r="G58" s="4"/>
      <c r="H58" s="4"/>
      <c r="I58" s="4"/>
      <c r="J58" s="4"/>
      <c r="K58" s="4"/>
      <c r="L58" s="4"/>
      <c r="M58" s="4"/>
      <c r="N58" s="4"/>
      <c r="O58" s="4"/>
      <c r="P58" s="4"/>
      <c r="Q58" s="4"/>
      <c r="R58" s="4"/>
      <c r="S58" s="4"/>
      <c r="T58" s="4"/>
      <c r="U58" s="4"/>
      <c r="V58" s="4"/>
      <c r="W58" s="4"/>
      <c r="X58" s="4"/>
      <c r="Y58" s="4"/>
    </row>
    <row r="59" ht="12.0" customHeight="1">
      <c r="A59" s="247" t="s">
        <v>100</v>
      </c>
      <c r="B59" s="32" t="s">
        <v>192</v>
      </c>
      <c r="C59" s="32" t="s">
        <v>157</v>
      </c>
      <c r="D59" s="32" t="s">
        <v>193</v>
      </c>
      <c r="E59" s="32" t="s">
        <v>47</v>
      </c>
      <c r="F59" s="32" t="s">
        <v>89</v>
      </c>
      <c r="G59" s="84" t="s">
        <v>117</v>
      </c>
      <c r="H59" s="4"/>
      <c r="I59" s="4"/>
      <c r="J59" s="4"/>
      <c r="K59" s="4"/>
      <c r="L59" s="4"/>
      <c r="M59" s="4"/>
      <c r="N59" s="4"/>
      <c r="O59" s="4"/>
      <c r="P59" s="4"/>
      <c r="Q59" s="4"/>
      <c r="R59" s="4"/>
      <c r="S59" s="4"/>
      <c r="T59" s="4"/>
      <c r="U59" s="4"/>
      <c r="V59" s="4"/>
      <c r="W59" s="4"/>
    </row>
    <row r="60" ht="12.0" customHeight="1">
      <c r="A60" s="253" t="s">
        <v>83</v>
      </c>
      <c r="B60" s="295">
        <f t="shared" ref="B60:F60" si="47">+B52*$I$1</f>
        <v>826138.5754</v>
      </c>
      <c r="C60" s="41">
        <f t="shared" si="47"/>
        <v>207471.9185</v>
      </c>
      <c r="D60" s="41">
        <f t="shared" si="47"/>
        <v>131350.8493</v>
      </c>
      <c r="E60" s="41">
        <f t="shared" si="47"/>
        <v>181919.4138</v>
      </c>
      <c r="F60" s="41">
        <f t="shared" si="47"/>
        <v>305396.3938</v>
      </c>
      <c r="G60" s="296">
        <f t="shared" ref="G60:G63" si="49">SUM(C60:F60)</f>
        <v>826138.5754</v>
      </c>
      <c r="H60" s="4"/>
      <c r="I60" s="4"/>
      <c r="J60" s="4"/>
      <c r="K60" s="4"/>
      <c r="L60" s="4"/>
      <c r="M60" s="4"/>
      <c r="N60" s="4"/>
      <c r="O60" s="4"/>
      <c r="P60" s="4"/>
      <c r="Q60" s="4"/>
      <c r="R60" s="4"/>
      <c r="S60" s="4"/>
      <c r="T60" s="4"/>
      <c r="U60" s="4"/>
      <c r="V60" s="4"/>
      <c r="W60" s="4"/>
    </row>
    <row r="61" ht="12.0" customHeight="1">
      <c r="A61" s="257" t="s">
        <v>125</v>
      </c>
      <c r="B61" s="297">
        <f t="shared" ref="B61:F61" si="48">+B53*$I$1</f>
        <v>1213511.529</v>
      </c>
      <c r="C61" s="17">
        <f t="shared" si="48"/>
        <v>304754.6411</v>
      </c>
      <c r="D61" s="17">
        <f t="shared" si="48"/>
        <v>192940.718</v>
      </c>
      <c r="E61" s="17">
        <f t="shared" si="48"/>
        <v>267220.6728</v>
      </c>
      <c r="F61" s="17">
        <f t="shared" si="48"/>
        <v>448595.4969</v>
      </c>
      <c r="G61" s="298">
        <f t="shared" si="49"/>
        <v>1213511.529</v>
      </c>
      <c r="H61" s="4"/>
      <c r="I61" s="4"/>
      <c r="J61" s="4"/>
      <c r="K61" s="4"/>
      <c r="L61" s="4"/>
      <c r="M61" s="4"/>
      <c r="N61" s="4"/>
      <c r="O61" s="4"/>
      <c r="P61" s="4"/>
      <c r="Q61" s="4"/>
      <c r="R61" s="4"/>
      <c r="S61" s="4"/>
      <c r="T61" s="4"/>
      <c r="U61" s="4"/>
      <c r="V61" s="4"/>
      <c r="W61" s="4"/>
    </row>
    <row r="62" ht="12.0" customHeight="1">
      <c r="A62" s="257" t="s">
        <v>130</v>
      </c>
      <c r="B62" s="297">
        <f t="shared" ref="B62:F62" si="50">+B54*$I$1</f>
        <v>101976.9027</v>
      </c>
      <c r="C62" s="17">
        <f t="shared" si="50"/>
        <v>25609.921</v>
      </c>
      <c r="D62" s="17">
        <f t="shared" si="50"/>
        <v>16213.6876</v>
      </c>
      <c r="E62" s="17">
        <f t="shared" si="50"/>
        <v>22455.77063</v>
      </c>
      <c r="F62" s="17">
        <f t="shared" si="50"/>
        <v>37697.52348</v>
      </c>
      <c r="G62" s="298">
        <f t="shared" si="49"/>
        <v>101976.9027</v>
      </c>
      <c r="H62" s="4"/>
      <c r="I62" s="4"/>
      <c r="J62" s="4"/>
      <c r="K62" s="4"/>
      <c r="L62" s="4"/>
      <c r="M62" s="4"/>
      <c r="N62" s="4"/>
      <c r="O62" s="4"/>
      <c r="P62" s="4"/>
      <c r="Q62" s="4"/>
      <c r="R62" s="4"/>
      <c r="S62" s="4"/>
      <c r="T62" s="4"/>
      <c r="U62" s="4"/>
      <c r="V62" s="4"/>
      <c r="W62" s="4"/>
    </row>
    <row r="63" ht="12.0" customHeight="1">
      <c r="A63" s="259" t="s">
        <v>86</v>
      </c>
      <c r="B63" s="299">
        <f t="shared" ref="B63:F63" si="51">+B55*$I$1</f>
        <v>258684.5993</v>
      </c>
      <c r="C63" s="62">
        <f t="shared" si="51"/>
        <v>64964.6339</v>
      </c>
      <c r="D63" s="62">
        <f t="shared" si="51"/>
        <v>41129.22798</v>
      </c>
      <c r="E63" s="62">
        <f t="shared" si="51"/>
        <v>56963.50715</v>
      </c>
      <c r="F63" s="62">
        <f t="shared" si="51"/>
        <v>95627.23022</v>
      </c>
      <c r="G63" s="300">
        <f t="shared" si="49"/>
        <v>258684.5993</v>
      </c>
      <c r="H63" s="4"/>
      <c r="I63" s="4"/>
      <c r="J63" s="4"/>
      <c r="K63" s="4"/>
      <c r="L63" s="4"/>
      <c r="M63" s="4"/>
      <c r="N63" s="4"/>
      <c r="O63" s="4"/>
      <c r="P63" s="4"/>
      <c r="Q63" s="4"/>
      <c r="R63" s="4"/>
      <c r="S63" s="4"/>
      <c r="T63" s="4"/>
      <c r="U63" s="4"/>
      <c r="V63" s="4"/>
      <c r="W63" s="4"/>
    </row>
    <row r="64" ht="12.0" customHeight="1">
      <c r="A64" s="241" t="s">
        <v>195</v>
      </c>
      <c r="B64" s="4"/>
      <c r="C64" s="4"/>
      <c r="D64" s="4"/>
      <c r="E64" s="4"/>
      <c r="F64" s="4"/>
      <c r="G64" s="4"/>
      <c r="H64" s="4"/>
      <c r="I64" s="4"/>
      <c r="J64" s="4"/>
      <c r="K64" s="4"/>
      <c r="L64" s="4"/>
      <c r="M64" s="4"/>
      <c r="N64" s="4"/>
      <c r="O64" s="4"/>
      <c r="P64" s="4"/>
      <c r="Q64" s="4"/>
      <c r="R64" s="4"/>
      <c r="S64" s="4"/>
      <c r="T64" s="4"/>
      <c r="U64" s="4"/>
      <c r="V64" s="4"/>
      <c r="W64" s="4"/>
      <c r="X64" s="4"/>
      <c r="Y64" s="4"/>
      <c r="Z64" s="4"/>
    </row>
    <row r="65" ht="12.0" customHeight="1">
      <c r="A65" s="9"/>
      <c r="B65" s="4"/>
      <c r="C65" s="4"/>
      <c r="D65" s="4"/>
      <c r="E65" s="4"/>
      <c r="F65" s="4"/>
      <c r="G65" s="4"/>
      <c r="H65" s="4"/>
      <c r="I65" s="4"/>
      <c r="J65" s="4"/>
      <c r="K65" s="4"/>
      <c r="L65" s="4"/>
      <c r="M65" s="4"/>
      <c r="N65" s="4"/>
      <c r="O65" s="4"/>
      <c r="P65" s="4"/>
      <c r="Q65" s="4"/>
      <c r="R65" s="4"/>
      <c r="S65" s="4"/>
      <c r="T65" s="4"/>
      <c r="U65" s="4"/>
      <c r="V65" s="4"/>
      <c r="W65" s="4"/>
      <c r="X65" s="4"/>
      <c r="Y65" s="4"/>
      <c r="Z65" s="4"/>
    </row>
    <row r="66" ht="12.0" customHeight="1">
      <c r="A66" s="9"/>
      <c r="B66" s="4"/>
      <c r="C66" s="4"/>
      <c r="D66" s="4"/>
      <c r="E66" s="4"/>
      <c r="F66" s="4"/>
      <c r="G66" s="4"/>
      <c r="H66" s="4"/>
      <c r="I66" s="4"/>
      <c r="J66" s="4"/>
      <c r="K66" s="4"/>
      <c r="L66" s="4"/>
      <c r="M66" s="4"/>
      <c r="N66" s="4"/>
      <c r="O66" s="4"/>
      <c r="P66" s="4"/>
      <c r="Q66" s="4"/>
      <c r="R66" s="4"/>
      <c r="S66" s="4"/>
      <c r="T66" s="4"/>
      <c r="U66" s="4"/>
      <c r="V66" s="4"/>
      <c r="W66" s="4"/>
      <c r="X66" s="4"/>
      <c r="Y66" s="4"/>
      <c r="Z66" s="4"/>
    </row>
    <row r="67" ht="12.0" customHeight="1">
      <c r="A67" s="9"/>
      <c r="B67" s="4"/>
      <c r="C67" s="4"/>
      <c r="D67" s="4"/>
      <c r="E67" s="4"/>
      <c r="F67" s="4"/>
      <c r="G67" s="4"/>
      <c r="H67" s="4"/>
      <c r="I67" s="4"/>
      <c r="J67" s="4"/>
      <c r="K67" s="4"/>
      <c r="L67" s="4"/>
      <c r="M67" s="4"/>
      <c r="N67" s="4"/>
      <c r="O67" s="4"/>
      <c r="P67" s="4"/>
      <c r="Q67" s="4"/>
      <c r="R67" s="4"/>
      <c r="S67" s="4"/>
      <c r="T67" s="4"/>
      <c r="U67" s="4"/>
      <c r="V67" s="4"/>
      <c r="W67" s="4"/>
      <c r="X67" s="4"/>
      <c r="Y67" s="4"/>
      <c r="Z67" s="4"/>
    </row>
    <row r="68" ht="12.0" customHeight="1">
      <c r="A68" s="9"/>
      <c r="B68" s="4"/>
      <c r="C68" s="4"/>
      <c r="D68" s="4"/>
      <c r="E68" s="4"/>
      <c r="F68" s="4"/>
      <c r="G68" s="4"/>
      <c r="H68" s="4"/>
      <c r="I68" s="4"/>
      <c r="J68" s="4"/>
      <c r="K68" s="4"/>
      <c r="L68" s="4"/>
      <c r="M68" s="4"/>
      <c r="N68" s="4"/>
      <c r="O68" s="4"/>
      <c r="P68" s="4"/>
      <c r="Q68" s="4"/>
      <c r="R68" s="4"/>
      <c r="S68" s="4"/>
      <c r="T68" s="4"/>
      <c r="U68" s="4"/>
      <c r="V68" s="4"/>
      <c r="W68" s="4"/>
      <c r="X68" s="4"/>
      <c r="Y68" s="4"/>
      <c r="Z68" s="4"/>
    </row>
    <row r="69" ht="12.0" customHeight="1">
      <c r="A69" s="9"/>
      <c r="B69" s="4"/>
      <c r="C69" s="4"/>
      <c r="D69" s="4"/>
      <c r="E69" s="4"/>
      <c r="F69" s="4"/>
      <c r="G69" s="4"/>
      <c r="H69" s="4"/>
      <c r="I69" s="4"/>
      <c r="J69" s="4"/>
      <c r="K69" s="4"/>
      <c r="L69" s="4"/>
      <c r="M69" s="4"/>
      <c r="N69" s="4"/>
      <c r="O69" s="4"/>
      <c r="P69" s="4"/>
      <c r="Q69" s="4"/>
      <c r="R69" s="4"/>
      <c r="S69" s="4"/>
      <c r="T69" s="4"/>
      <c r="U69" s="4"/>
      <c r="V69" s="4"/>
      <c r="W69" s="4"/>
      <c r="X69" s="4"/>
      <c r="Y69" s="4"/>
      <c r="Z69" s="4"/>
    </row>
    <row r="70" ht="12.0" customHeight="1">
      <c r="A70" s="9"/>
      <c r="B70" s="4"/>
      <c r="C70" s="4"/>
      <c r="D70" s="4"/>
      <c r="E70" s="4"/>
      <c r="F70" s="4"/>
      <c r="G70" s="4"/>
      <c r="H70" s="4"/>
      <c r="I70" s="4"/>
      <c r="J70" s="4"/>
      <c r="K70" s="4"/>
      <c r="L70" s="4"/>
      <c r="M70" s="4"/>
      <c r="N70" s="4"/>
      <c r="O70" s="4"/>
      <c r="P70" s="4"/>
      <c r="Q70" s="4"/>
      <c r="R70" s="4"/>
      <c r="S70" s="4"/>
      <c r="T70" s="4"/>
      <c r="U70" s="4"/>
      <c r="V70" s="4"/>
      <c r="W70" s="4"/>
      <c r="X70" s="4"/>
      <c r="Y70" s="4"/>
      <c r="Z70" s="4"/>
    </row>
    <row r="71" ht="12.0" customHeight="1">
      <c r="A71" s="9"/>
      <c r="B71" s="4"/>
      <c r="C71" s="4"/>
      <c r="D71" s="4"/>
      <c r="E71" s="4"/>
      <c r="F71" s="4"/>
      <c r="G71" s="4"/>
      <c r="H71" s="4"/>
      <c r="I71" s="4"/>
      <c r="J71" s="4"/>
      <c r="K71" s="4"/>
      <c r="L71" s="4"/>
      <c r="M71" s="4"/>
      <c r="N71" s="4"/>
      <c r="O71" s="4"/>
      <c r="P71" s="4"/>
      <c r="Q71" s="4"/>
      <c r="R71" s="4"/>
      <c r="S71" s="4"/>
      <c r="T71" s="4"/>
      <c r="U71" s="4"/>
      <c r="V71" s="4"/>
      <c r="W71" s="4"/>
      <c r="X71" s="4"/>
      <c r="Y71" s="4"/>
      <c r="Z71" s="4"/>
    </row>
    <row r="72" ht="12.0" customHeight="1">
      <c r="A72" s="9"/>
      <c r="B72" s="4"/>
      <c r="C72" s="4"/>
      <c r="D72" s="4"/>
      <c r="E72" s="4"/>
      <c r="F72" s="4"/>
      <c r="G72" s="4"/>
      <c r="H72" s="4"/>
      <c r="I72" s="4"/>
      <c r="J72" s="4"/>
      <c r="K72" s="4"/>
      <c r="L72" s="4"/>
      <c r="M72" s="4"/>
      <c r="N72" s="4"/>
      <c r="O72" s="4"/>
      <c r="P72" s="4"/>
      <c r="Q72" s="4"/>
      <c r="R72" s="4"/>
      <c r="S72" s="4"/>
      <c r="T72" s="4"/>
      <c r="U72" s="4"/>
      <c r="V72" s="4"/>
      <c r="W72" s="4"/>
      <c r="X72" s="4"/>
      <c r="Y72" s="4"/>
      <c r="Z72" s="4"/>
    </row>
    <row r="73" ht="12.0" customHeight="1">
      <c r="A73" s="9"/>
      <c r="B73" s="4"/>
      <c r="C73" s="4"/>
      <c r="D73" s="4"/>
      <c r="E73" s="4"/>
      <c r="F73" s="4"/>
      <c r="G73" s="4"/>
      <c r="H73" s="4"/>
      <c r="I73" s="4"/>
      <c r="J73" s="4"/>
      <c r="K73" s="4"/>
      <c r="L73" s="4"/>
      <c r="M73" s="4"/>
      <c r="N73" s="4"/>
      <c r="O73" s="4"/>
      <c r="P73" s="4"/>
      <c r="Q73" s="4"/>
      <c r="R73" s="4"/>
      <c r="S73" s="4"/>
      <c r="T73" s="4"/>
      <c r="U73" s="4"/>
      <c r="V73" s="4"/>
      <c r="W73" s="4"/>
      <c r="X73" s="4"/>
      <c r="Y73" s="4"/>
      <c r="Z73" s="4"/>
    </row>
    <row r="74" ht="12.0" customHeight="1">
      <c r="A74" s="9"/>
      <c r="B74" s="4"/>
      <c r="C74" s="4"/>
      <c r="D74" s="4"/>
      <c r="E74" s="4"/>
      <c r="F74" s="4"/>
      <c r="G74" s="4"/>
      <c r="H74" s="4"/>
      <c r="I74" s="4"/>
      <c r="J74" s="4"/>
      <c r="K74" s="4"/>
      <c r="L74" s="4"/>
      <c r="M74" s="4"/>
      <c r="N74" s="4"/>
      <c r="O74" s="4"/>
      <c r="P74" s="4"/>
      <c r="Q74" s="4"/>
      <c r="R74" s="4"/>
      <c r="S74" s="4"/>
      <c r="T74" s="4"/>
      <c r="U74" s="4"/>
      <c r="V74" s="4"/>
      <c r="W74" s="4"/>
      <c r="X74" s="4"/>
      <c r="Y74" s="4"/>
      <c r="Z74" s="4"/>
    </row>
    <row r="75" ht="12.0" customHeight="1">
      <c r="A75" s="9"/>
      <c r="B75" s="4"/>
      <c r="C75" s="4"/>
      <c r="D75" s="4"/>
      <c r="E75" s="4"/>
      <c r="F75" s="4"/>
      <c r="G75" s="4"/>
      <c r="H75" s="4"/>
      <c r="I75" s="4"/>
      <c r="J75" s="4"/>
      <c r="K75" s="4"/>
      <c r="L75" s="4"/>
      <c r="M75" s="4"/>
      <c r="N75" s="4"/>
      <c r="O75" s="4"/>
      <c r="P75" s="4"/>
      <c r="Q75" s="4"/>
      <c r="R75" s="4"/>
      <c r="S75" s="4"/>
      <c r="T75" s="4"/>
      <c r="U75" s="4"/>
      <c r="V75" s="4"/>
      <c r="W75" s="4"/>
      <c r="X75" s="4"/>
      <c r="Y75" s="4"/>
      <c r="Z75" s="4"/>
    </row>
    <row r="76" ht="12.0" customHeight="1">
      <c r="A76" s="9"/>
      <c r="B76" s="4"/>
      <c r="C76" s="4"/>
      <c r="D76" s="4"/>
      <c r="E76" s="4"/>
      <c r="F76" s="4"/>
      <c r="G76" s="4"/>
      <c r="H76" s="4"/>
      <c r="I76" s="4"/>
      <c r="J76" s="4"/>
      <c r="K76" s="4"/>
      <c r="L76" s="4"/>
      <c r="M76" s="4"/>
      <c r="N76" s="4"/>
      <c r="O76" s="4"/>
      <c r="P76" s="4"/>
      <c r="Q76" s="4"/>
      <c r="R76" s="4"/>
      <c r="S76" s="4"/>
      <c r="T76" s="4"/>
      <c r="U76" s="4"/>
      <c r="V76" s="4"/>
      <c r="W76" s="4"/>
      <c r="X76" s="4"/>
      <c r="Y76" s="4"/>
      <c r="Z76" s="4"/>
    </row>
    <row r="77" ht="12.0" customHeight="1">
      <c r="A77" s="9"/>
      <c r="B77" s="4"/>
      <c r="C77" s="4"/>
      <c r="D77" s="4"/>
      <c r="E77" s="4"/>
      <c r="F77" s="4"/>
      <c r="G77" s="4"/>
      <c r="H77" s="4"/>
      <c r="I77" s="4"/>
      <c r="J77" s="4"/>
      <c r="K77" s="4"/>
      <c r="L77" s="4"/>
      <c r="M77" s="4"/>
      <c r="N77" s="4"/>
      <c r="O77" s="4"/>
      <c r="P77" s="4"/>
      <c r="Q77" s="4"/>
      <c r="R77" s="4"/>
      <c r="S77" s="4"/>
      <c r="T77" s="4"/>
      <c r="U77" s="4"/>
      <c r="V77" s="4"/>
      <c r="W77" s="4"/>
      <c r="X77" s="4"/>
      <c r="Y77" s="4"/>
      <c r="Z77" s="4"/>
    </row>
    <row r="78" ht="12.0" customHeight="1">
      <c r="A78" s="9"/>
      <c r="B78" s="4"/>
      <c r="C78" s="4"/>
      <c r="D78" s="4"/>
      <c r="E78" s="4"/>
      <c r="F78" s="4"/>
      <c r="G78" s="4"/>
      <c r="H78" s="4"/>
      <c r="I78" s="4"/>
      <c r="J78" s="4"/>
      <c r="K78" s="4"/>
      <c r="L78" s="4"/>
      <c r="M78" s="4"/>
      <c r="N78" s="4"/>
      <c r="O78" s="4"/>
      <c r="P78" s="4"/>
      <c r="Q78" s="4"/>
      <c r="R78" s="4"/>
      <c r="S78" s="4"/>
      <c r="T78" s="4"/>
      <c r="U78" s="4"/>
      <c r="V78" s="4"/>
      <c r="W78" s="4"/>
      <c r="X78" s="4"/>
      <c r="Y78" s="4"/>
      <c r="Z78" s="4"/>
    </row>
    <row r="79" ht="12.0" customHeight="1">
      <c r="A79" s="9"/>
      <c r="B79" s="4"/>
      <c r="C79" s="4"/>
      <c r="D79" s="4"/>
      <c r="E79" s="4"/>
      <c r="F79" s="4"/>
      <c r="G79" s="4"/>
      <c r="H79" s="4"/>
      <c r="I79" s="4"/>
      <c r="J79" s="4"/>
      <c r="K79" s="4"/>
      <c r="L79" s="4"/>
      <c r="M79" s="4"/>
      <c r="N79" s="4"/>
      <c r="O79" s="4"/>
      <c r="P79" s="4"/>
      <c r="Q79" s="4"/>
      <c r="R79" s="4"/>
      <c r="S79" s="4"/>
      <c r="T79" s="4"/>
      <c r="U79" s="4"/>
      <c r="V79" s="4"/>
      <c r="W79" s="4"/>
      <c r="X79" s="4"/>
      <c r="Y79" s="4"/>
      <c r="Z79" s="4"/>
    </row>
    <row r="80" ht="12.0" customHeight="1">
      <c r="A80" s="9"/>
      <c r="B80" s="4"/>
      <c r="C80" s="4"/>
      <c r="D80" s="4"/>
      <c r="E80" s="4"/>
      <c r="F80" s="4"/>
      <c r="G80" s="4"/>
      <c r="H80" s="4"/>
      <c r="I80" s="4"/>
      <c r="J80" s="4"/>
      <c r="K80" s="4"/>
      <c r="L80" s="4"/>
      <c r="M80" s="4"/>
      <c r="N80" s="4"/>
      <c r="O80" s="4"/>
      <c r="P80" s="4"/>
      <c r="Q80" s="4"/>
      <c r="R80" s="4"/>
      <c r="S80" s="4"/>
      <c r="T80" s="4"/>
      <c r="U80" s="4"/>
      <c r="V80" s="4"/>
      <c r="W80" s="4"/>
      <c r="X80" s="4"/>
      <c r="Y80" s="4"/>
      <c r="Z80" s="4"/>
    </row>
    <row r="81" ht="12.0" customHeight="1">
      <c r="A81" s="9"/>
      <c r="B81" s="4"/>
      <c r="C81" s="4"/>
      <c r="D81" s="4"/>
      <c r="E81" s="4"/>
      <c r="F81" s="4"/>
      <c r="G81" s="4"/>
      <c r="H81" s="4"/>
      <c r="I81" s="4"/>
      <c r="J81" s="4"/>
      <c r="K81" s="4"/>
      <c r="L81" s="4"/>
      <c r="M81" s="4"/>
      <c r="N81" s="4"/>
      <c r="O81" s="4"/>
      <c r="P81" s="4"/>
      <c r="Q81" s="4"/>
      <c r="R81" s="4"/>
      <c r="S81" s="4"/>
      <c r="T81" s="4"/>
      <c r="U81" s="4"/>
      <c r="V81" s="4"/>
      <c r="W81" s="4"/>
      <c r="X81" s="4"/>
      <c r="Y81" s="4"/>
      <c r="Z81" s="4"/>
    </row>
    <row r="82" ht="12.0" customHeight="1">
      <c r="A82" s="9"/>
      <c r="B82" s="4"/>
      <c r="C82" s="4"/>
      <c r="D82" s="4"/>
      <c r="E82" s="4"/>
      <c r="F82" s="4"/>
      <c r="G82" s="4"/>
      <c r="H82" s="4"/>
      <c r="I82" s="4"/>
      <c r="J82" s="4"/>
      <c r="K82" s="4"/>
      <c r="L82" s="4"/>
      <c r="M82" s="4"/>
      <c r="N82" s="4"/>
      <c r="O82" s="4"/>
      <c r="P82" s="4"/>
      <c r="Q82" s="4"/>
      <c r="R82" s="4"/>
      <c r="S82" s="4"/>
      <c r="T82" s="4"/>
      <c r="U82" s="4"/>
      <c r="V82" s="4"/>
      <c r="W82" s="4"/>
      <c r="X82" s="4"/>
      <c r="Y82" s="4"/>
      <c r="Z82" s="4"/>
    </row>
    <row r="83" ht="12.0" customHeight="1">
      <c r="A83" s="9"/>
      <c r="B83" s="4"/>
      <c r="C83" s="4"/>
      <c r="D83" s="4"/>
      <c r="E83" s="4"/>
      <c r="F83" s="4"/>
      <c r="G83" s="4"/>
      <c r="H83" s="4"/>
      <c r="I83" s="4"/>
      <c r="J83" s="4"/>
      <c r="K83" s="4"/>
      <c r="L83" s="4"/>
      <c r="M83" s="4"/>
      <c r="N83" s="4"/>
      <c r="O83" s="4"/>
      <c r="P83" s="4"/>
      <c r="Q83" s="4"/>
      <c r="R83" s="4"/>
      <c r="S83" s="4"/>
      <c r="T83" s="4"/>
      <c r="U83" s="4"/>
      <c r="V83" s="4"/>
      <c r="W83" s="4"/>
      <c r="X83" s="4"/>
      <c r="Y83" s="4"/>
      <c r="Z83" s="4"/>
    </row>
    <row r="84" ht="12.0" customHeight="1">
      <c r="A84" s="9"/>
      <c r="B84" s="4"/>
      <c r="C84" s="4"/>
      <c r="D84" s="4"/>
      <c r="E84" s="4"/>
      <c r="F84" s="4"/>
      <c r="G84" s="4"/>
      <c r="H84" s="4"/>
      <c r="I84" s="4"/>
      <c r="J84" s="4"/>
      <c r="K84" s="4"/>
      <c r="L84" s="4"/>
      <c r="M84" s="4"/>
      <c r="N84" s="4"/>
      <c r="O84" s="4"/>
      <c r="P84" s="4"/>
      <c r="Q84" s="4"/>
      <c r="R84" s="4"/>
      <c r="S84" s="4"/>
      <c r="T84" s="4"/>
      <c r="U84" s="4"/>
      <c r="V84" s="4"/>
      <c r="W84" s="4"/>
      <c r="X84" s="4"/>
      <c r="Y84" s="4"/>
      <c r="Z84" s="4"/>
    </row>
    <row r="85" ht="12.0" customHeight="1">
      <c r="A85" s="9"/>
      <c r="B85" s="4"/>
      <c r="C85" s="4"/>
      <c r="D85" s="4"/>
      <c r="E85" s="4"/>
      <c r="F85" s="4"/>
      <c r="G85" s="4"/>
      <c r="H85" s="4"/>
      <c r="I85" s="4"/>
      <c r="J85" s="4"/>
      <c r="K85" s="4"/>
      <c r="L85" s="4"/>
      <c r="M85" s="4"/>
      <c r="N85" s="4"/>
      <c r="O85" s="4"/>
      <c r="P85" s="4"/>
      <c r="Q85" s="4"/>
      <c r="R85" s="4"/>
      <c r="S85" s="4"/>
      <c r="T85" s="4"/>
      <c r="U85" s="4"/>
      <c r="V85" s="4"/>
      <c r="W85" s="4"/>
      <c r="X85" s="4"/>
      <c r="Y85" s="4"/>
      <c r="Z85" s="4"/>
    </row>
    <row r="86" ht="12.0" customHeight="1">
      <c r="A86" s="9"/>
      <c r="B86" s="4"/>
      <c r="C86" s="4"/>
      <c r="D86" s="4"/>
      <c r="E86" s="4"/>
      <c r="F86" s="4"/>
      <c r="G86" s="4"/>
      <c r="H86" s="4"/>
      <c r="I86" s="4"/>
      <c r="J86" s="4"/>
      <c r="K86" s="4"/>
      <c r="L86" s="4"/>
      <c r="M86" s="4"/>
      <c r="N86" s="4"/>
      <c r="O86" s="4"/>
      <c r="P86" s="4"/>
      <c r="Q86" s="4"/>
      <c r="R86" s="4"/>
      <c r="S86" s="4"/>
      <c r="T86" s="4"/>
      <c r="U86" s="4"/>
      <c r="V86" s="4"/>
      <c r="W86" s="4"/>
      <c r="X86" s="4"/>
      <c r="Y86" s="4"/>
      <c r="Z86" s="4"/>
    </row>
    <row r="87" ht="12.0" customHeight="1">
      <c r="A87" s="9"/>
      <c r="B87" s="4"/>
      <c r="C87" s="4"/>
      <c r="D87" s="4"/>
      <c r="E87" s="4"/>
      <c r="F87" s="4"/>
      <c r="G87" s="4"/>
      <c r="H87" s="4"/>
      <c r="I87" s="4"/>
      <c r="J87" s="4"/>
      <c r="K87" s="4"/>
      <c r="L87" s="4"/>
      <c r="M87" s="4"/>
      <c r="N87" s="4"/>
      <c r="O87" s="4"/>
      <c r="P87" s="4"/>
      <c r="Q87" s="4"/>
      <c r="R87" s="4"/>
      <c r="S87" s="4"/>
      <c r="T87" s="4"/>
      <c r="U87" s="4"/>
      <c r="V87" s="4"/>
      <c r="W87" s="4"/>
      <c r="X87" s="4"/>
      <c r="Y87" s="4"/>
      <c r="Z87" s="4"/>
    </row>
    <row r="88" ht="12.0" customHeight="1">
      <c r="A88" s="9"/>
      <c r="B88" s="4"/>
      <c r="C88" s="4"/>
      <c r="D88" s="4"/>
      <c r="E88" s="4"/>
      <c r="F88" s="4"/>
      <c r="G88" s="4"/>
      <c r="H88" s="4"/>
      <c r="I88" s="4"/>
      <c r="J88" s="4"/>
      <c r="K88" s="4"/>
      <c r="L88" s="4"/>
      <c r="M88" s="4"/>
      <c r="N88" s="4"/>
      <c r="O88" s="4"/>
      <c r="P88" s="4"/>
      <c r="Q88" s="4"/>
      <c r="R88" s="4"/>
      <c r="S88" s="4"/>
      <c r="T88" s="4"/>
      <c r="U88" s="4"/>
      <c r="V88" s="4"/>
      <c r="W88" s="4"/>
      <c r="X88" s="4"/>
      <c r="Y88" s="4"/>
      <c r="Z88" s="4"/>
    </row>
    <row r="89" ht="12.0" customHeight="1">
      <c r="A89" s="9"/>
      <c r="B89" s="4"/>
      <c r="C89" s="4"/>
      <c r="D89" s="4"/>
      <c r="E89" s="4"/>
      <c r="F89" s="4"/>
      <c r="G89" s="4"/>
      <c r="H89" s="4"/>
      <c r="I89" s="4"/>
      <c r="J89" s="4"/>
      <c r="K89" s="4"/>
      <c r="L89" s="4"/>
      <c r="M89" s="4"/>
      <c r="N89" s="4"/>
      <c r="O89" s="4"/>
      <c r="P89" s="4"/>
      <c r="Q89" s="4"/>
      <c r="R89" s="4"/>
      <c r="S89" s="4"/>
      <c r="T89" s="4"/>
      <c r="U89" s="4"/>
      <c r="V89" s="4"/>
      <c r="W89" s="4"/>
      <c r="X89" s="4"/>
      <c r="Y89" s="4"/>
      <c r="Z89" s="4"/>
    </row>
    <row r="90" ht="12.0" customHeight="1">
      <c r="A90" s="9"/>
      <c r="B90" s="4"/>
      <c r="C90" s="4"/>
      <c r="D90" s="4"/>
      <c r="E90" s="4"/>
      <c r="F90" s="4"/>
      <c r="G90" s="4"/>
      <c r="H90" s="4"/>
      <c r="I90" s="4"/>
      <c r="J90" s="4"/>
      <c r="K90" s="4"/>
      <c r="L90" s="4"/>
      <c r="M90" s="4"/>
      <c r="N90" s="4"/>
      <c r="O90" s="4"/>
      <c r="P90" s="4"/>
      <c r="Q90" s="4"/>
      <c r="R90" s="4"/>
      <c r="S90" s="4"/>
      <c r="T90" s="4"/>
      <c r="U90" s="4"/>
      <c r="V90" s="4"/>
      <c r="W90" s="4"/>
      <c r="X90" s="4"/>
      <c r="Y90" s="4"/>
      <c r="Z90" s="4"/>
    </row>
    <row r="91" ht="12.0" customHeight="1">
      <c r="A91" s="9"/>
      <c r="B91" s="4"/>
      <c r="C91" s="4"/>
      <c r="D91" s="4"/>
      <c r="E91" s="4"/>
      <c r="F91" s="4"/>
      <c r="G91" s="4"/>
      <c r="H91" s="4"/>
      <c r="I91" s="4"/>
      <c r="J91" s="4"/>
      <c r="K91" s="4"/>
      <c r="L91" s="4"/>
      <c r="M91" s="4"/>
      <c r="N91" s="4"/>
      <c r="O91" s="4"/>
      <c r="P91" s="4"/>
      <c r="Q91" s="4"/>
      <c r="R91" s="4"/>
      <c r="S91" s="4"/>
      <c r="T91" s="4"/>
      <c r="U91" s="4"/>
      <c r="V91" s="4"/>
      <c r="W91" s="4"/>
      <c r="X91" s="4"/>
      <c r="Y91" s="4"/>
      <c r="Z91" s="4"/>
    </row>
    <row r="92" ht="12.0" customHeight="1">
      <c r="A92" s="9"/>
      <c r="B92" s="4"/>
      <c r="C92" s="4"/>
      <c r="D92" s="4"/>
      <c r="E92" s="4"/>
      <c r="F92" s="4"/>
      <c r="G92" s="4"/>
      <c r="H92" s="4"/>
      <c r="I92" s="4"/>
      <c r="J92" s="4"/>
      <c r="K92" s="4"/>
      <c r="L92" s="4"/>
      <c r="M92" s="4"/>
      <c r="N92" s="4"/>
      <c r="O92" s="4"/>
      <c r="P92" s="4"/>
      <c r="Q92" s="4"/>
      <c r="R92" s="4"/>
      <c r="S92" s="4"/>
      <c r="T92" s="4"/>
      <c r="U92" s="4"/>
      <c r="V92" s="4"/>
      <c r="W92" s="4"/>
      <c r="X92" s="4"/>
      <c r="Y92" s="4"/>
      <c r="Z92" s="4"/>
    </row>
    <row r="93" ht="12.0" customHeight="1">
      <c r="A93" s="9"/>
      <c r="B93" s="4"/>
      <c r="C93" s="4"/>
      <c r="D93" s="4"/>
      <c r="E93" s="4"/>
      <c r="F93" s="4"/>
      <c r="G93" s="4"/>
      <c r="H93" s="4"/>
      <c r="I93" s="4"/>
      <c r="J93" s="4"/>
      <c r="K93" s="4"/>
      <c r="L93" s="4"/>
      <c r="M93" s="4"/>
      <c r="N93" s="4"/>
      <c r="O93" s="4"/>
      <c r="P93" s="4"/>
      <c r="Q93" s="4"/>
      <c r="R93" s="4"/>
      <c r="S93" s="4"/>
      <c r="T93" s="4"/>
      <c r="U93" s="4"/>
      <c r="V93" s="4"/>
      <c r="W93" s="4"/>
      <c r="X93" s="4"/>
      <c r="Y93" s="4"/>
      <c r="Z93" s="4"/>
    </row>
    <row r="94" ht="12.0" customHeight="1">
      <c r="A94" s="9"/>
      <c r="B94" s="4"/>
      <c r="C94" s="4"/>
      <c r="D94" s="4"/>
      <c r="E94" s="4"/>
      <c r="F94" s="4"/>
      <c r="G94" s="4"/>
      <c r="H94" s="4"/>
      <c r="I94" s="4"/>
      <c r="J94" s="4"/>
      <c r="K94" s="4"/>
      <c r="L94" s="4"/>
      <c r="M94" s="4"/>
      <c r="N94" s="4"/>
      <c r="O94" s="4"/>
      <c r="P94" s="4"/>
      <c r="Q94" s="4"/>
      <c r="R94" s="4"/>
      <c r="S94" s="4"/>
      <c r="T94" s="4"/>
      <c r="U94" s="4"/>
      <c r="V94" s="4"/>
      <c r="W94" s="4"/>
      <c r="X94" s="4"/>
      <c r="Y94" s="4"/>
      <c r="Z94" s="4"/>
    </row>
    <row r="95" ht="12.0" customHeight="1">
      <c r="A95" s="9"/>
      <c r="B95" s="4"/>
      <c r="C95" s="4"/>
      <c r="D95" s="4"/>
      <c r="E95" s="4"/>
      <c r="F95" s="4"/>
      <c r="G95" s="4"/>
      <c r="H95" s="4"/>
      <c r="I95" s="4"/>
      <c r="J95" s="4"/>
      <c r="K95" s="4"/>
      <c r="L95" s="4"/>
      <c r="M95" s="4"/>
      <c r="N95" s="4"/>
      <c r="O95" s="4"/>
      <c r="P95" s="4"/>
      <c r="Q95" s="4"/>
      <c r="R95" s="4"/>
      <c r="S95" s="4"/>
      <c r="T95" s="4"/>
      <c r="U95" s="4"/>
      <c r="V95" s="4"/>
      <c r="W95" s="4"/>
      <c r="X95" s="4"/>
      <c r="Y95" s="4"/>
      <c r="Z95" s="4"/>
    </row>
    <row r="96" ht="12.0" customHeight="1">
      <c r="A96" s="9"/>
      <c r="B96" s="4"/>
      <c r="C96" s="4"/>
      <c r="D96" s="4"/>
      <c r="E96" s="4"/>
      <c r="F96" s="4"/>
      <c r="G96" s="4"/>
      <c r="H96" s="4"/>
      <c r="I96" s="4"/>
      <c r="J96" s="4"/>
      <c r="K96" s="4"/>
      <c r="L96" s="4"/>
      <c r="M96" s="4"/>
      <c r="N96" s="4"/>
      <c r="O96" s="4"/>
      <c r="P96" s="4"/>
      <c r="Q96" s="4"/>
      <c r="R96" s="4"/>
      <c r="S96" s="4"/>
      <c r="T96" s="4"/>
      <c r="U96" s="4"/>
      <c r="V96" s="4"/>
      <c r="W96" s="4"/>
      <c r="X96" s="4"/>
      <c r="Y96" s="4"/>
      <c r="Z96" s="4"/>
    </row>
    <row r="97" ht="12.0" customHeight="1">
      <c r="A97" s="9"/>
      <c r="B97" s="4"/>
      <c r="C97" s="4"/>
      <c r="D97" s="4"/>
      <c r="E97" s="4"/>
      <c r="F97" s="4"/>
      <c r="G97" s="4"/>
      <c r="H97" s="4"/>
      <c r="I97" s="4"/>
      <c r="J97" s="4"/>
      <c r="K97" s="4"/>
      <c r="L97" s="4"/>
      <c r="M97" s="4"/>
      <c r="N97" s="4"/>
      <c r="O97" s="4"/>
      <c r="P97" s="4"/>
      <c r="Q97" s="4"/>
      <c r="R97" s="4"/>
      <c r="S97" s="4"/>
      <c r="T97" s="4"/>
      <c r="U97" s="4"/>
      <c r="V97" s="4"/>
      <c r="W97" s="4"/>
      <c r="X97" s="4"/>
      <c r="Y97" s="4"/>
      <c r="Z97" s="4"/>
    </row>
    <row r="98" ht="12.0" customHeight="1">
      <c r="A98" s="9"/>
      <c r="B98" s="4"/>
      <c r="C98" s="4"/>
      <c r="D98" s="4"/>
      <c r="E98" s="4"/>
      <c r="F98" s="4"/>
      <c r="G98" s="4"/>
      <c r="H98" s="4"/>
      <c r="I98" s="4"/>
      <c r="J98" s="4"/>
      <c r="K98" s="4"/>
      <c r="L98" s="4"/>
      <c r="M98" s="4"/>
      <c r="N98" s="4"/>
      <c r="O98" s="4"/>
      <c r="P98" s="4"/>
      <c r="Q98" s="4"/>
      <c r="R98" s="4"/>
      <c r="S98" s="4"/>
      <c r="T98" s="4"/>
      <c r="U98" s="4"/>
      <c r="V98" s="4"/>
      <c r="W98" s="4"/>
      <c r="X98" s="4"/>
      <c r="Y98" s="4"/>
      <c r="Z98" s="4"/>
    </row>
    <row r="99" ht="12.0" customHeight="1">
      <c r="A99" s="9"/>
      <c r="B99" s="4"/>
      <c r="C99" s="4"/>
      <c r="D99" s="4"/>
      <c r="E99" s="4"/>
      <c r="F99" s="4"/>
      <c r="G99" s="4"/>
      <c r="H99" s="4"/>
      <c r="I99" s="4"/>
      <c r="J99" s="4"/>
      <c r="K99" s="4"/>
      <c r="L99" s="4"/>
      <c r="M99" s="4"/>
      <c r="N99" s="4"/>
      <c r="O99" s="4"/>
      <c r="P99" s="4"/>
      <c r="Q99" s="4"/>
      <c r="R99" s="4"/>
      <c r="S99" s="4"/>
      <c r="T99" s="4"/>
      <c r="U99" s="4"/>
      <c r="V99" s="4"/>
      <c r="W99" s="4"/>
      <c r="X99" s="4"/>
      <c r="Y99" s="4"/>
      <c r="Z99" s="4"/>
    </row>
    <row r="100" ht="12.0" customHeight="1">
      <c r="A100" s="9"/>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2.0" customHeight="1">
      <c r="A101" s="9"/>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2.0" customHeight="1">
      <c r="A102" s="9"/>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2.0" customHeight="1">
      <c r="A103" s="9"/>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2.0" customHeight="1">
      <c r="A104" s="9"/>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2.0" customHeight="1">
      <c r="A105" s="9"/>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2.0" customHeight="1">
      <c r="A106" s="9"/>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2.0" customHeight="1">
      <c r="A107" s="9"/>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2.0" customHeight="1">
      <c r="A108" s="9"/>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2.0" customHeight="1">
      <c r="A109" s="9"/>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2.0" customHeight="1">
      <c r="A110" s="9"/>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2.0" customHeight="1">
      <c r="A111" s="9"/>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2.0" customHeight="1">
      <c r="A112" s="9"/>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2.0" customHeight="1">
      <c r="A113" s="9"/>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2.0" customHeight="1">
      <c r="A114" s="9"/>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2.0" customHeight="1">
      <c r="A115" s="9"/>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2.0" customHeight="1">
      <c r="A116" s="9"/>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2.0" customHeight="1">
      <c r="A117" s="9"/>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2.0" customHeight="1">
      <c r="A118" s="9"/>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2.0" customHeight="1">
      <c r="A119" s="9"/>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2.0" customHeight="1">
      <c r="A120" s="9"/>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2.0" customHeight="1">
      <c r="A121" s="9"/>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2.0" customHeight="1">
      <c r="A122" s="9"/>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2.0" customHeight="1">
      <c r="A123" s="9"/>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2.0" customHeight="1">
      <c r="A124" s="9"/>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2.0" customHeight="1">
      <c r="A125" s="9"/>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2.0" customHeight="1">
      <c r="A126" s="9"/>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2.0" customHeight="1">
      <c r="A127" s="9"/>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2.0" customHeight="1">
      <c r="A128" s="9"/>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2.0" customHeight="1">
      <c r="A129" s="9"/>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2.0" customHeight="1">
      <c r="A130" s="9"/>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2.0" customHeight="1">
      <c r="A131" s="9"/>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2.0" customHeight="1">
      <c r="A132" s="9"/>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2.0" customHeight="1">
      <c r="A133" s="9"/>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2.0" customHeight="1">
      <c r="A134" s="9"/>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2.0" customHeight="1">
      <c r="A135" s="9"/>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2.0" customHeight="1">
      <c r="A136" s="9"/>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2.0" customHeight="1">
      <c r="A137" s="9"/>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2.0" customHeight="1">
      <c r="A138" s="9"/>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2.0" customHeight="1">
      <c r="A139" s="9"/>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2.0" customHeight="1">
      <c r="A140" s="9"/>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2.0" customHeight="1">
      <c r="A141" s="9"/>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2.0" customHeight="1">
      <c r="A142" s="9"/>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2.0" customHeight="1">
      <c r="A143" s="9"/>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2.0" customHeight="1">
      <c r="A144" s="9"/>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2.0" customHeight="1">
      <c r="A145" s="9"/>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2.0" customHeight="1">
      <c r="A146" s="9"/>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2.0" customHeight="1">
      <c r="A147" s="9"/>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2.0" customHeight="1">
      <c r="A148" s="9"/>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2.0" customHeight="1">
      <c r="A149" s="9"/>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2.0" customHeight="1">
      <c r="A150" s="9"/>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2.0" customHeight="1">
      <c r="A151" s="9"/>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2.0" customHeight="1">
      <c r="A152" s="9"/>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2.0" customHeight="1">
      <c r="A153" s="9"/>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2.0" customHeight="1">
      <c r="A154" s="9"/>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2.0" customHeight="1">
      <c r="A155" s="9"/>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2.0" customHeight="1">
      <c r="A156" s="9"/>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2.0" customHeight="1">
      <c r="A157" s="9"/>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2.0" customHeight="1">
      <c r="A158" s="9"/>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2.0" customHeight="1">
      <c r="A159" s="9"/>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2.0" customHeight="1">
      <c r="A160" s="9"/>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2.0" customHeight="1">
      <c r="A161" s="9"/>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2.0" customHeight="1">
      <c r="A162" s="9"/>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2.0" customHeight="1">
      <c r="A163" s="9"/>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2.0" customHeight="1">
      <c r="A164" s="9"/>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2.0" customHeight="1">
      <c r="A165" s="9"/>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2.0" customHeight="1">
      <c r="A166" s="9"/>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2.0" customHeight="1">
      <c r="A167" s="9"/>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2.0" customHeight="1">
      <c r="A168" s="9"/>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2.0" customHeight="1">
      <c r="A169" s="9"/>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2.0" customHeight="1">
      <c r="A170" s="9"/>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2.0" customHeight="1">
      <c r="A171" s="9"/>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2.0" customHeight="1">
      <c r="A172" s="9"/>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2.0" customHeight="1">
      <c r="A173" s="9"/>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2.0" customHeight="1">
      <c r="A174" s="9"/>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2.0" customHeight="1">
      <c r="A175" s="9"/>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2.0" customHeight="1">
      <c r="A176" s="9"/>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2.0" customHeight="1">
      <c r="A177" s="9"/>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2.0" customHeight="1">
      <c r="A178" s="9"/>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2.0" customHeight="1">
      <c r="A179" s="9"/>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2.0" customHeight="1">
      <c r="A180" s="9"/>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2.0" customHeight="1">
      <c r="A181" s="9"/>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2.0" customHeight="1">
      <c r="A182" s="9"/>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2.0" customHeight="1">
      <c r="A183" s="9"/>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2.0" customHeight="1">
      <c r="A184" s="9"/>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2.0" customHeight="1">
      <c r="A185" s="9"/>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2.0" customHeight="1">
      <c r="A186" s="9"/>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2.0" customHeight="1">
      <c r="A187" s="9"/>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2.0" customHeight="1">
      <c r="A188" s="9"/>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2.0" customHeight="1">
      <c r="A189" s="9"/>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2.0" customHeight="1">
      <c r="A190" s="9"/>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2.0" customHeight="1">
      <c r="A191" s="9"/>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2.0" customHeight="1">
      <c r="A192" s="9"/>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2.0" customHeight="1">
      <c r="A193" s="9"/>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2.0" customHeight="1">
      <c r="A194" s="9"/>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2.0" customHeight="1">
      <c r="A195" s="9"/>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2.0" customHeight="1">
      <c r="A196" s="9"/>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2.0" customHeight="1">
      <c r="A197" s="9"/>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2.0" customHeight="1">
      <c r="A198" s="9"/>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2.0" customHeight="1">
      <c r="A199" s="9"/>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2.0" customHeight="1">
      <c r="A200" s="9"/>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2.0" customHeight="1">
      <c r="A201" s="9"/>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2.0" customHeight="1">
      <c r="A202" s="9"/>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2.0" customHeight="1">
      <c r="A203" s="9"/>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2.0" customHeight="1">
      <c r="A204" s="9"/>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2.0" customHeight="1">
      <c r="A205" s="9"/>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2.0" customHeight="1">
      <c r="A206" s="9"/>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2.0" customHeight="1">
      <c r="A207" s="9"/>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2.0" customHeight="1">
      <c r="A208" s="9"/>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2.0" customHeight="1">
      <c r="A209" s="9"/>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2.0" customHeight="1">
      <c r="A210" s="9"/>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2.0" customHeight="1">
      <c r="A211" s="9"/>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2.0" customHeight="1">
      <c r="A212" s="9"/>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2.0" customHeight="1">
      <c r="A213" s="9"/>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2.0" customHeight="1">
      <c r="A214" s="9"/>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2.0" customHeight="1">
      <c r="A215" s="9"/>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2.0" customHeight="1">
      <c r="A216" s="9"/>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2.0" customHeight="1">
      <c r="A217" s="9"/>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2.0" customHeight="1">
      <c r="A218" s="9"/>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2.0" customHeight="1">
      <c r="A219" s="9"/>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2.0" customHeight="1">
      <c r="A220" s="9"/>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2.0" customHeight="1">
      <c r="A221" s="9"/>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2.0" customHeight="1">
      <c r="A222" s="9"/>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2.0" customHeight="1">
      <c r="A223" s="9"/>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2.0" customHeight="1">
      <c r="A224" s="9"/>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2.0" customHeight="1">
      <c r="A225" s="9"/>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2.0" customHeight="1">
      <c r="A226" s="9"/>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2.0" customHeight="1">
      <c r="A227" s="9"/>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2.0" customHeight="1">
      <c r="A228" s="9"/>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2.0" customHeight="1">
      <c r="A229" s="9"/>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2.0" customHeight="1">
      <c r="A230" s="9"/>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2.0" customHeight="1">
      <c r="A231" s="9"/>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2.0" customHeight="1">
      <c r="A232" s="9"/>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2.0" customHeight="1">
      <c r="A233" s="9"/>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2.0" customHeight="1">
      <c r="A234" s="9"/>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2.0" customHeight="1">
      <c r="A235" s="9"/>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2.0" customHeight="1">
      <c r="A236" s="9"/>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2.0" customHeight="1">
      <c r="A237" s="9"/>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2.0" customHeight="1">
      <c r="A238" s="9"/>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2.0" customHeight="1">
      <c r="A239" s="9"/>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2.0" customHeight="1">
      <c r="A240" s="9"/>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2.0" customHeight="1">
      <c r="A241" s="9"/>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2.0" customHeight="1">
      <c r="A242" s="9"/>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2.0" customHeight="1">
      <c r="A243" s="9"/>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2.0" customHeight="1">
      <c r="A244" s="9"/>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2.0" customHeight="1">
      <c r="A245" s="9"/>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2.0" customHeight="1">
      <c r="A246" s="9"/>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2.0" customHeight="1">
      <c r="A247" s="9"/>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2.0" customHeight="1">
      <c r="A248" s="9"/>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2.0" customHeight="1">
      <c r="A249" s="9"/>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2.0" customHeight="1">
      <c r="A250" s="9"/>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2.0" customHeight="1">
      <c r="A251" s="9"/>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2.0" customHeight="1">
      <c r="A252" s="9"/>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2.0" customHeight="1">
      <c r="A253" s="9"/>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2.0" customHeight="1">
      <c r="A254" s="9"/>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2.0" customHeight="1">
      <c r="A255" s="9"/>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2.0" customHeight="1">
      <c r="A256" s="9"/>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2.0" customHeight="1">
      <c r="A257" s="9"/>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2.0" customHeight="1">
      <c r="A258" s="9"/>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2.0" customHeight="1">
      <c r="A259" s="9"/>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2.0" customHeight="1">
      <c r="A260" s="9"/>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2.0" customHeight="1">
      <c r="A261" s="9"/>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2.0" customHeight="1">
      <c r="A262" s="9"/>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2.0" customHeight="1">
      <c r="A263" s="9"/>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2.0" customHeight="1">
      <c r="A264" s="9"/>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J22:L22"/>
    <mergeCell ref="J25:L25"/>
    <mergeCell ref="A26:G27"/>
    <mergeCell ref="J26:L26"/>
    <mergeCell ref="A33:G34"/>
    <mergeCell ref="A40:G41"/>
    <mergeCell ref="A42:B42"/>
    <mergeCell ref="A1:D1"/>
    <mergeCell ref="K1:N1"/>
    <mergeCell ref="A3:B3"/>
    <mergeCell ref="A13:G13"/>
    <mergeCell ref="R13:U13"/>
    <mergeCell ref="A19:G20"/>
    <mergeCell ref="R23:U24"/>
  </mergeCells>
  <conditionalFormatting sqref="U15:U22">
    <cfRule type="cellIs" dxfId="2" priority="1" operator="notEqual">
      <formula>0</formula>
    </cfRule>
  </conditionalFormatting>
  <printOptions/>
  <pageMargins bottom="1.0" footer="0.0" header="0.0" left="0.75" right="0.75" top="1.0"/>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51C75"/>
    <pageSetUpPr/>
  </sheetPr>
  <sheetViews>
    <sheetView workbookViewId="0"/>
  </sheetViews>
  <sheetFormatPr customHeight="1" defaultColWidth="12.63" defaultRowHeight="15.0"/>
  <cols>
    <col customWidth="1" min="1" max="1" width="20.63"/>
    <col customWidth="1" min="2" max="2" width="8.63"/>
    <col customWidth="1" min="3" max="3" width="11.13"/>
    <col customWidth="1" min="4" max="4" width="12.63"/>
    <col customWidth="1" min="5" max="5" width="11.13"/>
    <col customWidth="1" min="6" max="7" width="8.63"/>
    <col customWidth="1" min="8" max="8" width="10.13"/>
    <col customWidth="1" min="9" max="9" width="20.88"/>
    <col customWidth="1" min="10" max="10" width="13.0"/>
    <col customWidth="1" min="11" max="11" width="8.63"/>
    <col customWidth="1" min="12" max="12" width="19.25"/>
    <col customWidth="1" min="13" max="13" width="14.38"/>
    <col customWidth="1" min="14" max="26" width="8.63"/>
  </cols>
  <sheetData>
    <row r="1" ht="12.75" customHeight="1">
      <c r="A1" s="301" t="s">
        <v>196</v>
      </c>
      <c r="E1" s="302"/>
      <c r="F1" s="302"/>
      <c r="G1" s="303" t="s">
        <v>197</v>
      </c>
      <c r="M1" s="304"/>
      <c r="N1" s="304"/>
      <c r="O1" s="304"/>
      <c r="P1" s="304"/>
      <c r="Q1" s="304"/>
      <c r="R1" s="304"/>
      <c r="S1" s="304"/>
      <c r="T1" s="304"/>
      <c r="U1" s="304"/>
      <c r="V1" s="304"/>
      <c r="W1" s="304"/>
      <c r="X1" s="304"/>
      <c r="Y1" s="304"/>
      <c r="Z1" s="304"/>
    </row>
    <row r="2" ht="12.75" customHeight="1">
      <c r="A2" s="302"/>
      <c r="B2" s="302"/>
      <c r="C2" s="302"/>
      <c r="D2" s="302"/>
      <c r="E2" s="302"/>
      <c r="F2" s="302"/>
      <c r="G2" s="304"/>
      <c r="H2" s="304"/>
      <c r="I2" s="304"/>
      <c r="J2" s="304"/>
      <c r="K2" s="304"/>
      <c r="L2" s="304"/>
      <c r="M2" s="304"/>
      <c r="N2" s="304"/>
      <c r="O2" s="304"/>
      <c r="P2" s="304"/>
      <c r="Q2" s="304"/>
      <c r="R2" s="304"/>
      <c r="S2" s="304"/>
      <c r="T2" s="304"/>
      <c r="U2" s="304"/>
      <c r="V2" s="304"/>
      <c r="W2" s="304"/>
      <c r="X2" s="304"/>
      <c r="Y2" s="304"/>
      <c r="Z2" s="304"/>
    </row>
    <row r="3" ht="12.75" customHeight="1">
      <c r="A3" s="27" t="s">
        <v>198</v>
      </c>
      <c r="B3" s="122" t="s">
        <v>199</v>
      </c>
      <c r="C3" s="122" t="s">
        <v>12</v>
      </c>
      <c r="D3" s="122" t="s">
        <v>200</v>
      </c>
      <c r="E3" s="273" t="s">
        <v>201</v>
      </c>
      <c r="F3" s="3"/>
      <c r="G3" s="161"/>
      <c r="H3" s="161"/>
      <c r="I3" s="161"/>
      <c r="J3" s="161"/>
      <c r="K3" s="161"/>
      <c r="L3" s="161"/>
      <c r="M3" s="161"/>
      <c r="N3" s="161"/>
      <c r="O3" s="161"/>
      <c r="P3" s="161"/>
      <c r="Q3" s="161"/>
      <c r="R3" s="161"/>
      <c r="S3" s="161"/>
      <c r="T3" s="161"/>
      <c r="U3" s="161"/>
      <c r="V3" s="161"/>
      <c r="W3" s="161"/>
      <c r="X3" s="161"/>
      <c r="Y3" s="161"/>
      <c r="Z3" s="161"/>
    </row>
    <row r="4" ht="12.75" customHeight="1">
      <c r="A4" s="38" t="s">
        <v>5</v>
      </c>
      <c r="B4" s="127" t="s">
        <v>113</v>
      </c>
      <c r="C4" s="41">
        <f>'TAC Sector Allocations'!H6</f>
        <v>62053356</v>
      </c>
      <c r="D4" s="41">
        <f>'TAC Sector Allocations'!H8</f>
        <v>102056861</v>
      </c>
      <c r="E4" s="256">
        <f t="shared" ref="E4:E11" si="1">+C4/D4</f>
        <v>0.6080272839</v>
      </c>
      <c r="F4" s="4"/>
      <c r="G4" s="9"/>
      <c r="H4" s="9"/>
      <c r="I4" s="9"/>
      <c r="J4" s="9"/>
      <c r="K4" s="9"/>
      <c r="L4" s="9"/>
      <c r="M4" s="9"/>
      <c r="N4" s="9"/>
      <c r="O4" s="9"/>
      <c r="P4" s="9"/>
      <c r="Q4" s="9"/>
      <c r="R4" s="9"/>
      <c r="S4" s="9"/>
      <c r="T4" s="9"/>
      <c r="U4" s="9"/>
      <c r="V4" s="9"/>
      <c r="W4" s="9"/>
      <c r="X4" s="9"/>
      <c r="Y4" s="9"/>
      <c r="Z4" s="9"/>
    </row>
    <row r="5" ht="12.75" customHeight="1">
      <c r="A5" s="45" t="s">
        <v>5</v>
      </c>
      <c r="B5" s="4" t="s">
        <v>115</v>
      </c>
      <c r="C5" s="17">
        <f>'TAC Sector Allocations'!H7</f>
        <v>40003505</v>
      </c>
      <c r="D5" s="17">
        <f>'TAC Sector Allocations'!H8</f>
        <v>102056861</v>
      </c>
      <c r="E5" s="78">
        <f t="shared" si="1"/>
        <v>0.3919727161</v>
      </c>
      <c r="F5" s="4"/>
      <c r="G5" s="9"/>
      <c r="H5" s="9"/>
      <c r="I5" s="9"/>
      <c r="J5" s="9"/>
      <c r="K5" s="9"/>
      <c r="L5" s="305" t="s">
        <v>202</v>
      </c>
      <c r="M5" s="305"/>
      <c r="N5" s="9"/>
      <c r="O5" s="9"/>
      <c r="P5" s="9"/>
      <c r="Q5" s="9"/>
      <c r="R5" s="9"/>
      <c r="S5" s="9"/>
      <c r="T5" s="9"/>
      <c r="U5" s="9"/>
      <c r="V5" s="9"/>
      <c r="W5" s="9"/>
      <c r="X5" s="9"/>
      <c r="Y5" s="9"/>
      <c r="Z5" s="9"/>
    </row>
    <row r="6" ht="12.75" customHeight="1">
      <c r="A6" s="45" t="s">
        <v>6</v>
      </c>
      <c r="B6" s="4" t="s">
        <v>113</v>
      </c>
      <c r="C6" s="17">
        <f>'TAC Sector Allocations'!H9</f>
        <v>28632008</v>
      </c>
      <c r="D6" s="17">
        <f>'TAC Sector Allocations'!H11</f>
        <v>47780871</v>
      </c>
      <c r="E6" s="78">
        <f t="shared" si="1"/>
        <v>0.5992357904</v>
      </c>
      <c r="F6" s="4"/>
      <c r="G6" s="9"/>
      <c r="H6" s="74"/>
      <c r="I6" s="9"/>
      <c r="J6" s="9"/>
      <c r="K6" s="9"/>
      <c r="L6" s="306" t="s">
        <v>106</v>
      </c>
      <c r="M6" s="307" t="s">
        <v>203</v>
      </c>
      <c r="N6" s="9"/>
      <c r="O6" s="9"/>
      <c r="P6" s="9"/>
      <c r="Q6" s="9"/>
      <c r="R6" s="9"/>
      <c r="S6" s="9"/>
      <c r="T6" s="9"/>
      <c r="U6" s="9"/>
      <c r="V6" s="9"/>
      <c r="W6" s="9"/>
      <c r="X6" s="9"/>
      <c r="Y6" s="9"/>
      <c r="Z6" s="9"/>
    </row>
    <row r="7" ht="12.75" customHeight="1">
      <c r="A7" s="45" t="s">
        <v>6</v>
      </c>
      <c r="B7" s="4" t="s">
        <v>115</v>
      </c>
      <c r="C7" s="17">
        <f>'TAC Sector Allocations'!H10</f>
        <v>19148863</v>
      </c>
      <c r="D7" s="17">
        <f>'TAC Sector Allocations'!H11</f>
        <v>47780871</v>
      </c>
      <c r="E7" s="78">
        <f t="shared" si="1"/>
        <v>0.4007642096</v>
      </c>
      <c r="F7" s="4"/>
      <c r="G7" s="74"/>
      <c r="H7" s="9"/>
      <c r="I7" s="9"/>
      <c r="J7" s="9"/>
      <c r="K7" s="9"/>
      <c r="L7" s="308" t="s">
        <v>115</v>
      </c>
      <c r="M7" s="309">
        <v>7.1315876E7</v>
      </c>
      <c r="N7" s="9"/>
      <c r="O7" s="9"/>
      <c r="P7" s="9"/>
      <c r="Q7" s="9"/>
      <c r="R7" s="9"/>
      <c r="S7" s="9"/>
      <c r="T7" s="9"/>
      <c r="U7" s="9"/>
      <c r="V7" s="9"/>
      <c r="W7" s="9"/>
      <c r="X7" s="9"/>
      <c r="Y7" s="9"/>
      <c r="Z7" s="9"/>
    </row>
    <row r="8" ht="12.75" customHeight="1">
      <c r="A8" s="45" t="s">
        <v>18</v>
      </c>
      <c r="B8" s="4" t="s">
        <v>113</v>
      </c>
      <c r="C8" s="17">
        <f>'TAC Sector Allocations'!H12</f>
        <v>20078757</v>
      </c>
      <c r="D8" s="17">
        <f>'TAC Sector Allocations'!H14</f>
        <v>32242265</v>
      </c>
      <c r="E8" s="78">
        <f t="shared" si="1"/>
        <v>0.6227464789</v>
      </c>
      <c r="F8" s="4"/>
      <c r="G8" s="9"/>
      <c r="H8" s="9"/>
      <c r="I8" s="161"/>
      <c r="J8" s="161"/>
      <c r="K8" s="9"/>
      <c r="L8" s="305" t="s">
        <v>204</v>
      </c>
      <c r="M8" s="310">
        <v>1.9148863E7</v>
      </c>
      <c r="N8" s="9"/>
      <c r="O8" s="9"/>
      <c r="P8" s="9"/>
      <c r="Q8" s="9"/>
      <c r="R8" s="9"/>
      <c r="S8" s="9"/>
      <c r="T8" s="9"/>
      <c r="U8" s="9"/>
      <c r="V8" s="9"/>
      <c r="W8" s="9"/>
      <c r="X8" s="9"/>
      <c r="Y8" s="9"/>
      <c r="Z8" s="9"/>
    </row>
    <row r="9" ht="12.75" customHeight="1">
      <c r="A9" s="59" t="s">
        <v>18</v>
      </c>
      <c r="B9" s="130" t="s">
        <v>115</v>
      </c>
      <c r="C9" s="62">
        <f>'TAC Sector Allocations'!H13</f>
        <v>12163508</v>
      </c>
      <c r="D9" s="62">
        <f>'TAC Sector Allocations'!H14</f>
        <v>32242265</v>
      </c>
      <c r="E9" s="262">
        <f t="shared" si="1"/>
        <v>0.3772535211</v>
      </c>
      <c r="F9" s="4"/>
      <c r="G9" s="9"/>
      <c r="H9" s="9"/>
      <c r="I9" s="9"/>
      <c r="J9" s="9"/>
      <c r="K9" s="9"/>
      <c r="L9" s="305" t="s">
        <v>205</v>
      </c>
      <c r="M9" s="310">
        <v>4.0003505E7</v>
      </c>
      <c r="N9" s="9"/>
      <c r="O9" s="9"/>
      <c r="P9" s="9"/>
      <c r="Q9" s="9"/>
      <c r="R9" s="9"/>
      <c r="S9" s="9"/>
      <c r="T9" s="9"/>
      <c r="U9" s="9"/>
      <c r="V9" s="9"/>
      <c r="W9" s="9"/>
      <c r="X9" s="9"/>
      <c r="Y9" s="9"/>
      <c r="Z9" s="9"/>
    </row>
    <row r="10" ht="12.75" customHeight="1">
      <c r="A10" s="27" t="s">
        <v>10</v>
      </c>
      <c r="B10" s="122" t="s">
        <v>113</v>
      </c>
      <c r="C10" s="41">
        <f t="shared" ref="C10:D10" si="2">+C6+C4+C8</f>
        <v>110764121</v>
      </c>
      <c r="D10" s="41">
        <f t="shared" si="2"/>
        <v>182079997</v>
      </c>
      <c r="E10" s="256">
        <f t="shared" si="1"/>
        <v>0.6083266851</v>
      </c>
      <c r="F10" s="4"/>
      <c r="G10" s="9"/>
      <c r="H10" s="9"/>
      <c r="I10" s="18"/>
      <c r="J10" s="9"/>
      <c r="K10" s="9"/>
      <c r="L10" s="305" t="s">
        <v>206</v>
      </c>
      <c r="M10" s="310">
        <v>1.2163508E7</v>
      </c>
      <c r="N10" s="9"/>
      <c r="O10" s="9"/>
      <c r="P10" s="9"/>
      <c r="Q10" s="9"/>
      <c r="R10" s="9"/>
      <c r="S10" s="9"/>
      <c r="T10" s="9"/>
      <c r="U10" s="9"/>
      <c r="V10" s="9"/>
      <c r="W10" s="9"/>
      <c r="X10" s="9"/>
      <c r="Y10" s="9"/>
      <c r="Z10" s="9"/>
    </row>
    <row r="11" ht="12.75" customHeight="1">
      <c r="A11" s="33" t="s">
        <v>10</v>
      </c>
      <c r="B11" s="34" t="s">
        <v>115</v>
      </c>
      <c r="C11" s="62">
        <f t="shared" ref="C11:D11" si="3">+C7+C5+C9</f>
        <v>71315876</v>
      </c>
      <c r="D11" s="62">
        <f t="shared" si="3"/>
        <v>182079997</v>
      </c>
      <c r="E11" s="262">
        <f t="shared" si="1"/>
        <v>0.3916733149</v>
      </c>
      <c r="F11" s="4"/>
      <c r="G11" s="9"/>
      <c r="H11" s="9"/>
      <c r="I11" s="121"/>
      <c r="J11" s="161"/>
      <c r="K11" s="9"/>
      <c r="L11" s="308" t="s">
        <v>113</v>
      </c>
      <c r="M11" s="309">
        <v>1.07241157E8</v>
      </c>
      <c r="N11" s="9"/>
      <c r="O11" s="9"/>
      <c r="P11" s="9"/>
      <c r="Q11" s="9"/>
      <c r="R11" s="9"/>
      <c r="S11" s="9"/>
      <c r="T11" s="9"/>
      <c r="U11" s="9"/>
      <c r="V11" s="9"/>
      <c r="W11" s="9"/>
      <c r="X11" s="9"/>
      <c r="Y11" s="9"/>
      <c r="Z11" s="9"/>
    </row>
    <row r="12" ht="12.75" customHeight="1">
      <c r="A12" s="4"/>
      <c r="B12" s="4"/>
      <c r="C12" s="4"/>
      <c r="D12" s="4"/>
      <c r="E12" s="4"/>
      <c r="F12" s="4"/>
      <c r="G12" s="9"/>
      <c r="H12" s="9"/>
      <c r="I12" s="18"/>
      <c r="J12" s="9"/>
      <c r="K12" s="9"/>
      <c r="L12" s="305" t="s">
        <v>204</v>
      </c>
      <c r="M12" s="310">
        <v>2.7754394E7</v>
      </c>
      <c r="N12" s="9"/>
      <c r="O12" s="9"/>
      <c r="P12" s="9"/>
      <c r="Q12" s="9"/>
      <c r="R12" s="9"/>
      <c r="S12" s="9"/>
      <c r="T12" s="9"/>
      <c r="U12" s="9"/>
      <c r="V12" s="9"/>
      <c r="W12" s="9"/>
      <c r="X12" s="9"/>
      <c r="Y12" s="9"/>
      <c r="Z12" s="9"/>
    </row>
    <row r="13" ht="12.75" customHeight="1">
      <c r="A13" s="4"/>
      <c r="B13" s="4"/>
      <c r="C13" s="4"/>
      <c r="D13" s="4"/>
      <c r="E13" s="4"/>
      <c r="F13" s="4"/>
      <c r="G13" s="9"/>
      <c r="H13" s="9"/>
      <c r="I13" s="18"/>
      <c r="J13" s="9"/>
      <c r="K13" s="9"/>
      <c r="L13" s="305" t="s">
        <v>205</v>
      </c>
      <c r="M13" s="310">
        <v>6.0000262E7</v>
      </c>
      <c r="N13" s="9"/>
      <c r="O13" s="9"/>
      <c r="P13" s="9"/>
      <c r="Q13" s="9"/>
      <c r="R13" s="9"/>
      <c r="S13" s="9"/>
      <c r="T13" s="9"/>
      <c r="U13" s="9"/>
      <c r="V13" s="9"/>
      <c r="W13" s="9"/>
      <c r="X13" s="9"/>
      <c r="Y13" s="9"/>
      <c r="Z13" s="9"/>
    </row>
    <row r="14" ht="12.75" customHeight="1">
      <c r="A14" s="311" t="s">
        <v>207</v>
      </c>
      <c r="B14" s="312" t="s">
        <v>100</v>
      </c>
      <c r="C14" s="312" t="s">
        <v>115</v>
      </c>
      <c r="D14" s="313" t="s">
        <v>113</v>
      </c>
      <c r="E14" s="314" t="s">
        <v>208</v>
      </c>
      <c r="F14" s="39" t="s">
        <v>209</v>
      </c>
      <c r="G14" s="9"/>
      <c r="H14" s="9"/>
      <c r="I14" s="121"/>
      <c r="J14" s="161"/>
      <c r="K14" s="9"/>
      <c r="L14" s="315" t="s">
        <v>206</v>
      </c>
      <c r="M14" s="316">
        <v>1.9486501E7</v>
      </c>
      <c r="N14" s="9"/>
      <c r="O14" s="9"/>
      <c r="P14" s="9"/>
      <c r="Q14" s="9"/>
      <c r="R14" s="9"/>
      <c r="S14" s="9"/>
      <c r="T14" s="9"/>
      <c r="U14" s="9"/>
      <c r="V14" s="9"/>
      <c r="W14" s="9"/>
      <c r="X14" s="9"/>
      <c r="Y14" s="9"/>
      <c r="Z14" s="9"/>
    </row>
    <row r="15" ht="12.75" customHeight="1">
      <c r="A15" s="311" t="s">
        <v>210</v>
      </c>
      <c r="B15" s="312" t="s">
        <v>5</v>
      </c>
      <c r="C15" s="317">
        <f>C5</f>
        <v>40003505</v>
      </c>
      <c r="D15" s="317">
        <f>C4</f>
        <v>62053356</v>
      </c>
      <c r="E15" s="128">
        <f t="shared" ref="E15:E22" si="4">D15/(C15+D15)</f>
        <v>0.6080272839</v>
      </c>
      <c r="F15" s="256">
        <f t="shared" ref="F15:F22" si="5">C15/(C15+D15)</f>
        <v>0.3919727161</v>
      </c>
      <c r="G15" s="9"/>
      <c r="H15" s="9"/>
      <c r="I15" s="18"/>
      <c r="J15" s="9"/>
      <c r="K15" s="9"/>
      <c r="L15" s="318" t="s">
        <v>178</v>
      </c>
      <c r="M15" s="319">
        <v>1.78557033E8</v>
      </c>
      <c r="N15" s="9"/>
      <c r="O15" s="9"/>
      <c r="P15" s="9"/>
      <c r="Q15" s="9"/>
      <c r="R15" s="9"/>
      <c r="S15" s="9"/>
      <c r="T15" s="9"/>
      <c r="U15" s="9"/>
      <c r="V15" s="9"/>
      <c r="W15" s="9"/>
      <c r="X15" s="9"/>
      <c r="Y15" s="9"/>
      <c r="Z15" s="9"/>
    </row>
    <row r="16" ht="12.75" customHeight="1">
      <c r="A16" s="320" t="s">
        <v>210</v>
      </c>
      <c r="B16" s="233" t="s">
        <v>6</v>
      </c>
      <c r="C16" s="287">
        <f>C7</f>
        <v>19148863</v>
      </c>
      <c r="D16" s="287">
        <f>C6</f>
        <v>28632008</v>
      </c>
      <c r="E16" s="77">
        <f t="shared" si="4"/>
        <v>0.5992357904</v>
      </c>
      <c r="F16" s="78">
        <f t="shared" si="5"/>
        <v>0.4007642096</v>
      </c>
      <c r="G16" s="9"/>
      <c r="H16" s="9"/>
      <c r="I16" s="18"/>
      <c r="J16" s="9"/>
      <c r="K16" s="9"/>
      <c r="L16" s="305"/>
      <c r="M16" s="305"/>
      <c r="N16" s="9"/>
      <c r="O16" s="9"/>
      <c r="P16" s="9"/>
      <c r="Q16" s="9"/>
      <c r="R16" s="9"/>
      <c r="S16" s="9"/>
      <c r="T16" s="9"/>
      <c r="U16" s="9"/>
      <c r="V16" s="9"/>
      <c r="W16" s="9"/>
      <c r="X16" s="9"/>
      <c r="Y16" s="9"/>
      <c r="Z16" s="9"/>
    </row>
    <row r="17" ht="12.75" customHeight="1">
      <c r="A17" s="320" t="s">
        <v>210</v>
      </c>
      <c r="B17" s="4" t="s">
        <v>18</v>
      </c>
      <c r="C17" s="287">
        <f>C9</f>
        <v>12163508</v>
      </c>
      <c r="D17" s="287">
        <f>C8</f>
        <v>20078757</v>
      </c>
      <c r="E17" s="77">
        <f t="shared" si="4"/>
        <v>0.6227464789</v>
      </c>
      <c r="F17" s="78">
        <f t="shared" si="5"/>
        <v>0.3772535211</v>
      </c>
      <c r="G17" s="9"/>
      <c r="H17" s="9"/>
      <c r="I17" s="18"/>
      <c r="J17" s="9"/>
      <c r="K17" s="9"/>
      <c r="L17" s="305"/>
      <c r="M17" s="305"/>
      <c r="N17" s="9"/>
      <c r="O17" s="9"/>
      <c r="P17" s="9"/>
      <c r="Q17" s="9"/>
      <c r="R17" s="9"/>
      <c r="S17" s="9"/>
      <c r="T17" s="9"/>
      <c r="U17" s="9"/>
      <c r="V17" s="9"/>
      <c r="W17" s="9"/>
      <c r="X17" s="9"/>
      <c r="Y17" s="9"/>
      <c r="Z17" s="9"/>
    </row>
    <row r="18" ht="12.75" customHeight="1">
      <c r="A18" s="321" t="s">
        <v>210</v>
      </c>
      <c r="B18" s="322" t="s">
        <v>117</v>
      </c>
      <c r="C18" s="323">
        <f t="shared" ref="C18:D18" si="6">SUM(C15:C17)</f>
        <v>71315876</v>
      </c>
      <c r="D18" s="323">
        <f t="shared" si="6"/>
        <v>110764121</v>
      </c>
      <c r="E18" s="77">
        <f t="shared" si="4"/>
        <v>0.6083266851</v>
      </c>
      <c r="F18" s="78">
        <f t="shared" si="5"/>
        <v>0.3916733149</v>
      </c>
      <c r="G18" s="9"/>
      <c r="H18" s="9"/>
      <c r="I18" s="18"/>
      <c r="J18" s="9"/>
      <c r="K18" s="9"/>
      <c r="L18" s="305"/>
      <c r="M18" s="310">
        <f>M11*0.04</f>
        <v>4289646.28</v>
      </c>
      <c r="N18" s="9"/>
      <c r="O18" s="9"/>
      <c r="P18" s="9"/>
      <c r="Q18" s="9"/>
      <c r="R18" s="9"/>
      <c r="S18" s="9"/>
      <c r="T18" s="9"/>
      <c r="U18" s="9"/>
      <c r="V18" s="9"/>
      <c r="W18" s="9"/>
      <c r="X18" s="9"/>
      <c r="Y18" s="9"/>
      <c r="Z18" s="9"/>
    </row>
    <row r="19" ht="12.75" customHeight="1">
      <c r="A19" s="320" t="s">
        <v>211</v>
      </c>
      <c r="B19" s="324" t="s">
        <v>5</v>
      </c>
      <c r="C19" s="287">
        <v>4.0003505E7</v>
      </c>
      <c r="D19" s="325">
        <f>59919410+80852</f>
        <v>60000262</v>
      </c>
      <c r="E19" s="128">
        <f t="shared" si="4"/>
        <v>0.5999800188</v>
      </c>
      <c r="F19" s="256">
        <f t="shared" si="5"/>
        <v>0.4000199812</v>
      </c>
      <c r="G19" s="9"/>
      <c r="H19" s="326" t="s">
        <v>212</v>
      </c>
      <c r="I19" s="199"/>
      <c r="J19" s="161"/>
      <c r="K19" s="9"/>
      <c r="L19" s="9"/>
      <c r="M19" s="9"/>
      <c r="N19" s="9"/>
      <c r="O19" s="9"/>
      <c r="P19" s="9"/>
      <c r="Q19" s="9"/>
      <c r="R19" s="9"/>
      <c r="S19" s="9"/>
      <c r="T19" s="9"/>
      <c r="U19" s="9"/>
      <c r="V19" s="9"/>
      <c r="W19" s="9"/>
      <c r="X19" s="9"/>
      <c r="Y19" s="9"/>
      <c r="Z19" s="9"/>
    </row>
    <row r="20" ht="12.75" customHeight="1">
      <c r="A20" s="320" t="s">
        <v>211</v>
      </c>
      <c r="B20" s="324" t="s">
        <v>6</v>
      </c>
      <c r="C20" s="287">
        <v>1.9148863E7</v>
      </c>
      <c r="D20" s="325">
        <v>2.7754394E7</v>
      </c>
      <c r="E20" s="77">
        <f t="shared" si="4"/>
        <v>0.5917370301</v>
      </c>
      <c r="F20" s="78">
        <f t="shared" si="5"/>
        <v>0.4082629699</v>
      </c>
      <c r="G20" s="9"/>
      <c r="H20" s="327"/>
      <c r="I20" s="201"/>
      <c r="J20" s="161"/>
      <c r="K20" s="9"/>
      <c r="L20" s="9"/>
      <c r="M20" s="9"/>
      <c r="N20" s="9"/>
      <c r="O20" s="9"/>
      <c r="P20" s="9"/>
      <c r="Q20" s="9"/>
      <c r="R20" s="9"/>
      <c r="S20" s="9"/>
      <c r="T20" s="9"/>
      <c r="U20" s="9"/>
      <c r="V20" s="9"/>
      <c r="W20" s="9"/>
      <c r="X20" s="9"/>
      <c r="Y20" s="9"/>
      <c r="Z20" s="9"/>
    </row>
    <row r="21" ht="12.75" customHeight="1">
      <c r="A21" s="320" t="s">
        <v>211</v>
      </c>
      <c r="B21" s="328" t="s">
        <v>18</v>
      </c>
      <c r="C21" s="287">
        <v>1.2163508E7</v>
      </c>
      <c r="D21" s="325">
        <v>1.9486501E7</v>
      </c>
      <c r="E21" s="77">
        <f t="shared" si="4"/>
        <v>0.6156870603</v>
      </c>
      <c r="F21" s="78">
        <f t="shared" si="5"/>
        <v>0.3843129397</v>
      </c>
      <c r="G21" s="9"/>
      <c r="H21" s="329"/>
      <c r="I21" s="330"/>
      <c r="J21" s="9"/>
      <c r="K21" s="9"/>
      <c r="L21" s="9"/>
      <c r="M21" s="9"/>
      <c r="N21" s="9"/>
      <c r="O21" s="9"/>
      <c r="P21" s="9"/>
      <c r="Q21" s="9"/>
      <c r="R21" s="9"/>
      <c r="S21" s="9"/>
      <c r="T21" s="9"/>
      <c r="U21" s="9"/>
      <c r="V21" s="9"/>
      <c r="W21" s="9"/>
      <c r="X21" s="9"/>
      <c r="Y21" s="9"/>
      <c r="Z21" s="9"/>
    </row>
    <row r="22" ht="12.75" customHeight="1">
      <c r="A22" s="321" t="s">
        <v>211</v>
      </c>
      <c r="B22" s="331" t="s">
        <v>117</v>
      </c>
      <c r="C22" s="323">
        <f t="shared" ref="C22:D22" si="7">SUM(C19:C21)</f>
        <v>71315876</v>
      </c>
      <c r="D22" s="332">
        <f t="shared" si="7"/>
        <v>107241157</v>
      </c>
      <c r="E22" s="131">
        <f t="shared" si="4"/>
        <v>0.6005988966</v>
      </c>
      <c r="F22" s="262">
        <f t="shared" si="5"/>
        <v>0.3994011034</v>
      </c>
      <c r="G22" s="9" t="s">
        <v>213</v>
      </c>
      <c r="H22" s="9"/>
      <c r="I22" s="9"/>
      <c r="J22" s="74"/>
      <c r="K22" s="9"/>
      <c r="L22" s="9"/>
      <c r="M22" s="9"/>
      <c r="N22" s="9"/>
      <c r="O22" s="9"/>
      <c r="P22" s="9"/>
      <c r="Q22" s="9"/>
      <c r="R22" s="9"/>
      <c r="S22" s="9"/>
      <c r="T22" s="9"/>
      <c r="U22" s="9"/>
      <c r="V22" s="9"/>
      <c r="W22" s="9"/>
      <c r="X22" s="9"/>
      <c r="Y22" s="9"/>
      <c r="Z22" s="9"/>
    </row>
    <row r="23" ht="12.75" customHeight="1">
      <c r="A23" s="311" t="s">
        <v>214</v>
      </c>
      <c r="B23" s="312" t="s">
        <v>6</v>
      </c>
      <c r="C23" s="312">
        <v>0.0</v>
      </c>
      <c r="D23" s="333">
        <f t="shared" ref="D23:D24" si="8">D16-D20</f>
        <v>877614</v>
      </c>
      <c r="E23" s="4"/>
      <c r="F23" s="4"/>
      <c r="G23" s="9"/>
      <c r="H23" s="9"/>
      <c r="I23" s="9"/>
      <c r="J23" s="9"/>
      <c r="K23" s="9"/>
      <c r="L23" s="9"/>
      <c r="M23" s="9"/>
      <c r="N23" s="9"/>
      <c r="O23" s="9"/>
      <c r="P23" s="9"/>
      <c r="Q23" s="9"/>
      <c r="R23" s="9"/>
      <c r="S23" s="9"/>
      <c r="T23" s="9"/>
      <c r="U23" s="9"/>
      <c r="V23" s="9"/>
      <c r="W23" s="9"/>
      <c r="X23" s="9"/>
      <c r="Y23" s="9"/>
      <c r="Z23" s="9"/>
    </row>
    <row r="24" ht="12.75" customHeight="1">
      <c r="A24" s="320" t="s">
        <v>214</v>
      </c>
      <c r="B24" s="4" t="s">
        <v>18</v>
      </c>
      <c r="C24" s="233">
        <v>0.0</v>
      </c>
      <c r="D24" s="334">
        <f t="shared" si="8"/>
        <v>592256</v>
      </c>
      <c r="E24" s="4"/>
      <c r="F24" s="4"/>
      <c r="G24" s="9"/>
      <c r="H24" s="9"/>
      <c r="I24" s="9"/>
      <c r="J24" s="9"/>
      <c r="K24" s="9"/>
      <c r="L24" s="9"/>
      <c r="M24" s="9"/>
      <c r="N24" s="9"/>
      <c r="O24" s="9"/>
      <c r="P24" s="9"/>
      <c r="Q24" s="9"/>
      <c r="R24" s="9"/>
      <c r="S24" s="9"/>
      <c r="T24" s="9"/>
      <c r="U24" s="9"/>
      <c r="V24" s="9"/>
      <c r="W24" s="9"/>
      <c r="X24" s="9"/>
      <c r="Y24" s="9"/>
      <c r="Z24" s="9"/>
    </row>
    <row r="25" ht="12.75" customHeight="1">
      <c r="A25" s="320" t="s">
        <v>214</v>
      </c>
      <c r="B25" s="233" t="s">
        <v>5</v>
      </c>
      <c r="C25" s="233">
        <v>0.0</v>
      </c>
      <c r="D25" s="334">
        <f>D15-D19</f>
        <v>2053094</v>
      </c>
      <c r="E25" s="4"/>
      <c r="F25" s="4"/>
      <c r="G25" s="9"/>
      <c r="H25" s="9"/>
      <c r="I25" s="9"/>
      <c r="J25" s="9"/>
      <c r="K25" s="9"/>
      <c r="L25" s="9"/>
      <c r="M25" s="9"/>
      <c r="N25" s="9"/>
      <c r="O25" s="9"/>
      <c r="P25" s="9"/>
      <c r="Q25" s="9"/>
      <c r="R25" s="9"/>
      <c r="S25" s="9"/>
      <c r="T25" s="9"/>
      <c r="U25" s="9"/>
      <c r="V25" s="9"/>
      <c r="W25" s="9"/>
      <c r="X25" s="9"/>
      <c r="Y25" s="9"/>
      <c r="Z25" s="9"/>
    </row>
    <row r="26" ht="12.75" customHeight="1">
      <c r="A26" s="321" t="s">
        <v>214</v>
      </c>
      <c r="B26" s="322" t="s">
        <v>117</v>
      </c>
      <c r="C26" s="322">
        <v>0.0</v>
      </c>
      <c r="D26" s="335">
        <f>D18-D22</f>
        <v>3522964</v>
      </c>
      <c r="E26" s="4"/>
      <c r="F26" s="4"/>
      <c r="G26" s="9"/>
      <c r="H26" s="9"/>
      <c r="I26" s="9"/>
      <c r="J26" s="9"/>
      <c r="K26" s="9"/>
      <c r="L26" s="9"/>
      <c r="M26" s="9"/>
      <c r="N26" s="9"/>
      <c r="O26" s="9"/>
      <c r="P26" s="9"/>
      <c r="Q26" s="9"/>
      <c r="R26" s="9"/>
      <c r="S26" s="9"/>
      <c r="T26" s="9"/>
      <c r="U26" s="9"/>
      <c r="V26" s="9"/>
      <c r="W26" s="9"/>
      <c r="X26" s="9"/>
      <c r="Y26" s="9"/>
      <c r="Z26" s="9"/>
    </row>
    <row r="27" ht="12.75" customHeight="1">
      <c r="A27" s="4"/>
      <c r="B27" s="4"/>
      <c r="C27" s="4"/>
      <c r="D27" s="4"/>
      <c r="E27" s="4"/>
      <c r="F27" s="4"/>
      <c r="G27" s="9"/>
      <c r="H27" s="9"/>
      <c r="I27" s="9"/>
      <c r="J27" s="9"/>
      <c r="K27" s="9"/>
      <c r="L27" s="9"/>
      <c r="M27" s="9"/>
      <c r="N27" s="9"/>
      <c r="O27" s="9"/>
      <c r="P27" s="9"/>
      <c r="Q27" s="9"/>
      <c r="R27" s="9"/>
      <c r="S27" s="9"/>
      <c r="T27" s="9"/>
      <c r="U27" s="9"/>
      <c r="V27" s="9"/>
      <c r="W27" s="9"/>
      <c r="X27" s="9"/>
      <c r="Y27" s="9"/>
      <c r="Z27" s="9"/>
    </row>
    <row r="28" ht="12.75" customHeight="1">
      <c r="A28" s="4"/>
      <c r="B28" s="4"/>
      <c r="C28" s="4"/>
      <c r="D28" s="4"/>
      <c r="E28" s="4"/>
      <c r="F28" s="4"/>
      <c r="G28" s="9"/>
      <c r="H28" s="9"/>
      <c r="I28" s="9"/>
      <c r="J28" s="9"/>
      <c r="K28" s="9"/>
      <c r="L28" s="9"/>
      <c r="M28" s="9"/>
      <c r="N28" s="9"/>
      <c r="O28" s="9"/>
      <c r="P28" s="9"/>
      <c r="Q28" s="9"/>
      <c r="R28" s="9"/>
      <c r="S28" s="9"/>
      <c r="T28" s="9"/>
      <c r="U28" s="9"/>
      <c r="V28" s="9"/>
      <c r="W28" s="9"/>
      <c r="X28" s="9"/>
      <c r="Y28" s="9"/>
      <c r="Z28" s="9"/>
    </row>
    <row r="29" ht="12.75" customHeight="1">
      <c r="A29" s="4"/>
      <c r="B29" s="4"/>
      <c r="C29" s="4"/>
      <c r="D29" s="4"/>
      <c r="E29" s="4"/>
      <c r="F29" s="4"/>
      <c r="G29" s="9"/>
      <c r="H29" s="9"/>
      <c r="I29" s="9"/>
      <c r="J29" s="9"/>
      <c r="K29" s="9"/>
      <c r="L29" s="9"/>
      <c r="M29" s="9"/>
      <c r="N29" s="9"/>
      <c r="O29" s="9"/>
      <c r="P29" s="9"/>
      <c r="Q29" s="9"/>
      <c r="R29" s="9"/>
      <c r="S29" s="9"/>
      <c r="T29" s="9"/>
      <c r="U29" s="9"/>
      <c r="V29" s="9"/>
      <c r="W29" s="9"/>
      <c r="X29" s="9"/>
      <c r="Y29" s="9"/>
      <c r="Z29" s="9"/>
    </row>
    <row r="30" ht="12.75" customHeight="1">
      <c r="A30" s="4"/>
      <c r="B30" s="4"/>
      <c r="C30" s="4"/>
      <c r="D30" s="4"/>
      <c r="E30" s="4"/>
      <c r="F30" s="4"/>
      <c r="G30" s="9"/>
      <c r="H30" s="9"/>
      <c r="I30" s="9"/>
      <c r="J30" s="9"/>
      <c r="K30" s="9"/>
      <c r="L30" s="9"/>
      <c r="M30" s="9"/>
      <c r="N30" s="9"/>
      <c r="O30" s="9"/>
      <c r="P30" s="9"/>
      <c r="Q30" s="9"/>
      <c r="R30" s="9"/>
      <c r="S30" s="9"/>
      <c r="T30" s="9"/>
      <c r="U30" s="9"/>
      <c r="V30" s="9"/>
      <c r="W30" s="9"/>
      <c r="X30" s="9"/>
      <c r="Y30" s="9"/>
      <c r="Z30" s="9"/>
    </row>
    <row r="31" ht="12.75" customHeight="1">
      <c r="A31" s="4"/>
      <c r="B31" s="4"/>
      <c r="C31" s="4"/>
      <c r="D31" s="4"/>
      <c r="E31" s="4"/>
      <c r="F31" s="4"/>
      <c r="G31" s="9"/>
      <c r="H31" s="9"/>
      <c r="I31" s="9"/>
      <c r="J31" s="9"/>
      <c r="K31" s="9"/>
      <c r="L31" s="9"/>
      <c r="M31" s="9"/>
      <c r="N31" s="9"/>
      <c r="O31" s="9"/>
      <c r="P31" s="9"/>
      <c r="Q31" s="9"/>
      <c r="R31" s="9"/>
      <c r="S31" s="9"/>
      <c r="T31" s="9"/>
      <c r="U31" s="9"/>
      <c r="V31" s="9"/>
      <c r="W31" s="9"/>
      <c r="X31" s="9"/>
      <c r="Y31" s="9"/>
      <c r="Z31" s="9"/>
    </row>
    <row r="32" ht="12.75" customHeight="1">
      <c r="A32" s="4"/>
      <c r="B32" s="4"/>
      <c r="C32" s="4"/>
      <c r="D32" s="17"/>
      <c r="E32" s="4"/>
      <c r="F32" s="4"/>
      <c r="G32" s="9"/>
      <c r="H32" s="9"/>
      <c r="I32" s="9"/>
      <c r="J32" s="9"/>
      <c r="K32" s="9"/>
      <c r="L32" s="9"/>
      <c r="M32" s="9"/>
      <c r="N32" s="9"/>
      <c r="O32" s="9"/>
      <c r="P32" s="9"/>
      <c r="Q32" s="9"/>
      <c r="R32" s="9"/>
      <c r="S32" s="9"/>
      <c r="T32" s="9"/>
      <c r="U32" s="9"/>
      <c r="V32" s="9"/>
      <c r="W32" s="9"/>
      <c r="X32" s="9"/>
      <c r="Y32" s="9"/>
      <c r="Z32" s="9"/>
    </row>
    <row r="33" ht="12.75" customHeight="1">
      <c r="A33" s="4"/>
      <c r="B33" s="4"/>
      <c r="C33" s="4"/>
      <c r="D33" s="4"/>
      <c r="E33" s="4"/>
      <c r="F33" s="4"/>
      <c r="G33" s="9"/>
      <c r="H33" s="9"/>
      <c r="I33" s="9"/>
      <c r="J33" s="9"/>
      <c r="K33" s="9"/>
      <c r="L33" s="9"/>
      <c r="M33" s="9"/>
      <c r="N33" s="9"/>
      <c r="O33" s="9"/>
      <c r="P33" s="9"/>
      <c r="Q33" s="9"/>
      <c r="R33" s="9"/>
      <c r="S33" s="9"/>
      <c r="T33" s="9"/>
      <c r="U33" s="9"/>
      <c r="V33" s="9"/>
      <c r="W33" s="9"/>
      <c r="X33" s="9"/>
      <c r="Y33" s="9"/>
      <c r="Z33" s="9"/>
    </row>
    <row r="34" ht="12.75" customHeight="1">
      <c r="A34" s="4"/>
      <c r="B34" s="4"/>
      <c r="C34" s="4"/>
      <c r="D34" s="4"/>
      <c r="E34" s="4"/>
      <c r="F34" s="4"/>
      <c r="G34" s="9"/>
      <c r="H34" s="9"/>
      <c r="I34" s="9"/>
      <c r="J34" s="9"/>
      <c r="K34" s="9"/>
      <c r="L34" s="9"/>
      <c r="M34" s="9"/>
      <c r="N34" s="9"/>
      <c r="O34" s="9"/>
      <c r="P34" s="9"/>
      <c r="Q34" s="9"/>
      <c r="R34" s="9"/>
      <c r="S34" s="9"/>
      <c r="T34" s="9"/>
      <c r="U34" s="9"/>
      <c r="V34" s="9"/>
      <c r="W34" s="9"/>
      <c r="X34" s="9"/>
      <c r="Y34" s="9"/>
      <c r="Z34" s="9"/>
    </row>
    <row r="35" ht="12.75" customHeight="1">
      <c r="A35" s="4"/>
      <c r="B35" s="4"/>
      <c r="C35" s="4"/>
      <c r="D35" s="4"/>
      <c r="E35" s="4"/>
      <c r="F35" s="4"/>
      <c r="G35" s="9"/>
      <c r="H35" s="9"/>
      <c r="I35" s="9"/>
      <c r="J35" s="9"/>
      <c r="K35" s="9"/>
      <c r="L35" s="9"/>
      <c r="M35" s="9"/>
      <c r="N35" s="9"/>
      <c r="O35" s="9"/>
      <c r="P35" s="9"/>
      <c r="Q35" s="9"/>
      <c r="R35" s="9"/>
      <c r="S35" s="9"/>
      <c r="T35" s="9"/>
      <c r="U35" s="9"/>
      <c r="V35" s="9"/>
      <c r="W35" s="9"/>
      <c r="X35" s="9"/>
      <c r="Y35" s="9"/>
      <c r="Z35" s="9"/>
    </row>
    <row r="36" ht="12.75" customHeight="1">
      <c r="A36" s="4"/>
      <c r="B36" s="4"/>
      <c r="C36" s="4"/>
      <c r="D36" s="4"/>
      <c r="E36" s="4"/>
      <c r="F36" s="4"/>
      <c r="G36" s="9"/>
      <c r="H36" s="9"/>
      <c r="I36" s="9"/>
      <c r="J36" s="9"/>
      <c r="K36" s="9"/>
      <c r="L36" s="9"/>
      <c r="M36" s="9"/>
      <c r="N36" s="9"/>
      <c r="O36" s="9"/>
      <c r="P36" s="9"/>
      <c r="Q36" s="9"/>
      <c r="R36" s="9"/>
      <c r="S36" s="9"/>
      <c r="T36" s="9"/>
      <c r="U36" s="9"/>
      <c r="V36" s="9"/>
      <c r="W36" s="9"/>
      <c r="X36" s="9"/>
      <c r="Y36" s="9"/>
      <c r="Z36" s="9"/>
    </row>
    <row r="37" ht="12.75" customHeight="1">
      <c r="A37" s="4"/>
      <c r="B37" s="4"/>
      <c r="C37" s="4"/>
      <c r="D37" s="4"/>
      <c r="E37" s="4"/>
      <c r="F37" s="4"/>
      <c r="G37" s="9"/>
      <c r="H37" s="9"/>
      <c r="I37" s="9"/>
      <c r="J37" s="9"/>
      <c r="K37" s="9"/>
      <c r="L37" s="9"/>
      <c r="M37" s="9"/>
      <c r="N37" s="9"/>
      <c r="O37" s="9"/>
      <c r="P37" s="9"/>
      <c r="Q37" s="9"/>
      <c r="R37" s="9"/>
      <c r="S37" s="9"/>
      <c r="T37" s="9"/>
      <c r="U37" s="9"/>
      <c r="V37" s="9"/>
      <c r="W37" s="9"/>
      <c r="X37" s="9"/>
      <c r="Y37" s="9"/>
      <c r="Z37" s="9"/>
    </row>
    <row r="38" ht="12.75" customHeight="1">
      <c r="A38" s="4"/>
      <c r="B38" s="4"/>
      <c r="C38" s="4"/>
      <c r="D38" s="4"/>
      <c r="E38" s="4"/>
      <c r="F38" s="4"/>
      <c r="G38" s="9"/>
      <c r="H38" s="9"/>
      <c r="I38" s="9"/>
      <c r="J38" s="9"/>
      <c r="K38" s="9"/>
      <c r="L38" s="9"/>
      <c r="M38" s="9"/>
      <c r="N38" s="9"/>
      <c r="O38" s="9"/>
      <c r="P38" s="9"/>
      <c r="Q38" s="9"/>
      <c r="R38" s="9"/>
      <c r="S38" s="9"/>
      <c r="T38" s="9"/>
      <c r="U38" s="9"/>
      <c r="V38" s="9"/>
      <c r="W38" s="9"/>
      <c r="X38" s="9"/>
      <c r="Y38" s="9"/>
      <c r="Z38" s="9"/>
    </row>
    <row r="39" ht="12.75" customHeight="1">
      <c r="A39" s="4"/>
      <c r="B39" s="4"/>
      <c r="C39" s="4"/>
      <c r="D39" s="4"/>
      <c r="E39" s="4"/>
      <c r="F39" s="4"/>
      <c r="G39" s="9"/>
      <c r="H39" s="9"/>
      <c r="I39" s="9"/>
      <c r="J39" s="9"/>
      <c r="K39" s="9"/>
      <c r="L39" s="9"/>
      <c r="M39" s="9"/>
      <c r="N39" s="9"/>
      <c r="O39" s="9"/>
      <c r="P39" s="9"/>
      <c r="Q39" s="9"/>
      <c r="R39" s="9"/>
      <c r="S39" s="9"/>
      <c r="T39" s="9"/>
      <c r="U39" s="9"/>
      <c r="V39" s="9"/>
      <c r="W39" s="9"/>
      <c r="X39" s="9"/>
      <c r="Y39" s="9"/>
      <c r="Z39" s="9"/>
    </row>
    <row r="40" ht="12.75" customHeight="1">
      <c r="A40" s="4"/>
      <c r="B40" s="4"/>
      <c r="C40" s="4"/>
      <c r="D40" s="4"/>
      <c r="E40" s="4"/>
      <c r="F40" s="4"/>
      <c r="G40" s="9"/>
      <c r="H40" s="9"/>
      <c r="I40" s="9"/>
      <c r="J40" s="9"/>
      <c r="K40" s="9"/>
      <c r="L40" s="9"/>
      <c r="M40" s="9"/>
      <c r="N40" s="9"/>
      <c r="O40" s="9"/>
      <c r="P40" s="9"/>
      <c r="Q40" s="9"/>
      <c r="R40" s="9"/>
      <c r="S40" s="9"/>
      <c r="T40" s="9"/>
      <c r="U40" s="9"/>
      <c r="V40" s="9"/>
      <c r="W40" s="9"/>
      <c r="X40" s="9"/>
      <c r="Y40" s="9"/>
      <c r="Z40" s="9"/>
    </row>
    <row r="41" ht="12.75" customHeight="1">
      <c r="A41" s="4"/>
      <c r="B41" s="4"/>
      <c r="C41" s="4"/>
      <c r="D41" s="4"/>
      <c r="E41" s="4"/>
      <c r="F41" s="4"/>
      <c r="G41" s="9"/>
      <c r="H41" s="9"/>
      <c r="I41" s="9"/>
      <c r="J41" s="9"/>
      <c r="K41" s="9"/>
      <c r="L41" s="9"/>
      <c r="M41" s="9"/>
      <c r="N41" s="9"/>
      <c r="O41" s="9"/>
      <c r="P41" s="9"/>
      <c r="Q41" s="9"/>
      <c r="R41" s="9"/>
      <c r="S41" s="9"/>
      <c r="T41" s="9"/>
      <c r="U41" s="9"/>
      <c r="V41" s="9"/>
      <c r="W41" s="9"/>
      <c r="X41" s="9"/>
      <c r="Y41" s="9"/>
      <c r="Z41" s="9"/>
    </row>
    <row r="42" ht="12.75" customHeight="1">
      <c r="A42" s="4"/>
      <c r="B42" s="4"/>
      <c r="C42" s="4"/>
      <c r="D42" s="4"/>
      <c r="E42" s="4"/>
      <c r="F42" s="4"/>
      <c r="G42" s="9"/>
      <c r="H42" s="9"/>
      <c r="I42" s="9"/>
      <c r="J42" s="9"/>
      <c r="K42" s="9"/>
      <c r="L42" s="9"/>
      <c r="M42" s="9"/>
      <c r="N42" s="9"/>
      <c r="O42" s="9"/>
      <c r="P42" s="9"/>
      <c r="Q42" s="9"/>
      <c r="R42" s="9"/>
      <c r="S42" s="9"/>
      <c r="T42" s="9"/>
      <c r="U42" s="9"/>
      <c r="V42" s="9"/>
      <c r="W42" s="9"/>
      <c r="X42" s="9"/>
      <c r="Y42" s="9"/>
      <c r="Z42" s="9"/>
    </row>
    <row r="43" ht="12.75" customHeight="1">
      <c r="A43" s="4"/>
      <c r="B43" s="4"/>
      <c r="C43" s="4"/>
      <c r="D43" s="4"/>
      <c r="E43" s="4"/>
      <c r="F43" s="4"/>
      <c r="G43" s="9"/>
      <c r="H43" s="9"/>
      <c r="I43" s="9"/>
      <c r="J43" s="9"/>
      <c r="K43" s="9"/>
      <c r="L43" s="9"/>
      <c r="M43" s="9"/>
      <c r="N43" s="9"/>
      <c r="O43" s="9"/>
      <c r="P43" s="9"/>
      <c r="Q43" s="9"/>
      <c r="R43" s="9"/>
      <c r="S43" s="9"/>
      <c r="T43" s="9"/>
      <c r="U43" s="9"/>
      <c r="V43" s="9"/>
      <c r="W43" s="9"/>
      <c r="X43" s="9"/>
      <c r="Y43" s="9"/>
      <c r="Z43" s="9"/>
    </row>
    <row r="44" ht="12.75" customHeight="1">
      <c r="A44" s="4"/>
      <c r="B44" s="4"/>
      <c r="C44" s="4"/>
      <c r="D44" s="4"/>
      <c r="E44" s="4"/>
      <c r="F44" s="4"/>
      <c r="G44" s="9"/>
      <c r="H44" s="9"/>
      <c r="I44" s="9"/>
      <c r="J44" s="9"/>
      <c r="K44" s="9"/>
      <c r="L44" s="9"/>
      <c r="M44" s="9"/>
      <c r="N44" s="9"/>
      <c r="O44" s="9"/>
      <c r="P44" s="9"/>
      <c r="Q44" s="9"/>
      <c r="R44" s="9"/>
      <c r="S44" s="9"/>
      <c r="T44" s="9"/>
      <c r="U44" s="9"/>
      <c r="V44" s="9"/>
      <c r="W44" s="9"/>
      <c r="X44" s="9"/>
      <c r="Y44" s="9"/>
      <c r="Z44" s="9"/>
    </row>
    <row r="45" ht="12.75" customHeight="1">
      <c r="A45" s="4"/>
      <c r="B45" s="4"/>
      <c r="C45" s="4"/>
      <c r="D45" s="4"/>
      <c r="E45" s="4"/>
      <c r="F45" s="4"/>
      <c r="G45" s="9"/>
      <c r="H45" s="9"/>
      <c r="I45" s="9"/>
      <c r="J45" s="9"/>
      <c r="K45" s="9"/>
      <c r="L45" s="9"/>
      <c r="M45" s="9"/>
      <c r="N45" s="9"/>
      <c r="O45" s="9"/>
      <c r="P45" s="9"/>
      <c r="Q45" s="9"/>
      <c r="R45" s="9"/>
      <c r="S45" s="9"/>
      <c r="T45" s="9"/>
      <c r="U45" s="9"/>
      <c r="V45" s="9"/>
      <c r="W45" s="9"/>
      <c r="X45" s="9"/>
      <c r="Y45" s="9"/>
      <c r="Z45" s="9"/>
    </row>
    <row r="46" ht="12.75" customHeight="1">
      <c r="A46" s="4"/>
      <c r="B46" s="4"/>
      <c r="C46" s="4"/>
      <c r="D46" s="4"/>
      <c r="E46" s="4"/>
      <c r="F46" s="4"/>
      <c r="G46" s="9"/>
      <c r="H46" s="9"/>
      <c r="I46" s="9"/>
      <c r="J46" s="9"/>
      <c r="K46" s="9"/>
      <c r="L46" s="9"/>
      <c r="M46" s="9"/>
      <c r="N46" s="9"/>
      <c r="O46" s="9"/>
      <c r="P46" s="9"/>
      <c r="Q46" s="9"/>
      <c r="R46" s="9"/>
      <c r="S46" s="9"/>
      <c r="T46" s="9"/>
      <c r="U46" s="9"/>
      <c r="V46" s="9"/>
      <c r="W46" s="9"/>
      <c r="X46" s="9"/>
      <c r="Y46" s="9"/>
      <c r="Z46" s="9"/>
    </row>
    <row r="47" ht="12.75" customHeight="1">
      <c r="A47" s="4"/>
      <c r="B47" s="4"/>
      <c r="C47" s="4"/>
      <c r="D47" s="4"/>
      <c r="E47" s="4"/>
      <c r="F47" s="4"/>
      <c r="G47" s="9"/>
      <c r="H47" s="9"/>
      <c r="I47" s="9"/>
      <c r="J47" s="9"/>
      <c r="K47" s="9"/>
      <c r="L47" s="9"/>
      <c r="M47" s="9"/>
      <c r="N47" s="9"/>
      <c r="O47" s="9"/>
      <c r="P47" s="9"/>
      <c r="Q47" s="9"/>
      <c r="R47" s="9"/>
      <c r="S47" s="9"/>
      <c r="T47" s="9"/>
      <c r="U47" s="9"/>
      <c r="V47" s="9"/>
      <c r="W47" s="9"/>
      <c r="X47" s="9"/>
      <c r="Y47" s="9"/>
      <c r="Z47" s="9"/>
    </row>
    <row r="48" ht="12.75" customHeight="1">
      <c r="A48" s="4"/>
      <c r="B48" s="4"/>
      <c r="C48" s="4"/>
      <c r="D48" s="4"/>
      <c r="E48" s="4"/>
      <c r="F48" s="4"/>
      <c r="G48" s="9"/>
      <c r="H48" s="9"/>
      <c r="I48" s="9"/>
      <c r="J48" s="9"/>
      <c r="K48" s="9"/>
      <c r="L48" s="9"/>
      <c r="M48" s="9"/>
      <c r="N48" s="9"/>
      <c r="O48" s="9"/>
      <c r="P48" s="9"/>
      <c r="Q48" s="9"/>
      <c r="R48" s="9"/>
      <c r="S48" s="9"/>
      <c r="T48" s="9"/>
      <c r="U48" s="9"/>
      <c r="V48" s="9"/>
      <c r="W48" s="9"/>
      <c r="X48" s="9"/>
      <c r="Y48" s="9"/>
      <c r="Z48" s="9"/>
    </row>
    <row r="49" ht="12.75" customHeight="1">
      <c r="A49" s="4"/>
      <c r="B49" s="4"/>
      <c r="C49" s="4"/>
      <c r="D49" s="4"/>
      <c r="E49" s="4"/>
      <c r="F49" s="4"/>
      <c r="G49" s="9"/>
      <c r="H49" s="9"/>
      <c r="I49" s="9"/>
      <c r="J49" s="9"/>
      <c r="K49" s="9"/>
      <c r="L49" s="9"/>
      <c r="M49" s="9"/>
      <c r="N49" s="9"/>
      <c r="O49" s="9"/>
      <c r="P49" s="9"/>
      <c r="Q49" s="9"/>
      <c r="R49" s="9"/>
      <c r="S49" s="9"/>
      <c r="T49" s="9"/>
      <c r="U49" s="9"/>
      <c r="V49" s="9"/>
      <c r="W49" s="9"/>
      <c r="X49" s="9"/>
      <c r="Y49" s="9"/>
      <c r="Z49" s="9"/>
    </row>
    <row r="50" ht="12.75" customHeight="1">
      <c r="A50" s="4"/>
      <c r="B50" s="4"/>
      <c r="C50" s="4"/>
      <c r="D50" s="4"/>
      <c r="E50" s="4"/>
      <c r="F50" s="4"/>
      <c r="G50" s="9"/>
      <c r="H50" s="9"/>
      <c r="I50" s="9"/>
      <c r="J50" s="9"/>
      <c r="K50" s="9"/>
      <c r="L50" s="9"/>
      <c r="M50" s="9"/>
      <c r="N50" s="9"/>
      <c r="O50" s="9"/>
      <c r="P50" s="9"/>
      <c r="Q50" s="9"/>
      <c r="R50" s="9"/>
      <c r="S50" s="9"/>
      <c r="T50" s="9"/>
      <c r="U50" s="9"/>
      <c r="V50" s="9"/>
      <c r="W50" s="9"/>
      <c r="X50" s="9"/>
      <c r="Y50" s="9"/>
      <c r="Z50" s="9"/>
    </row>
    <row r="51" ht="12.75" customHeight="1">
      <c r="A51" s="4"/>
      <c r="B51" s="4"/>
      <c r="C51" s="4"/>
      <c r="D51" s="4"/>
      <c r="E51" s="4"/>
      <c r="F51" s="4"/>
      <c r="G51" s="9"/>
      <c r="H51" s="9"/>
      <c r="I51" s="9"/>
      <c r="J51" s="9"/>
      <c r="K51" s="9"/>
      <c r="L51" s="9"/>
      <c r="M51" s="9"/>
      <c r="N51" s="9"/>
      <c r="O51" s="9"/>
      <c r="P51" s="9"/>
      <c r="Q51" s="9"/>
      <c r="R51" s="9"/>
      <c r="S51" s="9"/>
      <c r="T51" s="9"/>
      <c r="U51" s="9"/>
      <c r="V51" s="9"/>
      <c r="W51" s="9"/>
      <c r="X51" s="9"/>
      <c r="Y51" s="9"/>
      <c r="Z51" s="9"/>
    </row>
    <row r="52" ht="12.75" customHeight="1">
      <c r="A52" s="4"/>
      <c r="B52" s="4"/>
      <c r="C52" s="4"/>
      <c r="D52" s="4"/>
      <c r="E52" s="4"/>
      <c r="F52" s="4"/>
      <c r="G52" s="9"/>
      <c r="H52" s="9"/>
      <c r="I52" s="9"/>
      <c r="J52" s="9"/>
      <c r="K52" s="9"/>
      <c r="L52" s="9"/>
      <c r="M52" s="9"/>
      <c r="N52" s="9"/>
      <c r="O52" s="9"/>
      <c r="P52" s="9"/>
      <c r="Q52" s="9"/>
      <c r="R52" s="9"/>
      <c r="S52" s="9"/>
      <c r="T52" s="9"/>
      <c r="U52" s="9"/>
      <c r="V52" s="9"/>
      <c r="W52" s="9"/>
      <c r="X52" s="9"/>
      <c r="Y52" s="9"/>
      <c r="Z52" s="9"/>
    </row>
    <row r="53" ht="12.75" customHeight="1">
      <c r="A53" s="4"/>
      <c r="B53" s="4"/>
      <c r="C53" s="4"/>
      <c r="D53" s="4"/>
      <c r="E53" s="4"/>
      <c r="F53" s="4"/>
      <c r="G53" s="9"/>
      <c r="H53" s="9"/>
      <c r="I53" s="9"/>
      <c r="J53" s="9"/>
      <c r="K53" s="9"/>
      <c r="L53" s="9"/>
      <c r="M53" s="9"/>
      <c r="N53" s="9"/>
      <c r="O53" s="9"/>
      <c r="P53" s="9"/>
      <c r="Q53" s="9"/>
      <c r="R53" s="9"/>
      <c r="S53" s="9"/>
      <c r="T53" s="9"/>
      <c r="U53" s="9"/>
      <c r="V53" s="9"/>
      <c r="W53" s="9"/>
      <c r="X53" s="9"/>
      <c r="Y53" s="9"/>
      <c r="Z53" s="9"/>
    </row>
    <row r="54" ht="12.75" customHeight="1">
      <c r="A54" s="302"/>
      <c r="B54" s="302"/>
      <c r="C54" s="302"/>
      <c r="D54" s="302"/>
      <c r="E54" s="302"/>
      <c r="F54" s="302"/>
      <c r="G54" s="9"/>
      <c r="H54" s="9"/>
      <c r="I54" s="9"/>
      <c r="J54" s="9"/>
      <c r="K54" s="9"/>
      <c r="L54" s="9"/>
      <c r="M54" s="9"/>
      <c r="N54" s="9"/>
      <c r="O54" s="9"/>
      <c r="P54" s="9"/>
      <c r="Q54" s="9"/>
      <c r="R54" s="9"/>
      <c r="S54" s="9"/>
      <c r="T54" s="9"/>
      <c r="U54" s="9"/>
      <c r="V54" s="9"/>
      <c r="W54" s="9"/>
      <c r="X54" s="9"/>
      <c r="Y54" s="9"/>
      <c r="Z54" s="9"/>
    </row>
    <row r="55" ht="12.75" customHeight="1">
      <c r="A55" s="302"/>
      <c r="B55" s="302"/>
      <c r="C55" s="302"/>
      <c r="D55" s="302"/>
      <c r="E55" s="302"/>
      <c r="F55" s="302"/>
      <c r="G55" s="304"/>
      <c r="H55" s="304"/>
      <c r="I55" s="304"/>
      <c r="J55" s="304"/>
      <c r="K55" s="304"/>
      <c r="L55" s="304"/>
      <c r="M55" s="304"/>
      <c r="N55" s="304"/>
      <c r="O55" s="304"/>
      <c r="P55" s="304"/>
      <c r="Q55" s="304"/>
      <c r="R55" s="304"/>
      <c r="S55" s="304"/>
      <c r="T55" s="304"/>
      <c r="U55" s="304"/>
      <c r="V55" s="304"/>
      <c r="W55" s="304"/>
      <c r="X55" s="304"/>
      <c r="Y55" s="304"/>
      <c r="Z55" s="304"/>
    </row>
    <row r="56" ht="12.75" customHeight="1">
      <c r="A56" s="302"/>
      <c r="B56" s="302"/>
      <c r="C56" s="302"/>
      <c r="D56" s="302"/>
      <c r="E56" s="302"/>
      <c r="F56" s="302"/>
      <c r="G56" s="304"/>
      <c r="H56" s="304"/>
      <c r="I56" s="304"/>
      <c r="J56" s="304"/>
      <c r="K56" s="304"/>
      <c r="L56" s="304"/>
      <c r="M56" s="304"/>
      <c r="N56" s="304"/>
      <c r="O56" s="304"/>
      <c r="P56" s="304"/>
      <c r="Q56" s="304"/>
      <c r="R56" s="304"/>
      <c r="S56" s="304"/>
      <c r="T56" s="304"/>
      <c r="U56" s="304"/>
      <c r="V56" s="304"/>
      <c r="W56" s="304"/>
      <c r="X56" s="304"/>
      <c r="Y56" s="304"/>
      <c r="Z56" s="304"/>
    </row>
    <row r="57" ht="12.75" customHeight="1">
      <c r="A57" s="302"/>
      <c r="B57" s="302"/>
      <c r="C57" s="302"/>
      <c r="D57" s="302"/>
      <c r="E57" s="302"/>
      <c r="F57" s="302"/>
      <c r="G57" s="304"/>
      <c r="H57" s="304"/>
      <c r="I57" s="304"/>
      <c r="J57" s="304"/>
      <c r="K57" s="304"/>
      <c r="L57" s="304"/>
      <c r="M57" s="304"/>
      <c r="N57" s="304"/>
      <c r="O57" s="304"/>
      <c r="P57" s="304"/>
      <c r="Q57" s="304"/>
      <c r="R57" s="304"/>
      <c r="S57" s="304"/>
      <c r="T57" s="304"/>
      <c r="U57" s="304"/>
      <c r="V57" s="304"/>
      <c r="W57" s="304"/>
      <c r="X57" s="304"/>
      <c r="Y57" s="304"/>
      <c r="Z57" s="304"/>
    </row>
    <row r="58" ht="12.75" customHeight="1">
      <c r="A58" s="302"/>
      <c r="B58" s="302"/>
      <c r="C58" s="302"/>
      <c r="D58" s="302"/>
      <c r="E58" s="302"/>
      <c r="F58" s="302"/>
      <c r="G58" s="304"/>
      <c r="H58" s="304"/>
      <c r="I58" s="304"/>
      <c r="J58" s="304"/>
      <c r="K58" s="304"/>
      <c r="L58" s="304"/>
      <c r="M58" s="304"/>
      <c r="N58" s="304"/>
      <c r="O58" s="304"/>
      <c r="P58" s="304"/>
      <c r="Q58" s="304"/>
      <c r="R58" s="304"/>
      <c r="S58" s="304"/>
      <c r="T58" s="304"/>
      <c r="U58" s="304"/>
      <c r="V58" s="304"/>
      <c r="W58" s="304"/>
      <c r="X58" s="304"/>
      <c r="Y58" s="304"/>
      <c r="Z58" s="304"/>
    </row>
    <row r="59" ht="12.75" customHeight="1">
      <c r="A59" s="302"/>
      <c r="B59" s="302"/>
      <c r="C59" s="302"/>
      <c r="D59" s="302"/>
      <c r="E59" s="302"/>
      <c r="F59" s="302"/>
      <c r="G59" s="304"/>
      <c r="H59" s="304"/>
      <c r="I59" s="304"/>
      <c r="J59" s="304"/>
      <c r="K59" s="304"/>
      <c r="L59" s="304"/>
      <c r="M59" s="304"/>
      <c r="N59" s="304"/>
      <c r="O59" s="304"/>
      <c r="P59" s="304"/>
      <c r="Q59" s="304"/>
      <c r="R59" s="304"/>
      <c r="S59" s="304"/>
      <c r="T59" s="304"/>
      <c r="U59" s="304"/>
      <c r="V59" s="304"/>
      <c r="W59" s="304"/>
      <c r="X59" s="304"/>
      <c r="Y59" s="304"/>
      <c r="Z59" s="304"/>
    </row>
    <row r="60" ht="12.75" customHeight="1">
      <c r="A60" s="302"/>
      <c r="B60" s="302"/>
      <c r="C60" s="302"/>
      <c r="D60" s="302"/>
      <c r="E60" s="302"/>
      <c r="F60" s="302"/>
      <c r="G60" s="304"/>
      <c r="H60" s="304"/>
      <c r="I60" s="304"/>
      <c r="J60" s="304"/>
      <c r="K60" s="304"/>
      <c r="L60" s="304"/>
      <c r="M60" s="304"/>
      <c r="N60" s="304"/>
      <c r="O60" s="304"/>
      <c r="P60" s="304"/>
      <c r="Q60" s="304"/>
      <c r="R60" s="304"/>
      <c r="S60" s="304"/>
      <c r="T60" s="304"/>
      <c r="U60" s="304"/>
      <c r="V60" s="304"/>
      <c r="W60" s="304"/>
      <c r="X60" s="304"/>
      <c r="Y60" s="304"/>
      <c r="Z60" s="304"/>
    </row>
    <row r="61" ht="12.75" customHeight="1">
      <c r="A61" s="302"/>
      <c r="B61" s="302"/>
      <c r="C61" s="302"/>
      <c r="D61" s="302"/>
      <c r="E61" s="302"/>
      <c r="F61" s="302"/>
      <c r="G61" s="304"/>
      <c r="H61" s="304"/>
      <c r="I61" s="304"/>
      <c r="J61" s="304"/>
      <c r="K61" s="304"/>
      <c r="L61" s="304"/>
      <c r="M61" s="304"/>
      <c r="N61" s="304"/>
      <c r="O61" s="304"/>
      <c r="P61" s="304"/>
      <c r="Q61" s="304"/>
      <c r="R61" s="304"/>
      <c r="S61" s="304"/>
      <c r="T61" s="304"/>
      <c r="U61" s="304"/>
      <c r="V61" s="304"/>
      <c r="W61" s="304"/>
      <c r="X61" s="304"/>
      <c r="Y61" s="304"/>
      <c r="Z61" s="304"/>
    </row>
    <row r="62" ht="12.75" customHeight="1">
      <c r="A62" s="302"/>
      <c r="B62" s="302"/>
      <c r="C62" s="302"/>
      <c r="D62" s="302"/>
      <c r="E62" s="302"/>
      <c r="F62" s="302"/>
      <c r="G62" s="304"/>
      <c r="H62" s="304"/>
      <c r="I62" s="304"/>
      <c r="J62" s="304"/>
      <c r="K62" s="304"/>
      <c r="L62" s="304"/>
      <c r="M62" s="304"/>
      <c r="N62" s="304"/>
      <c r="O62" s="304"/>
      <c r="P62" s="304"/>
      <c r="Q62" s="304"/>
      <c r="R62" s="304"/>
      <c r="S62" s="304"/>
      <c r="T62" s="304"/>
      <c r="U62" s="304"/>
      <c r="V62" s="304"/>
      <c r="W62" s="304"/>
      <c r="X62" s="304"/>
      <c r="Y62" s="304"/>
      <c r="Z62" s="304"/>
    </row>
    <row r="63" ht="12.75" customHeight="1">
      <c r="A63" s="302"/>
      <c r="B63" s="302"/>
      <c r="C63" s="302"/>
      <c r="D63" s="302"/>
      <c r="E63" s="302"/>
      <c r="F63" s="302"/>
      <c r="G63" s="304"/>
      <c r="H63" s="304"/>
      <c r="I63" s="304"/>
      <c r="J63" s="304"/>
      <c r="K63" s="304"/>
      <c r="L63" s="304"/>
      <c r="M63" s="304"/>
      <c r="N63" s="304"/>
      <c r="O63" s="304"/>
      <c r="P63" s="304"/>
      <c r="Q63" s="304"/>
      <c r="R63" s="304"/>
      <c r="S63" s="304"/>
      <c r="T63" s="304"/>
      <c r="U63" s="304"/>
      <c r="V63" s="304"/>
      <c r="W63" s="304"/>
      <c r="X63" s="304"/>
      <c r="Y63" s="304"/>
      <c r="Z63" s="304"/>
    </row>
    <row r="64" ht="12.75" customHeight="1">
      <c r="A64" s="302"/>
      <c r="B64" s="302"/>
      <c r="C64" s="302"/>
      <c r="D64" s="302"/>
      <c r="E64" s="302"/>
      <c r="F64" s="302"/>
      <c r="G64" s="304"/>
      <c r="H64" s="304"/>
      <c r="I64" s="304"/>
      <c r="J64" s="304"/>
      <c r="K64" s="304"/>
      <c r="L64" s="304"/>
      <c r="M64" s="304"/>
      <c r="N64" s="304"/>
      <c r="O64" s="304"/>
      <c r="P64" s="304"/>
      <c r="Q64" s="304"/>
      <c r="R64" s="304"/>
      <c r="S64" s="304"/>
      <c r="T64" s="304"/>
      <c r="U64" s="304"/>
      <c r="V64" s="304"/>
      <c r="W64" s="304"/>
      <c r="X64" s="304"/>
      <c r="Y64" s="304"/>
      <c r="Z64" s="304"/>
    </row>
    <row r="65" ht="12.75" customHeight="1">
      <c r="A65" s="302"/>
      <c r="B65" s="302"/>
      <c r="C65" s="302"/>
      <c r="D65" s="302"/>
      <c r="E65" s="302"/>
      <c r="F65" s="302"/>
      <c r="G65" s="304"/>
      <c r="H65" s="304"/>
      <c r="I65" s="304"/>
      <c r="J65" s="304"/>
      <c r="K65" s="304"/>
      <c r="L65" s="304"/>
      <c r="M65" s="304"/>
      <c r="N65" s="304"/>
      <c r="O65" s="304"/>
      <c r="P65" s="304"/>
      <c r="Q65" s="304"/>
      <c r="R65" s="304"/>
      <c r="S65" s="304"/>
      <c r="T65" s="304"/>
      <c r="U65" s="304"/>
      <c r="V65" s="304"/>
      <c r="W65" s="304"/>
      <c r="X65" s="304"/>
      <c r="Y65" s="304"/>
      <c r="Z65" s="304"/>
    </row>
    <row r="66" ht="12.75" customHeight="1">
      <c r="A66" s="302"/>
      <c r="B66" s="302"/>
      <c r="C66" s="302"/>
      <c r="D66" s="302"/>
      <c r="E66" s="302"/>
      <c r="F66" s="302"/>
      <c r="G66" s="304"/>
      <c r="H66" s="304"/>
      <c r="I66" s="304"/>
      <c r="J66" s="304"/>
      <c r="K66" s="304"/>
      <c r="L66" s="304"/>
      <c r="M66" s="304"/>
      <c r="N66" s="304"/>
      <c r="O66" s="304"/>
      <c r="P66" s="304"/>
      <c r="Q66" s="304"/>
      <c r="R66" s="304"/>
      <c r="S66" s="304"/>
      <c r="T66" s="304"/>
      <c r="U66" s="304"/>
      <c r="V66" s="304"/>
      <c r="W66" s="304"/>
      <c r="X66" s="304"/>
      <c r="Y66" s="304"/>
      <c r="Z66" s="304"/>
    </row>
    <row r="67" ht="12.75" customHeight="1">
      <c r="A67" s="302"/>
      <c r="B67" s="302"/>
      <c r="C67" s="302"/>
      <c r="D67" s="302"/>
      <c r="E67" s="302"/>
      <c r="F67" s="302"/>
      <c r="G67" s="304"/>
      <c r="H67" s="304"/>
      <c r="I67" s="304"/>
      <c r="J67" s="304"/>
      <c r="K67" s="304"/>
      <c r="L67" s="304"/>
      <c r="M67" s="304"/>
      <c r="N67" s="304"/>
      <c r="O67" s="304"/>
      <c r="P67" s="304"/>
      <c r="Q67" s="304"/>
      <c r="R67" s="304"/>
      <c r="S67" s="304"/>
      <c r="T67" s="304"/>
      <c r="U67" s="304"/>
      <c r="V67" s="304"/>
      <c r="W67" s="304"/>
      <c r="X67" s="304"/>
      <c r="Y67" s="304"/>
      <c r="Z67" s="304"/>
    </row>
    <row r="68" ht="12.75" customHeight="1">
      <c r="A68" s="302"/>
      <c r="B68" s="302"/>
      <c r="C68" s="302"/>
      <c r="D68" s="302"/>
      <c r="E68" s="302"/>
      <c r="F68" s="302"/>
      <c r="G68" s="304"/>
      <c r="H68" s="304"/>
      <c r="I68" s="304"/>
      <c r="J68" s="304"/>
      <c r="K68" s="304"/>
      <c r="L68" s="304"/>
      <c r="M68" s="304"/>
      <c r="N68" s="304"/>
      <c r="O68" s="304"/>
      <c r="P68" s="304"/>
      <c r="Q68" s="304"/>
      <c r="R68" s="304"/>
      <c r="S68" s="304"/>
      <c r="T68" s="304"/>
      <c r="U68" s="304"/>
      <c r="V68" s="304"/>
      <c r="W68" s="304"/>
      <c r="X68" s="304"/>
      <c r="Y68" s="304"/>
      <c r="Z68" s="304"/>
    </row>
    <row r="69" ht="12.75" customHeight="1">
      <c r="A69" s="302"/>
      <c r="B69" s="302"/>
      <c r="C69" s="302"/>
      <c r="D69" s="302"/>
      <c r="E69" s="302"/>
      <c r="F69" s="302"/>
      <c r="G69" s="304"/>
      <c r="H69" s="304"/>
      <c r="I69" s="304"/>
      <c r="J69" s="304"/>
      <c r="K69" s="304"/>
      <c r="L69" s="304"/>
      <c r="M69" s="304"/>
      <c r="N69" s="304"/>
      <c r="O69" s="304"/>
      <c r="P69" s="304"/>
      <c r="Q69" s="304"/>
      <c r="R69" s="304"/>
      <c r="S69" s="304"/>
      <c r="T69" s="304"/>
      <c r="U69" s="304"/>
      <c r="V69" s="304"/>
      <c r="W69" s="304"/>
      <c r="X69" s="304"/>
      <c r="Y69" s="304"/>
      <c r="Z69" s="304"/>
    </row>
    <row r="70" ht="12.75" customHeight="1">
      <c r="A70" s="302"/>
      <c r="B70" s="302"/>
      <c r="C70" s="302"/>
      <c r="D70" s="302"/>
      <c r="E70" s="302"/>
      <c r="F70" s="302"/>
      <c r="G70" s="304"/>
      <c r="H70" s="304"/>
      <c r="I70" s="304"/>
      <c r="J70" s="304"/>
      <c r="K70" s="304"/>
      <c r="L70" s="304"/>
      <c r="M70" s="304"/>
      <c r="N70" s="304"/>
      <c r="O70" s="304"/>
      <c r="P70" s="304"/>
      <c r="Q70" s="304"/>
      <c r="R70" s="304"/>
      <c r="S70" s="304"/>
      <c r="T70" s="304"/>
      <c r="U70" s="304"/>
      <c r="V70" s="304"/>
      <c r="W70" s="304"/>
      <c r="X70" s="304"/>
      <c r="Y70" s="304"/>
      <c r="Z70" s="304"/>
    </row>
    <row r="71" ht="12.75" customHeight="1">
      <c r="A71" s="302"/>
      <c r="B71" s="302"/>
      <c r="C71" s="302"/>
      <c r="D71" s="302"/>
      <c r="E71" s="302"/>
      <c r="F71" s="302"/>
      <c r="G71" s="304"/>
      <c r="H71" s="304"/>
      <c r="I71" s="304"/>
      <c r="J71" s="304"/>
      <c r="K71" s="304"/>
      <c r="L71" s="304"/>
      <c r="M71" s="304"/>
      <c r="N71" s="304"/>
      <c r="O71" s="304"/>
      <c r="P71" s="304"/>
      <c r="Q71" s="304"/>
      <c r="R71" s="304"/>
      <c r="S71" s="304"/>
      <c r="T71" s="304"/>
      <c r="U71" s="304"/>
      <c r="V71" s="304"/>
      <c r="W71" s="304"/>
      <c r="X71" s="304"/>
      <c r="Y71" s="304"/>
      <c r="Z71" s="304"/>
    </row>
    <row r="72" ht="12.75" customHeight="1">
      <c r="A72" s="302"/>
      <c r="B72" s="302"/>
      <c r="C72" s="302"/>
      <c r="D72" s="302"/>
      <c r="E72" s="302"/>
      <c r="F72" s="302"/>
      <c r="G72" s="304"/>
      <c r="H72" s="304"/>
      <c r="I72" s="304"/>
      <c r="J72" s="304"/>
      <c r="K72" s="304"/>
      <c r="L72" s="304"/>
      <c r="M72" s="304"/>
      <c r="N72" s="304"/>
      <c r="O72" s="304"/>
      <c r="P72" s="304"/>
      <c r="Q72" s="304"/>
      <c r="R72" s="304"/>
      <c r="S72" s="304"/>
      <c r="T72" s="304"/>
      <c r="U72" s="304"/>
      <c r="V72" s="304"/>
      <c r="W72" s="304"/>
      <c r="X72" s="304"/>
      <c r="Y72" s="304"/>
      <c r="Z72" s="304"/>
    </row>
    <row r="73" ht="12.75" customHeight="1">
      <c r="A73" s="302"/>
      <c r="B73" s="302"/>
      <c r="C73" s="302"/>
      <c r="D73" s="302"/>
      <c r="E73" s="302"/>
      <c r="F73" s="302"/>
      <c r="G73" s="304"/>
      <c r="H73" s="304"/>
      <c r="I73" s="304"/>
      <c r="J73" s="304"/>
      <c r="K73" s="304"/>
      <c r="L73" s="304"/>
      <c r="M73" s="304"/>
      <c r="N73" s="304"/>
      <c r="O73" s="304"/>
      <c r="P73" s="304"/>
      <c r="Q73" s="304"/>
      <c r="R73" s="304"/>
      <c r="S73" s="304"/>
      <c r="T73" s="304"/>
      <c r="U73" s="304"/>
      <c r="V73" s="304"/>
      <c r="W73" s="304"/>
      <c r="X73" s="304"/>
      <c r="Y73" s="304"/>
      <c r="Z73" s="304"/>
    </row>
    <row r="74" ht="12.75" customHeight="1">
      <c r="A74" s="302"/>
      <c r="B74" s="302"/>
      <c r="C74" s="302"/>
      <c r="D74" s="302"/>
      <c r="E74" s="302"/>
      <c r="F74" s="302"/>
      <c r="G74" s="304"/>
      <c r="H74" s="304"/>
      <c r="I74" s="304"/>
      <c r="J74" s="304"/>
      <c r="K74" s="304"/>
      <c r="L74" s="304"/>
      <c r="M74" s="304"/>
      <c r="N74" s="304"/>
      <c r="O74" s="304"/>
      <c r="P74" s="304"/>
      <c r="Q74" s="304"/>
      <c r="R74" s="304"/>
      <c r="S74" s="304"/>
      <c r="T74" s="304"/>
      <c r="U74" s="304"/>
      <c r="V74" s="304"/>
      <c r="W74" s="304"/>
      <c r="X74" s="304"/>
      <c r="Y74" s="304"/>
      <c r="Z74" s="304"/>
    </row>
    <row r="75" ht="12.75" customHeight="1">
      <c r="A75" s="302"/>
      <c r="B75" s="302"/>
      <c r="C75" s="302"/>
      <c r="D75" s="302"/>
      <c r="E75" s="302"/>
      <c r="F75" s="302"/>
      <c r="G75" s="304"/>
      <c r="H75" s="304"/>
      <c r="I75" s="304"/>
      <c r="J75" s="304"/>
      <c r="K75" s="304"/>
      <c r="L75" s="304"/>
      <c r="M75" s="304"/>
      <c r="N75" s="304"/>
      <c r="O75" s="304"/>
      <c r="P75" s="304"/>
      <c r="Q75" s="304"/>
      <c r="R75" s="304"/>
      <c r="S75" s="304"/>
      <c r="T75" s="304"/>
      <c r="U75" s="304"/>
      <c r="V75" s="304"/>
      <c r="W75" s="304"/>
      <c r="X75" s="304"/>
      <c r="Y75" s="304"/>
      <c r="Z75" s="304"/>
    </row>
    <row r="76" ht="12.75" customHeight="1">
      <c r="A76" s="302"/>
      <c r="B76" s="302"/>
      <c r="C76" s="302"/>
      <c r="D76" s="302"/>
      <c r="E76" s="302"/>
      <c r="F76" s="302"/>
      <c r="G76" s="304"/>
      <c r="H76" s="304"/>
      <c r="I76" s="304"/>
      <c r="J76" s="304"/>
      <c r="K76" s="304"/>
      <c r="L76" s="304"/>
      <c r="M76" s="304"/>
      <c r="N76" s="304"/>
      <c r="O76" s="304"/>
      <c r="P76" s="304"/>
      <c r="Q76" s="304"/>
      <c r="R76" s="304"/>
      <c r="S76" s="304"/>
      <c r="T76" s="304"/>
      <c r="U76" s="304"/>
      <c r="V76" s="304"/>
      <c r="W76" s="304"/>
      <c r="X76" s="304"/>
      <c r="Y76" s="304"/>
      <c r="Z76" s="304"/>
    </row>
    <row r="77" ht="12.75" customHeight="1">
      <c r="A77" s="302"/>
      <c r="B77" s="302"/>
      <c r="C77" s="302"/>
      <c r="D77" s="302"/>
      <c r="E77" s="302"/>
      <c r="F77" s="302"/>
      <c r="G77" s="304"/>
      <c r="H77" s="304"/>
      <c r="I77" s="304"/>
      <c r="J77" s="304"/>
      <c r="K77" s="304"/>
      <c r="L77" s="304"/>
      <c r="M77" s="304"/>
      <c r="N77" s="304"/>
      <c r="O77" s="304"/>
      <c r="P77" s="304"/>
      <c r="Q77" s="304"/>
      <c r="R77" s="304"/>
      <c r="S77" s="304"/>
      <c r="T77" s="304"/>
      <c r="U77" s="304"/>
      <c r="V77" s="304"/>
      <c r="W77" s="304"/>
      <c r="X77" s="304"/>
      <c r="Y77" s="304"/>
      <c r="Z77" s="304"/>
    </row>
    <row r="78" ht="12.75" customHeight="1">
      <c r="A78" s="302"/>
      <c r="B78" s="302"/>
      <c r="C78" s="302"/>
      <c r="D78" s="302"/>
      <c r="E78" s="302"/>
      <c r="F78" s="302"/>
      <c r="G78" s="304"/>
      <c r="H78" s="304"/>
      <c r="I78" s="304"/>
      <c r="J78" s="304"/>
      <c r="K78" s="304"/>
      <c r="L78" s="304"/>
      <c r="M78" s="304"/>
      <c r="N78" s="304"/>
      <c r="O78" s="304"/>
      <c r="P78" s="304"/>
      <c r="Q78" s="304"/>
      <c r="R78" s="304"/>
      <c r="S78" s="304"/>
      <c r="T78" s="304"/>
      <c r="U78" s="304"/>
      <c r="V78" s="304"/>
      <c r="W78" s="304"/>
      <c r="X78" s="304"/>
      <c r="Y78" s="304"/>
      <c r="Z78" s="304"/>
    </row>
    <row r="79" ht="12.75" customHeight="1">
      <c r="A79" s="302"/>
      <c r="B79" s="302"/>
      <c r="C79" s="302"/>
      <c r="D79" s="302"/>
      <c r="E79" s="302"/>
      <c r="F79" s="302"/>
      <c r="G79" s="304"/>
      <c r="H79" s="304"/>
      <c r="I79" s="304"/>
      <c r="J79" s="304"/>
      <c r="K79" s="304"/>
      <c r="L79" s="304"/>
      <c r="M79" s="304"/>
      <c r="N79" s="304"/>
      <c r="O79" s="304"/>
      <c r="P79" s="304"/>
      <c r="Q79" s="304"/>
      <c r="R79" s="304"/>
      <c r="S79" s="304"/>
      <c r="T79" s="304"/>
      <c r="U79" s="304"/>
      <c r="V79" s="304"/>
      <c r="W79" s="304"/>
      <c r="X79" s="304"/>
      <c r="Y79" s="304"/>
      <c r="Z79" s="304"/>
    </row>
    <row r="80" ht="12.75" customHeight="1">
      <c r="A80" s="302"/>
      <c r="B80" s="302"/>
      <c r="C80" s="302"/>
      <c r="D80" s="302"/>
      <c r="E80" s="302"/>
      <c r="F80" s="302"/>
      <c r="G80" s="304"/>
      <c r="H80" s="304"/>
      <c r="I80" s="304"/>
      <c r="J80" s="304"/>
      <c r="K80" s="304"/>
      <c r="L80" s="304"/>
      <c r="M80" s="304"/>
      <c r="N80" s="304"/>
      <c r="O80" s="304"/>
      <c r="P80" s="304"/>
      <c r="Q80" s="304"/>
      <c r="R80" s="304"/>
      <c r="S80" s="304"/>
      <c r="T80" s="304"/>
      <c r="U80" s="304"/>
      <c r="V80" s="304"/>
      <c r="W80" s="304"/>
      <c r="X80" s="304"/>
      <c r="Y80" s="304"/>
      <c r="Z80" s="304"/>
    </row>
    <row r="81" ht="12.75" customHeight="1">
      <c r="A81" s="302"/>
      <c r="B81" s="302"/>
      <c r="C81" s="302"/>
      <c r="D81" s="302"/>
      <c r="E81" s="302"/>
      <c r="F81" s="302"/>
      <c r="G81" s="304"/>
      <c r="H81" s="304"/>
      <c r="I81" s="304"/>
      <c r="J81" s="304"/>
      <c r="K81" s="304"/>
      <c r="L81" s="304"/>
      <c r="M81" s="304"/>
      <c r="N81" s="304"/>
      <c r="O81" s="304"/>
      <c r="P81" s="304"/>
      <c r="Q81" s="304"/>
      <c r="R81" s="304"/>
      <c r="S81" s="304"/>
      <c r="T81" s="304"/>
      <c r="U81" s="304"/>
      <c r="V81" s="304"/>
      <c r="W81" s="304"/>
      <c r="X81" s="304"/>
      <c r="Y81" s="304"/>
      <c r="Z81" s="304"/>
    </row>
    <row r="82" ht="12.75" customHeight="1">
      <c r="A82" s="302"/>
      <c r="B82" s="302"/>
      <c r="C82" s="302"/>
      <c r="D82" s="302"/>
      <c r="E82" s="302"/>
      <c r="F82" s="302"/>
      <c r="G82" s="304"/>
      <c r="H82" s="304"/>
      <c r="I82" s="304"/>
      <c r="J82" s="304"/>
      <c r="K82" s="304"/>
      <c r="L82" s="304"/>
      <c r="M82" s="304"/>
      <c r="N82" s="304"/>
      <c r="O82" s="304"/>
      <c r="P82" s="304"/>
      <c r="Q82" s="304"/>
      <c r="R82" s="304"/>
      <c r="S82" s="304"/>
      <c r="T82" s="304"/>
      <c r="U82" s="304"/>
      <c r="V82" s="304"/>
      <c r="W82" s="304"/>
      <c r="X82" s="304"/>
      <c r="Y82" s="304"/>
      <c r="Z82" s="304"/>
    </row>
    <row r="83" ht="12.75" customHeight="1">
      <c r="A83" s="302"/>
      <c r="B83" s="302"/>
      <c r="C83" s="302"/>
      <c r="D83" s="302"/>
      <c r="E83" s="302"/>
      <c r="F83" s="302"/>
      <c r="G83" s="304"/>
      <c r="H83" s="304"/>
      <c r="I83" s="304"/>
      <c r="J83" s="304"/>
      <c r="K83" s="304"/>
      <c r="L83" s="304"/>
      <c r="M83" s="304"/>
      <c r="N83" s="304"/>
      <c r="O83" s="304"/>
      <c r="P83" s="304"/>
      <c r="Q83" s="304"/>
      <c r="R83" s="304"/>
      <c r="S83" s="304"/>
      <c r="T83" s="304"/>
      <c r="U83" s="304"/>
      <c r="V83" s="304"/>
      <c r="W83" s="304"/>
      <c r="X83" s="304"/>
      <c r="Y83" s="304"/>
      <c r="Z83" s="304"/>
    </row>
    <row r="84" ht="12.75" customHeight="1">
      <c r="A84" s="302"/>
      <c r="B84" s="302"/>
      <c r="C84" s="302"/>
      <c r="D84" s="302"/>
      <c r="E84" s="302"/>
      <c r="F84" s="302"/>
      <c r="G84" s="304"/>
      <c r="H84" s="304"/>
      <c r="I84" s="304"/>
      <c r="J84" s="304"/>
      <c r="K84" s="304"/>
      <c r="L84" s="304"/>
      <c r="M84" s="304"/>
      <c r="N84" s="304"/>
      <c r="O84" s="304"/>
      <c r="P84" s="304"/>
      <c r="Q84" s="304"/>
      <c r="R84" s="304"/>
      <c r="S84" s="304"/>
      <c r="T84" s="304"/>
      <c r="U84" s="304"/>
      <c r="V84" s="304"/>
      <c r="W84" s="304"/>
      <c r="X84" s="304"/>
      <c r="Y84" s="304"/>
      <c r="Z84" s="304"/>
    </row>
    <row r="85" ht="12.75" customHeight="1">
      <c r="A85" s="302"/>
      <c r="B85" s="302"/>
      <c r="C85" s="302"/>
      <c r="D85" s="302"/>
      <c r="E85" s="302"/>
      <c r="F85" s="302"/>
      <c r="G85" s="304"/>
      <c r="H85" s="304"/>
      <c r="I85" s="304"/>
      <c r="J85" s="304"/>
      <c r="K85" s="304"/>
      <c r="L85" s="304"/>
      <c r="M85" s="304"/>
      <c r="N85" s="304"/>
      <c r="O85" s="304"/>
      <c r="P85" s="304"/>
      <c r="Q85" s="304"/>
      <c r="R85" s="304"/>
      <c r="S85" s="304"/>
      <c r="T85" s="304"/>
      <c r="U85" s="304"/>
      <c r="V85" s="304"/>
      <c r="W85" s="304"/>
      <c r="X85" s="304"/>
      <c r="Y85" s="304"/>
      <c r="Z85" s="304"/>
    </row>
    <row r="86" ht="12.75" customHeight="1">
      <c r="A86" s="302"/>
      <c r="B86" s="302"/>
      <c r="C86" s="302"/>
      <c r="D86" s="302"/>
      <c r="E86" s="302"/>
      <c r="F86" s="302"/>
      <c r="G86" s="304"/>
      <c r="H86" s="304"/>
      <c r="I86" s="304"/>
      <c r="J86" s="304"/>
      <c r="K86" s="304"/>
      <c r="L86" s="304"/>
      <c r="M86" s="304"/>
      <c r="N86" s="304"/>
      <c r="O86" s="304"/>
      <c r="P86" s="304"/>
      <c r="Q86" s="304"/>
      <c r="R86" s="304"/>
      <c r="S86" s="304"/>
      <c r="T86" s="304"/>
      <c r="U86" s="304"/>
      <c r="V86" s="304"/>
      <c r="W86" s="304"/>
      <c r="X86" s="304"/>
      <c r="Y86" s="304"/>
      <c r="Z86" s="304"/>
    </row>
    <row r="87" ht="12.75" customHeight="1">
      <c r="A87" s="302"/>
      <c r="B87" s="302"/>
      <c r="C87" s="302"/>
      <c r="D87" s="302"/>
      <c r="E87" s="302"/>
      <c r="F87" s="302"/>
      <c r="G87" s="304"/>
      <c r="H87" s="304"/>
      <c r="I87" s="304"/>
      <c r="J87" s="304"/>
      <c r="K87" s="304"/>
      <c r="L87" s="304"/>
      <c r="M87" s="304"/>
      <c r="N87" s="304"/>
      <c r="O87" s="304"/>
      <c r="P87" s="304"/>
      <c r="Q87" s="304"/>
      <c r="R87" s="304"/>
      <c r="S87" s="304"/>
      <c r="T87" s="304"/>
      <c r="U87" s="304"/>
      <c r="V87" s="304"/>
      <c r="W87" s="304"/>
      <c r="X87" s="304"/>
      <c r="Y87" s="304"/>
      <c r="Z87" s="304"/>
    </row>
    <row r="88" ht="12.75" customHeight="1">
      <c r="A88" s="302"/>
      <c r="B88" s="302"/>
      <c r="C88" s="302"/>
      <c r="D88" s="302"/>
      <c r="E88" s="302"/>
      <c r="F88" s="302"/>
      <c r="G88" s="304"/>
      <c r="H88" s="304"/>
      <c r="I88" s="304"/>
      <c r="J88" s="304"/>
      <c r="K88" s="304"/>
      <c r="L88" s="304"/>
      <c r="M88" s="304"/>
      <c r="N88" s="304"/>
      <c r="O88" s="304"/>
      <c r="P88" s="304"/>
      <c r="Q88" s="304"/>
      <c r="R88" s="304"/>
      <c r="S88" s="304"/>
      <c r="T88" s="304"/>
      <c r="U88" s="304"/>
      <c r="V88" s="304"/>
      <c r="W88" s="304"/>
      <c r="X88" s="304"/>
      <c r="Y88" s="304"/>
      <c r="Z88" s="304"/>
    </row>
    <row r="89" ht="12.75" customHeight="1">
      <c r="A89" s="302"/>
      <c r="B89" s="302"/>
      <c r="C89" s="302"/>
      <c r="D89" s="302"/>
      <c r="E89" s="302"/>
      <c r="F89" s="302"/>
      <c r="G89" s="304"/>
      <c r="H89" s="304"/>
      <c r="I89" s="304"/>
      <c r="J89" s="304"/>
      <c r="K89" s="304"/>
      <c r="L89" s="304"/>
      <c r="M89" s="304"/>
      <c r="N89" s="304"/>
      <c r="O89" s="304"/>
      <c r="P89" s="304"/>
      <c r="Q89" s="304"/>
      <c r="R89" s="304"/>
      <c r="S89" s="304"/>
      <c r="T89" s="304"/>
      <c r="U89" s="304"/>
      <c r="V89" s="304"/>
      <c r="W89" s="304"/>
      <c r="X89" s="304"/>
      <c r="Y89" s="304"/>
      <c r="Z89" s="304"/>
    </row>
    <row r="90" ht="12.75" customHeight="1">
      <c r="A90" s="302"/>
      <c r="B90" s="302"/>
      <c r="C90" s="302"/>
      <c r="D90" s="302"/>
      <c r="E90" s="302"/>
      <c r="F90" s="302"/>
      <c r="G90" s="304"/>
      <c r="H90" s="304"/>
      <c r="I90" s="304"/>
      <c r="J90" s="304"/>
      <c r="K90" s="304"/>
      <c r="L90" s="304"/>
      <c r="M90" s="304"/>
      <c r="N90" s="304"/>
      <c r="O90" s="304"/>
      <c r="P90" s="304"/>
      <c r="Q90" s="304"/>
      <c r="R90" s="304"/>
      <c r="S90" s="304"/>
      <c r="T90" s="304"/>
      <c r="U90" s="304"/>
      <c r="V90" s="304"/>
      <c r="W90" s="304"/>
      <c r="X90" s="304"/>
      <c r="Y90" s="304"/>
      <c r="Z90" s="304"/>
    </row>
    <row r="91" ht="12.75" customHeight="1">
      <c r="A91" s="302"/>
      <c r="B91" s="302"/>
      <c r="C91" s="302"/>
      <c r="D91" s="302"/>
      <c r="E91" s="302"/>
      <c r="F91" s="302"/>
      <c r="G91" s="304"/>
      <c r="H91" s="304"/>
      <c r="I91" s="304"/>
      <c r="J91" s="304"/>
      <c r="K91" s="304"/>
      <c r="L91" s="304"/>
      <c r="M91" s="304"/>
      <c r="N91" s="304"/>
      <c r="O91" s="304"/>
      <c r="P91" s="304"/>
      <c r="Q91" s="304"/>
      <c r="R91" s="304"/>
      <c r="S91" s="304"/>
      <c r="T91" s="304"/>
      <c r="U91" s="304"/>
      <c r="V91" s="304"/>
      <c r="W91" s="304"/>
      <c r="X91" s="304"/>
      <c r="Y91" s="304"/>
      <c r="Z91" s="304"/>
    </row>
    <row r="92" ht="12.75" customHeight="1">
      <c r="A92" s="302"/>
      <c r="B92" s="302"/>
      <c r="C92" s="302"/>
      <c r="D92" s="302"/>
      <c r="E92" s="302"/>
      <c r="F92" s="302"/>
      <c r="G92" s="304"/>
      <c r="H92" s="304"/>
      <c r="I92" s="304"/>
      <c r="J92" s="304"/>
      <c r="K92" s="304"/>
      <c r="L92" s="304"/>
      <c r="M92" s="304"/>
      <c r="N92" s="304"/>
      <c r="O92" s="304"/>
      <c r="P92" s="304"/>
      <c r="Q92" s="304"/>
      <c r="R92" s="304"/>
      <c r="S92" s="304"/>
      <c r="T92" s="304"/>
      <c r="U92" s="304"/>
      <c r="V92" s="304"/>
      <c r="W92" s="304"/>
      <c r="X92" s="304"/>
      <c r="Y92" s="304"/>
      <c r="Z92" s="304"/>
    </row>
    <row r="93" ht="12.75" customHeight="1">
      <c r="A93" s="302"/>
      <c r="B93" s="302"/>
      <c r="C93" s="302"/>
      <c r="D93" s="302"/>
      <c r="E93" s="302"/>
      <c r="F93" s="302"/>
      <c r="G93" s="304"/>
      <c r="H93" s="304"/>
      <c r="I93" s="304"/>
      <c r="J93" s="304"/>
      <c r="K93" s="304"/>
      <c r="L93" s="304"/>
      <c r="M93" s="304"/>
      <c r="N93" s="304"/>
      <c r="O93" s="304"/>
      <c r="P93" s="304"/>
      <c r="Q93" s="304"/>
      <c r="R93" s="304"/>
      <c r="S93" s="304"/>
      <c r="T93" s="304"/>
      <c r="U93" s="304"/>
      <c r="V93" s="304"/>
      <c r="W93" s="304"/>
      <c r="X93" s="304"/>
      <c r="Y93" s="304"/>
      <c r="Z93" s="304"/>
    </row>
    <row r="94" ht="12.75" customHeight="1">
      <c r="A94" s="302"/>
      <c r="B94" s="302"/>
      <c r="C94" s="302"/>
      <c r="D94" s="302"/>
      <c r="E94" s="302"/>
      <c r="F94" s="302"/>
      <c r="G94" s="304"/>
      <c r="H94" s="304"/>
      <c r="I94" s="304"/>
      <c r="J94" s="304"/>
      <c r="K94" s="304"/>
      <c r="L94" s="304"/>
      <c r="M94" s="304"/>
      <c r="N94" s="304"/>
      <c r="O94" s="304"/>
      <c r="P94" s="304"/>
      <c r="Q94" s="304"/>
      <c r="R94" s="304"/>
      <c r="S94" s="304"/>
      <c r="T94" s="304"/>
      <c r="U94" s="304"/>
      <c r="V94" s="304"/>
      <c r="W94" s="304"/>
      <c r="X94" s="304"/>
      <c r="Y94" s="304"/>
      <c r="Z94" s="304"/>
    </row>
    <row r="95" ht="12.75" customHeight="1">
      <c r="A95" s="302"/>
      <c r="B95" s="302"/>
      <c r="C95" s="302"/>
      <c r="D95" s="302"/>
      <c r="E95" s="302"/>
      <c r="F95" s="302"/>
      <c r="G95" s="304"/>
      <c r="H95" s="304"/>
      <c r="I95" s="304"/>
      <c r="J95" s="304"/>
      <c r="K95" s="304"/>
      <c r="L95" s="304"/>
      <c r="M95" s="304"/>
      <c r="N95" s="304"/>
      <c r="O95" s="304"/>
      <c r="P95" s="304"/>
      <c r="Q95" s="304"/>
      <c r="R95" s="304"/>
      <c r="S95" s="304"/>
      <c r="T95" s="304"/>
      <c r="U95" s="304"/>
      <c r="V95" s="304"/>
      <c r="W95" s="304"/>
      <c r="X95" s="304"/>
      <c r="Y95" s="304"/>
      <c r="Z95" s="304"/>
    </row>
    <row r="96" ht="12.75" customHeight="1">
      <c r="A96" s="302"/>
      <c r="B96" s="302"/>
      <c r="C96" s="302"/>
      <c r="D96" s="302"/>
      <c r="E96" s="302"/>
      <c r="F96" s="302"/>
      <c r="G96" s="304"/>
      <c r="H96" s="304"/>
      <c r="I96" s="304"/>
      <c r="J96" s="304"/>
      <c r="K96" s="304"/>
      <c r="L96" s="304"/>
      <c r="M96" s="304"/>
      <c r="N96" s="304"/>
      <c r="O96" s="304"/>
      <c r="P96" s="304"/>
      <c r="Q96" s="304"/>
      <c r="R96" s="304"/>
      <c r="S96" s="304"/>
      <c r="T96" s="304"/>
      <c r="U96" s="304"/>
      <c r="V96" s="304"/>
      <c r="W96" s="304"/>
      <c r="X96" s="304"/>
      <c r="Y96" s="304"/>
      <c r="Z96" s="304"/>
    </row>
    <row r="97" ht="12.75" customHeight="1">
      <c r="A97" s="302"/>
      <c r="B97" s="302"/>
      <c r="C97" s="302"/>
      <c r="D97" s="302"/>
      <c r="E97" s="302"/>
      <c r="F97" s="302"/>
      <c r="G97" s="304"/>
      <c r="H97" s="304"/>
      <c r="I97" s="304"/>
      <c r="J97" s="304"/>
      <c r="K97" s="304"/>
      <c r="L97" s="304"/>
      <c r="M97" s="304"/>
      <c r="N97" s="304"/>
      <c r="O97" s="304"/>
      <c r="P97" s="304"/>
      <c r="Q97" s="304"/>
      <c r="R97" s="304"/>
      <c r="S97" s="304"/>
      <c r="T97" s="304"/>
      <c r="U97" s="304"/>
      <c r="V97" s="304"/>
      <c r="W97" s="304"/>
      <c r="X97" s="304"/>
      <c r="Y97" s="304"/>
      <c r="Z97" s="304"/>
    </row>
    <row r="98" ht="12.75" customHeight="1">
      <c r="A98" s="302"/>
      <c r="B98" s="302"/>
      <c r="C98" s="302"/>
      <c r="D98" s="302"/>
      <c r="E98" s="302"/>
      <c r="F98" s="302"/>
      <c r="G98" s="304"/>
      <c r="H98" s="304"/>
      <c r="I98" s="304"/>
      <c r="J98" s="304"/>
      <c r="K98" s="304"/>
      <c r="L98" s="304"/>
      <c r="M98" s="304"/>
      <c r="N98" s="304"/>
      <c r="O98" s="304"/>
      <c r="P98" s="304"/>
      <c r="Q98" s="304"/>
      <c r="R98" s="304"/>
      <c r="S98" s="304"/>
      <c r="T98" s="304"/>
      <c r="U98" s="304"/>
      <c r="V98" s="304"/>
      <c r="W98" s="304"/>
      <c r="X98" s="304"/>
      <c r="Y98" s="304"/>
      <c r="Z98" s="304"/>
    </row>
    <row r="99" ht="12.75" customHeight="1">
      <c r="A99" s="302"/>
      <c r="B99" s="302"/>
      <c r="C99" s="302"/>
      <c r="D99" s="302"/>
      <c r="E99" s="302"/>
      <c r="F99" s="302"/>
      <c r="G99" s="304"/>
      <c r="H99" s="304"/>
      <c r="I99" s="304"/>
      <c r="J99" s="304"/>
      <c r="K99" s="304"/>
      <c r="L99" s="304"/>
      <c r="M99" s="304"/>
      <c r="N99" s="304"/>
      <c r="O99" s="304"/>
      <c r="P99" s="304"/>
      <c r="Q99" s="304"/>
      <c r="R99" s="304"/>
      <c r="S99" s="304"/>
      <c r="T99" s="304"/>
      <c r="U99" s="304"/>
      <c r="V99" s="304"/>
      <c r="W99" s="304"/>
      <c r="X99" s="304"/>
      <c r="Y99" s="304"/>
      <c r="Z99" s="304"/>
    </row>
    <row r="100" ht="12.75" customHeight="1">
      <c r="A100" s="302"/>
      <c r="B100" s="302"/>
      <c r="C100" s="302"/>
      <c r="D100" s="302"/>
      <c r="E100" s="302"/>
      <c r="F100" s="302"/>
      <c r="G100" s="304"/>
      <c r="H100" s="304"/>
      <c r="I100" s="304"/>
      <c r="J100" s="304"/>
      <c r="K100" s="304"/>
      <c r="L100" s="304"/>
      <c r="M100" s="304"/>
      <c r="N100" s="304"/>
      <c r="O100" s="304"/>
      <c r="P100" s="304"/>
      <c r="Q100" s="304"/>
      <c r="R100" s="304"/>
      <c r="S100" s="304"/>
      <c r="T100" s="304"/>
      <c r="U100" s="304"/>
      <c r="V100" s="304"/>
      <c r="W100" s="304"/>
      <c r="X100" s="304"/>
      <c r="Y100" s="304"/>
      <c r="Z100" s="304"/>
    </row>
    <row r="101" ht="12.75" customHeight="1">
      <c r="A101" s="302"/>
      <c r="B101" s="302"/>
      <c r="C101" s="302"/>
      <c r="D101" s="302"/>
      <c r="E101" s="302"/>
      <c r="F101" s="302"/>
      <c r="G101" s="304"/>
      <c r="H101" s="304"/>
      <c r="I101" s="304"/>
      <c r="J101" s="304"/>
      <c r="K101" s="304"/>
      <c r="L101" s="304"/>
      <c r="M101" s="304"/>
      <c r="N101" s="304"/>
      <c r="O101" s="304"/>
      <c r="P101" s="304"/>
      <c r="Q101" s="304"/>
      <c r="R101" s="304"/>
      <c r="S101" s="304"/>
      <c r="T101" s="304"/>
      <c r="U101" s="304"/>
      <c r="V101" s="304"/>
      <c r="W101" s="304"/>
      <c r="X101" s="304"/>
      <c r="Y101" s="304"/>
      <c r="Z101" s="304"/>
    </row>
    <row r="102" ht="12.75" customHeight="1">
      <c r="A102" s="302"/>
      <c r="B102" s="302"/>
      <c r="C102" s="302"/>
      <c r="D102" s="302"/>
      <c r="E102" s="302"/>
      <c r="F102" s="302"/>
      <c r="G102" s="304"/>
      <c r="H102" s="304"/>
      <c r="I102" s="304"/>
      <c r="J102" s="304"/>
      <c r="K102" s="304"/>
      <c r="L102" s="304"/>
      <c r="M102" s="304"/>
      <c r="N102" s="304"/>
      <c r="O102" s="304"/>
      <c r="P102" s="304"/>
      <c r="Q102" s="304"/>
      <c r="R102" s="304"/>
      <c r="S102" s="304"/>
      <c r="T102" s="304"/>
      <c r="U102" s="304"/>
      <c r="V102" s="304"/>
      <c r="W102" s="304"/>
      <c r="X102" s="304"/>
      <c r="Y102" s="304"/>
      <c r="Z102" s="304"/>
    </row>
    <row r="103" ht="12.75" customHeight="1">
      <c r="A103" s="302"/>
      <c r="B103" s="302"/>
      <c r="C103" s="302"/>
      <c r="D103" s="302"/>
      <c r="E103" s="302"/>
      <c r="F103" s="302"/>
      <c r="G103" s="304"/>
      <c r="H103" s="304"/>
      <c r="I103" s="304"/>
      <c r="J103" s="304"/>
      <c r="K103" s="304"/>
      <c r="L103" s="304"/>
      <c r="M103" s="304"/>
      <c r="N103" s="304"/>
      <c r="O103" s="304"/>
      <c r="P103" s="304"/>
      <c r="Q103" s="304"/>
      <c r="R103" s="304"/>
      <c r="S103" s="304"/>
      <c r="T103" s="304"/>
      <c r="U103" s="304"/>
      <c r="V103" s="304"/>
      <c r="W103" s="304"/>
      <c r="X103" s="304"/>
      <c r="Y103" s="304"/>
      <c r="Z103" s="304"/>
    </row>
    <row r="104" ht="12.75" customHeight="1">
      <c r="A104" s="302"/>
      <c r="B104" s="302"/>
      <c r="C104" s="302"/>
      <c r="D104" s="302"/>
      <c r="E104" s="302"/>
      <c r="F104" s="302"/>
      <c r="G104" s="304"/>
      <c r="H104" s="304"/>
      <c r="I104" s="304"/>
      <c r="J104" s="304"/>
      <c r="K104" s="304"/>
      <c r="L104" s="304"/>
      <c r="M104" s="304"/>
      <c r="N104" s="304"/>
      <c r="O104" s="304"/>
      <c r="P104" s="304"/>
      <c r="Q104" s="304"/>
      <c r="R104" s="304"/>
      <c r="S104" s="304"/>
      <c r="T104" s="304"/>
      <c r="U104" s="304"/>
      <c r="V104" s="304"/>
      <c r="W104" s="304"/>
      <c r="X104" s="304"/>
      <c r="Y104" s="304"/>
      <c r="Z104" s="304"/>
    </row>
    <row r="105" ht="12.75" customHeight="1">
      <c r="A105" s="302"/>
      <c r="B105" s="302"/>
      <c r="C105" s="302"/>
      <c r="D105" s="302"/>
      <c r="E105" s="302"/>
      <c r="F105" s="302"/>
      <c r="G105" s="304"/>
      <c r="H105" s="304"/>
      <c r="I105" s="304"/>
      <c r="J105" s="304"/>
      <c r="K105" s="304"/>
      <c r="L105" s="304"/>
      <c r="M105" s="304"/>
      <c r="N105" s="304"/>
      <c r="O105" s="304"/>
      <c r="P105" s="304"/>
      <c r="Q105" s="304"/>
      <c r="R105" s="304"/>
      <c r="S105" s="304"/>
      <c r="T105" s="304"/>
      <c r="U105" s="304"/>
      <c r="V105" s="304"/>
      <c r="W105" s="304"/>
      <c r="X105" s="304"/>
      <c r="Y105" s="304"/>
      <c r="Z105" s="304"/>
    </row>
    <row r="106" ht="12.75" customHeight="1">
      <c r="A106" s="302"/>
      <c r="B106" s="302"/>
      <c r="C106" s="302"/>
      <c r="D106" s="302"/>
      <c r="E106" s="302"/>
      <c r="F106" s="302"/>
      <c r="G106" s="304"/>
      <c r="H106" s="304"/>
      <c r="I106" s="304"/>
      <c r="J106" s="304"/>
      <c r="K106" s="304"/>
      <c r="L106" s="304"/>
      <c r="M106" s="304"/>
      <c r="N106" s="304"/>
      <c r="O106" s="304"/>
      <c r="P106" s="304"/>
      <c r="Q106" s="304"/>
      <c r="R106" s="304"/>
      <c r="S106" s="304"/>
      <c r="T106" s="304"/>
      <c r="U106" s="304"/>
      <c r="V106" s="304"/>
      <c r="W106" s="304"/>
      <c r="X106" s="304"/>
      <c r="Y106" s="304"/>
      <c r="Z106" s="304"/>
    </row>
    <row r="107" ht="12.75" customHeight="1">
      <c r="A107" s="302"/>
      <c r="B107" s="302"/>
      <c r="C107" s="302"/>
      <c r="D107" s="302"/>
      <c r="E107" s="302"/>
      <c r="F107" s="302"/>
      <c r="G107" s="304"/>
      <c r="H107" s="304"/>
      <c r="I107" s="304"/>
      <c r="J107" s="304"/>
      <c r="K107" s="304"/>
      <c r="L107" s="304"/>
      <c r="M107" s="304"/>
      <c r="N107" s="304"/>
      <c r="O107" s="304"/>
      <c r="P107" s="304"/>
      <c r="Q107" s="304"/>
      <c r="R107" s="304"/>
      <c r="S107" s="304"/>
      <c r="T107" s="304"/>
      <c r="U107" s="304"/>
      <c r="V107" s="304"/>
      <c r="W107" s="304"/>
      <c r="X107" s="304"/>
      <c r="Y107" s="304"/>
      <c r="Z107" s="304"/>
    </row>
    <row r="108" ht="12.75" customHeight="1">
      <c r="A108" s="302"/>
      <c r="B108" s="302"/>
      <c r="C108" s="302"/>
      <c r="D108" s="302"/>
      <c r="E108" s="302"/>
      <c r="F108" s="302"/>
      <c r="G108" s="304"/>
      <c r="H108" s="304"/>
      <c r="I108" s="304"/>
      <c r="J108" s="304"/>
      <c r="K108" s="304"/>
      <c r="L108" s="304"/>
      <c r="M108" s="304"/>
      <c r="N108" s="304"/>
      <c r="O108" s="304"/>
      <c r="P108" s="304"/>
      <c r="Q108" s="304"/>
      <c r="R108" s="304"/>
      <c r="S108" s="304"/>
      <c r="T108" s="304"/>
      <c r="U108" s="304"/>
      <c r="V108" s="304"/>
      <c r="W108" s="304"/>
      <c r="X108" s="304"/>
      <c r="Y108" s="304"/>
      <c r="Z108" s="304"/>
    </row>
    <row r="109" ht="12.75" customHeight="1">
      <c r="A109" s="302"/>
      <c r="B109" s="302"/>
      <c r="C109" s="302"/>
      <c r="D109" s="302"/>
      <c r="E109" s="302"/>
      <c r="F109" s="302"/>
      <c r="G109" s="304"/>
      <c r="H109" s="304"/>
      <c r="I109" s="304"/>
      <c r="J109" s="304"/>
      <c r="K109" s="304"/>
      <c r="L109" s="304"/>
      <c r="M109" s="304"/>
      <c r="N109" s="304"/>
      <c r="O109" s="304"/>
      <c r="P109" s="304"/>
      <c r="Q109" s="304"/>
      <c r="R109" s="304"/>
      <c r="S109" s="304"/>
      <c r="T109" s="304"/>
      <c r="U109" s="304"/>
      <c r="V109" s="304"/>
      <c r="W109" s="304"/>
      <c r="X109" s="304"/>
      <c r="Y109" s="304"/>
      <c r="Z109" s="304"/>
    </row>
    <row r="110" ht="12.75" customHeight="1">
      <c r="A110" s="302"/>
      <c r="B110" s="302"/>
      <c r="C110" s="302"/>
      <c r="D110" s="302"/>
      <c r="E110" s="302"/>
      <c r="F110" s="302"/>
      <c r="G110" s="304"/>
      <c r="H110" s="304"/>
      <c r="I110" s="304"/>
      <c r="J110" s="304"/>
      <c r="K110" s="304"/>
      <c r="L110" s="304"/>
      <c r="M110" s="304"/>
      <c r="N110" s="304"/>
      <c r="O110" s="304"/>
      <c r="P110" s="304"/>
      <c r="Q110" s="304"/>
      <c r="R110" s="304"/>
      <c r="S110" s="304"/>
      <c r="T110" s="304"/>
      <c r="U110" s="304"/>
      <c r="V110" s="304"/>
      <c r="W110" s="304"/>
      <c r="X110" s="304"/>
      <c r="Y110" s="304"/>
      <c r="Z110" s="304"/>
    </row>
    <row r="111" ht="12.75" customHeight="1">
      <c r="A111" s="302"/>
      <c r="B111" s="302"/>
      <c r="C111" s="302"/>
      <c r="D111" s="302"/>
      <c r="E111" s="302"/>
      <c r="F111" s="302"/>
      <c r="G111" s="304"/>
      <c r="H111" s="304"/>
      <c r="I111" s="304"/>
      <c r="J111" s="304"/>
      <c r="K111" s="304"/>
      <c r="L111" s="304"/>
      <c r="M111" s="304"/>
      <c r="N111" s="304"/>
      <c r="O111" s="304"/>
      <c r="P111" s="304"/>
      <c r="Q111" s="304"/>
      <c r="R111" s="304"/>
      <c r="S111" s="304"/>
      <c r="T111" s="304"/>
      <c r="U111" s="304"/>
      <c r="V111" s="304"/>
      <c r="W111" s="304"/>
      <c r="X111" s="304"/>
      <c r="Y111" s="304"/>
      <c r="Z111" s="304"/>
    </row>
    <row r="112" ht="12.75" customHeight="1">
      <c r="A112" s="302"/>
      <c r="B112" s="302"/>
      <c r="C112" s="302"/>
      <c r="D112" s="302"/>
      <c r="E112" s="302"/>
      <c r="F112" s="302"/>
      <c r="G112" s="304"/>
      <c r="H112" s="304"/>
      <c r="I112" s="304"/>
      <c r="J112" s="304"/>
      <c r="K112" s="304"/>
      <c r="L112" s="304"/>
      <c r="M112" s="304"/>
      <c r="N112" s="304"/>
      <c r="O112" s="304"/>
      <c r="P112" s="304"/>
      <c r="Q112" s="304"/>
      <c r="R112" s="304"/>
      <c r="S112" s="304"/>
      <c r="T112" s="304"/>
      <c r="U112" s="304"/>
      <c r="V112" s="304"/>
      <c r="W112" s="304"/>
      <c r="X112" s="304"/>
      <c r="Y112" s="304"/>
      <c r="Z112" s="304"/>
    </row>
    <row r="113" ht="12.75" customHeight="1">
      <c r="A113" s="302"/>
      <c r="B113" s="302"/>
      <c r="C113" s="302"/>
      <c r="D113" s="302"/>
      <c r="E113" s="302"/>
      <c r="F113" s="302"/>
      <c r="G113" s="304"/>
      <c r="H113" s="304"/>
      <c r="I113" s="304"/>
      <c r="J113" s="304"/>
      <c r="K113" s="304"/>
      <c r="L113" s="304"/>
      <c r="M113" s="304"/>
      <c r="N113" s="304"/>
      <c r="O113" s="304"/>
      <c r="P113" s="304"/>
      <c r="Q113" s="304"/>
      <c r="R113" s="304"/>
      <c r="S113" s="304"/>
      <c r="T113" s="304"/>
      <c r="U113" s="304"/>
      <c r="V113" s="304"/>
      <c r="W113" s="304"/>
      <c r="X113" s="304"/>
      <c r="Y113" s="304"/>
      <c r="Z113" s="304"/>
    </row>
    <row r="114" ht="12.75" customHeight="1">
      <c r="A114" s="302"/>
      <c r="B114" s="302"/>
      <c r="C114" s="302"/>
      <c r="D114" s="302"/>
      <c r="E114" s="302"/>
      <c r="F114" s="302"/>
      <c r="G114" s="304"/>
      <c r="H114" s="304"/>
      <c r="I114" s="304"/>
      <c r="J114" s="304"/>
      <c r="K114" s="304"/>
      <c r="L114" s="304"/>
      <c r="M114" s="304"/>
      <c r="N114" s="304"/>
      <c r="O114" s="304"/>
      <c r="P114" s="304"/>
      <c r="Q114" s="304"/>
      <c r="R114" s="304"/>
      <c r="S114" s="304"/>
      <c r="T114" s="304"/>
      <c r="U114" s="304"/>
      <c r="V114" s="304"/>
      <c r="W114" s="304"/>
      <c r="X114" s="304"/>
      <c r="Y114" s="304"/>
      <c r="Z114" s="304"/>
    </row>
    <row r="115" ht="12.75" customHeight="1">
      <c r="A115" s="302"/>
      <c r="B115" s="302"/>
      <c r="C115" s="302"/>
      <c r="D115" s="302"/>
      <c r="E115" s="302"/>
      <c r="F115" s="302"/>
      <c r="G115" s="304"/>
      <c r="H115" s="304"/>
      <c r="I115" s="304"/>
      <c r="J115" s="304"/>
      <c r="K115" s="304"/>
      <c r="L115" s="304"/>
      <c r="M115" s="304"/>
      <c r="N115" s="304"/>
      <c r="O115" s="304"/>
      <c r="P115" s="304"/>
      <c r="Q115" s="304"/>
      <c r="R115" s="304"/>
      <c r="S115" s="304"/>
      <c r="T115" s="304"/>
      <c r="U115" s="304"/>
      <c r="V115" s="304"/>
      <c r="W115" s="304"/>
      <c r="X115" s="304"/>
      <c r="Y115" s="304"/>
      <c r="Z115" s="304"/>
    </row>
    <row r="116" ht="12.75" customHeight="1">
      <c r="A116" s="302"/>
      <c r="B116" s="302"/>
      <c r="C116" s="302"/>
      <c r="D116" s="302"/>
      <c r="E116" s="302"/>
      <c r="F116" s="302"/>
      <c r="G116" s="304"/>
      <c r="H116" s="304"/>
      <c r="I116" s="304"/>
      <c r="J116" s="304"/>
      <c r="K116" s="304"/>
      <c r="L116" s="304"/>
      <c r="M116" s="304"/>
      <c r="N116" s="304"/>
      <c r="O116" s="304"/>
      <c r="P116" s="304"/>
      <c r="Q116" s="304"/>
      <c r="R116" s="304"/>
      <c r="S116" s="304"/>
      <c r="T116" s="304"/>
      <c r="U116" s="304"/>
      <c r="V116" s="304"/>
      <c r="W116" s="304"/>
      <c r="X116" s="304"/>
      <c r="Y116" s="304"/>
      <c r="Z116" s="304"/>
    </row>
    <row r="117" ht="12.75" customHeight="1">
      <c r="A117" s="302"/>
      <c r="B117" s="302"/>
      <c r="C117" s="302"/>
      <c r="D117" s="302"/>
      <c r="E117" s="302"/>
      <c r="F117" s="302"/>
      <c r="G117" s="304"/>
      <c r="H117" s="304"/>
      <c r="I117" s="304"/>
      <c r="J117" s="304"/>
      <c r="K117" s="304"/>
      <c r="L117" s="304"/>
      <c r="M117" s="304"/>
      <c r="N117" s="304"/>
      <c r="O117" s="304"/>
      <c r="P117" s="304"/>
      <c r="Q117" s="304"/>
      <c r="R117" s="304"/>
      <c r="S117" s="304"/>
      <c r="T117" s="304"/>
      <c r="U117" s="304"/>
      <c r="V117" s="304"/>
      <c r="W117" s="304"/>
      <c r="X117" s="304"/>
      <c r="Y117" s="304"/>
      <c r="Z117" s="304"/>
    </row>
    <row r="118" ht="12.75" customHeight="1">
      <c r="A118" s="302"/>
      <c r="B118" s="302"/>
      <c r="C118" s="302"/>
      <c r="D118" s="302"/>
      <c r="E118" s="302"/>
      <c r="F118" s="302"/>
      <c r="G118" s="304"/>
      <c r="H118" s="304"/>
      <c r="I118" s="304"/>
      <c r="J118" s="304"/>
      <c r="K118" s="304"/>
      <c r="L118" s="304"/>
      <c r="M118" s="304"/>
      <c r="N118" s="304"/>
      <c r="O118" s="304"/>
      <c r="P118" s="304"/>
      <c r="Q118" s="304"/>
      <c r="R118" s="304"/>
      <c r="S118" s="304"/>
      <c r="T118" s="304"/>
      <c r="U118" s="304"/>
      <c r="V118" s="304"/>
      <c r="W118" s="304"/>
      <c r="X118" s="304"/>
      <c r="Y118" s="304"/>
      <c r="Z118" s="304"/>
    </row>
    <row r="119" ht="12.75" customHeight="1">
      <c r="A119" s="302"/>
      <c r="B119" s="302"/>
      <c r="C119" s="302"/>
      <c r="D119" s="302"/>
      <c r="E119" s="302"/>
      <c r="F119" s="302"/>
      <c r="G119" s="304"/>
      <c r="H119" s="304"/>
      <c r="I119" s="304"/>
      <c r="J119" s="304"/>
      <c r="K119" s="304"/>
      <c r="L119" s="304"/>
      <c r="M119" s="304"/>
      <c r="N119" s="304"/>
      <c r="O119" s="304"/>
      <c r="P119" s="304"/>
      <c r="Q119" s="304"/>
      <c r="R119" s="304"/>
      <c r="S119" s="304"/>
      <c r="T119" s="304"/>
      <c r="U119" s="304"/>
      <c r="V119" s="304"/>
      <c r="W119" s="304"/>
      <c r="X119" s="304"/>
      <c r="Y119" s="304"/>
      <c r="Z119" s="304"/>
    </row>
    <row r="120" ht="12.75" customHeight="1">
      <c r="A120" s="302"/>
      <c r="B120" s="302"/>
      <c r="C120" s="302"/>
      <c r="D120" s="302"/>
      <c r="E120" s="302"/>
      <c r="F120" s="302"/>
      <c r="G120" s="304"/>
      <c r="H120" s="304"/>
      <c r="I120" s="304"/>
      <c r="J120" s="304"/>
      <c r="K120" s="304"/>
      <c r="L120" s="304"/>
      <c r="M120" s="304"/>
      <c r="N120" s="304"/>
      <c r="O120" s="304"/>
      <c r="P120" s="304"/>
      <c r="Q120" s="304"/>
      <c r="R120" s="304"/>
      <c r="S120" s="304"/>
      <c r="T120" s="304"/>
      <c r="U120" s="304"/>
      <c r="V120" s="304"/>
      <c r="W120" s="304"/>
      <c r="X120" s="304"/>
      <c r="Y120" s="304"/>
      <c r="Z120" s="304"/>
    </row>
    <row r="121" ht="12.75" customHeight="1">
      <c r="A121" s="302"/>
      <c r="B121" s="302"/>
      <c r="C121" s="302"/>
      <c r="D121" s="302"/>
      <c r="E121" s="302"/>
      <c r="F121" s="302"/>
      <c r="G121" s="304"/>
      <c r="H121" s="304"/>
      <c r="I121" s="304"/>
      <c r="J121" s="304"/>
      <c r="K121" s="304"/>
      <c r="L121" s="304"/>
      <c r="M121" s="304"/>
      <c r="N121" s="304"/>
      <c r="O121" s="304"/>
      <c r="P121" s="304"/>
      <c r="Q121" s="304"/>
      <c r="R121" s="304"/>
      <c r="S121" s="304"/>
      <c r="T121" s="304"/>
      <c r="U121" s="304"/>
      <c r="V121" s="304"/>
      <c r="W121" s="304"/>
      <c r="X121" s="304"/>
      <c r="Y121" s="304"/>
      <c r="Z121" s="304"/>
    </row>
    <row r="122" ht="12.75" customHeight="1">
      <c r="A122" s="302"/>
      <c r="B122" s="302"/>
      <c r="C122" s="302"/>
      <c r="D122" s="302"/>
      <c r="E122" s="302"/>
      <c r="F122" s="302"/>
      <c r="G122" s="304"/>
      <c r="H122" s="304"/>
      <c r="I122" s="304"/>
      <c r="J122" s="304"/>
      <c r="K122" s="304"/>
      <c r="L122" s="304"/>
      <c r="M122" s="304"/>
      <c r="N122" s="304"/>
      <c r="O122" s="304"/>
      <c r="P122" s="304"/>
      <c r="Q122" s="304"/>
      <c r="R122" s="304"/>
      <c r="S122" s="304"/>
      <c r="T122" s="304"/>
      <c r="U122" s="304"/>
      <c r="V122" s="304"/>
      <c r="W122" s="304"/>
      <c r="X122" s="304"/>
      <c r="Y122" s="304"/>
      <c r="Z122" s="304"/>
    </row>
    <row r="123" ht="12.75" customHeight="1">
      <c r="A123" s="302"/>
      <c r="B123" s="302"/>
      <c r="C123" s="302"/>
      <c r="D123" s="302"/>
      <c r="E123" s="302"/>
      <c r="F123" s="302"/>
      <c r="G123" s="304"/>
      <c r="H123" s="304"/>
      <c r="I123" s="304"/>
      <c r="J123" s="304"/>
      <c r="K123" s="304"/>
      <c r="L123" s="304"/>
      <c r="M123" s="304"/>
      <c r="N123" s="304"/>
      <c r="O123" s="304"/>
      <c r="P123" s="304"/>
      <c r="Q123" s="304"/>
      <c r="R123" s="304"/>
      <c r="S123" s="304"/>
      <c r="T123" s="304"/>
      <c r="U123" s="304"/>
      <c r="V123" s="304"/>
      <c r="W123" s="304"/>
      <c r="X123" s="304"/>
      <c r="Y123" s="304"/>
      <c r="Z123" s="304"/>
    </row>
    <row r="124" ht="12.75" customHeight="1">
      <c r="A124" s="302"/>
      <c r="B124" s="302"/>
      <c r="C124" s="302"/>
      <c r="D124" s="302"/>
      <c r="E124" s="302"/>
      <c r="F124" s="302"/>
      <c r="G124" s="304"/>
      <c r="H124" s="304"/>
      <c r="I124" s="304"/>
      <c r="J124" s="304"/>
      <c r="K124" s="304"/>
      <c r="L124" s="304"/>
      <c r="M124" s="304"/>
      <c r="N124" s="304"/>
      <c r="O124" s="304"/>
      <c r="P124" s="304"/>
      <c r="Q124" s="304"/>
      <c r="R124" s="304"/>
      <c r="S124" s="304"/>
      <c r="T124" s="304"/>
      <c r="U124" s="304"/>
      <c r="V124" s="304"/>
      <c r="W124" s="304"/>
      <c r="X124" s="304"/>
      <c r="Y124" s="304"/>
      <c r="Z124" s="304"/>
    </row>
    <row r="125" ht="12.75" customHeight="1">
      <c r="A125" s="302"/>
      <c r="B125" s="302"/>
      <c r="C125" s="302"/>
      <c r="D125" s="302"/>
      <c r="E125" s="302"/>
      <c r="F125" s="302"/>
      <c r="G125" s="304"/>
      <c r="H125" s="304"/>
      <c r="I125" s="304"/>
      <c r="J125" s="304"/>
      <c r="K125" s="304"/>
      <c r="L125" s="304"/>
      <c r="M125" s="304"/>
      <c r="N125" s="304"/>
      <c r="O125" s="304"/>
      <c r="P125" s="304"/>
      <c r="Q125" s="304"/>
      <c r="R125" s="304"/>
      <c r="S125" s="304"/>
      <c r="T125" s="304"/>
      <c r="U125" s="304"/>
      <c r="V125" s="304"/>
      <c r="W125" s="304"/>
      <c r="X125" s="304"/>
      <c r="Y125" s="304"/>
      <c r="Z125" s="304"/>
    </row>
    <row r="126" ht="12.75" customHeight="1">
      <c r="A126" s="302"/>
      <c r="B126" s="302"/>
      <c r="C126" s="302"/>
      <c r="D126" s="302"/>
      <c r="E126" s="302"/>
      <c r="F126" s="302"/>
      <c r="G126" s="304"/>
      <c r="H126" s="304"/>
      <c r="I126" s="304"/>
      <c r="J126" s="304"/>
      <c r="K126" s="304"/>
      <c r="L126" s="304"/>
      <c r="M126" s="304"/>
      <c r="N126" s="304"/>
      <c r="O126" s="304"/>
      <c r="P126" s="304"/>
      <c r="Q126" s="304"/>
      <c r="R126" s="304"/>
      <c r="S126" s="304"/>
      <c r="T126" s="304"/>
      <c r="U126" s="304"/>
      <c r="V126" s="304"/>
      <c r="W126" s="304"/>
      <c r="X126" s="304"/>
      <c r="Y126" s="304"/>
      <c r="Z126" s="304"/>
    </row>
    <row r="127" ht="12.75" customHeight="1">
      <c r="A127" s="302"/>
      <c r="B127" s="302"/>
      <c r="C127" s="302"/>
      <c r="D127" s="302"/>
      <c r="E127" s="302"/>
      <c r="F127" s="302"/>
      <c r="G127" s="304"/>
      <c r="H127" s="304"/>
      <c r="I127" s="304"/>
      <c r="J127" s="304"/>
      <c r="K127" s="304"/>
      <c r="L127" s="304"/>
      <c r="M127" s="304"/>
      <c r="N127" s="304"/>
      <c r="O127" s="304"/>
      <c r="P127" s="304"/>
      <c r="Q127" s="304"/>
      <c r="R127" s="304"/>
      <c r="S127" s="304"/>
      <c r="T127" s="304"/>
      <c r="U127" s="304"/>
      <c r="V127" s="304"/>
      <c r="W127" s="304"/>
      <c r="X127" s="304"/>
      <c r="Y127" s="304"/>
      <c r="Z127" s="304"/>
    </row>
    <row r="128" ht="12.75" customHeight="1">
      <c r="A128" s="302"/>
      <c r="B128" s="302"/>
      <c r="C128" s="302"/>
      <c r="D128" s="302"/>
      <c r="E128" s="302"/>
      <c r="F128" s="302"/>
      <c r="G128" s="304"/>
      <c r="H128" s="304"/>
      <c r="I128" s="304"/>
      <c r="J128" s="304"/>
      <c r="K128" s="304"/>
      <c r="L128" s="304"/>
      <c r="M128" s="304"/>
      <c r="N128" s="304"/>
      <c r="O128" s="304"/>
      <c r="P128" s="304"/>
      <c r="Q128" s="304"/>
      <c r="R128" s="304"/>
      <c r="S128" s="304"/>
      <c r="T128" s="304"/>
      <c r="U128" s="304"/>
      <c r="V128" s="304"/>
      <c r="W128" s="304"/>
      <c r="X128" s="304"/>
      <c r="Y128" s="304"/>
      <c r="Z128" s="304"/>
    </row>
    <row r="129" ht="12.75" customHeight="1">
      <c r="A129" s="302"/>
      <c r="B129" s="302"/>
      <c r="C129" s="302"/>
      <c r="D129" s="302"/>
      <c r="E129" s="302"/>
      <c r="F129" s="302"/>
      <c r="G129" s="304"/>
      <c r="H129" s="304"/>
      <c r="I129" s="304"/>
      <c r="J129" s="304"/>
      <c r="K129" s="304"/>
      <c r="L129" s="304"/>
      <c r="M129" s="304"/>
      <c r="N129" s="304"/>
      <c r="O129" s="304"/>
      <c r="P129" s="304"/>
      <c r="Q129" s="304"/>
      <c r="R129" s="304"/>
      <c r="S129" s="304"/>
      <c r="T129" s="304"/>
      <c r="U129" s="304"/>
      <c r="V129" s="304"/>
      <c r="W129" s="304"/>
      <c r="X129" s="304"/>
      <c r="Y129" s="304"/>
      <c r="Z129" s="304"/>
    </row>
    <row r="130" ht="12.75" customHeight="1">
      <c r="A130" s="302"/>
      <c r="B130" s="302"/>
      <c r="C130" s="302"/>
      <c r="D130" s="302"/>
      <c r="E130" s="302"/>
      <c r="F130" s="302"/>
      <c r="G130" s="304"/>
      <c r="H130" s="304"/>
      <c r="I130" s="304"/>
      <c r="J130" s="304"/>
      <c r="K130" s="304"/>
      <c r="L130" s="304"/>
      <c r="M130" s="304"/>
      <c r="N130" s="304"/>
      <c r="O130" s="304"/>
      <c r="P130" s="304"/>
      <c r="Q130" s="304"/>
      <c r="R130" s="304"/>
      <c r="S130" s="304"/>
      <c r="T130" s="304"/>
      <c r="U130" s="304"/>
      <c r="V130" s="304"/>
      <c r="W130" s="304"/>
      <c r="X130" s="304"/>
      <c r="Y130" s="304"/>
      <c r="Z130" s="304"/>
    </row>
    <row r="131" ht="12.75" customHeight="1">
      <c r="A131" s="302"/>
      <c r="B131" s="302"/>
      <c r="C131" s="302"/>
      <c r="D131" s="302"/>
      <c r="E131" s="302"/>
      <c r="F131" s="302"/>
      <c r="G131" s="304"/>
      <c r="H131" s="304"/>
      <c r="I131" s="304"/>
      <c r="J131" s="304"/>
      <c r="K131" s="304"/>
      <c r="L131" s="304"/>
      <c r="M131" s="304"/>
      <c r="N131" s="304"/>
      <c r="O131" s="304"/>
      <c r="P131" s="304"/>
      <c r="Q131" s="304"/>
      <c r="R131" s="304"/>
      <c r="S131" s="304"/>
      <c r="T131" s="304"/>
      <c r="U131" s="304"/>
      <c r="V131" s="304"/>
      <c r="W131" s="304"/>
      <c r="X131" s="304"/>
      <c r="Y131" s="304"/>
      <c r="Z131" s="304"/>
    </row>
    <row r="132" ht="12.75" customHeight="1">
      <c r="A132" s="302"/>
      <c r="B132" s="302"/>
      <c r="C132" s="302"/>
      <c r="D132" s="302"/>
      <c r="E132" s="302"/>
      <c r="F132" s="302"/>
      <c r="G132" s="304"/>
      <c r="H132" s="304"/>
      <c r="I132" s="304"/>
      <c r="J132" s="304"/>
      <c r="K132" s="304"/>
      <c r="L132" s="304"/>
      <c r="M132" s="304"/>
      <c r="N132" s="304"/>
      <c r="O132" s="304"/>
      <c r="P132" s="304"/>
      <c r="Q132" s="304"/>
      <c r="R132" s="304"/>
      <c r="S132" s="304"/>
      <c r="T132" s="304"/>
      <c r="U132" s="304"/>
      <c r="V132" s="304"/>
      <c r="W132" s="304"/>
      <c r="X132" s="304"/>
      <c r="Y132" s="304"/>
      <c r="Z132" s="304"/>
    </row>
    <row r="133" ht="12.75" customHeight="1">
      <c r="A133" s="302"/>
      <c r="B133" s="302"/>
      <c r="C133" s="302"/>
      <c r="D133" s="302"/>
      <c r="E133" s="302"/>
      <c r="F133" s="302"/>
      <c r="G133" s="304"/>
      <c r="H133" s="304"/>
      <c r="I133" s="304"/>
      <c r="J133" s="304"/>
      <c r="K133" s="304"/>
      <c r="L133" s="304"/>
      <c r="M133" s="304"/>
      <c r="N133" s="304"/>
      <c r="O133" s="304"/>
      <c r="P133" s="304"/>
      <c r="Q133" s="304"/>
      <c r="R133" s="304"/>
      <c r="S133" s="304"/>
      <c r="T133" s="304"/>
      <c r="U133" s="304"/>
      <c r="V133" s="304"/>
      <c r="W133" s="304"/>
      <c r="X133" s="304"/>
      <c r="Y133" s="304"/>
      <c r="Z133" s="304"/>
    </row>
    <row r="134" ht="12.75" customHeight="1">
      <c r="A134" s="302"/>
      <c r="B134" s="302"/>
      <c r="C134" s="302"/>
      <c r="D134" s="302"/>
      <c r="E134" s="302"/>
      <c r="F134" s="302"/>
      <c r="G134" s="304"/>
      <c r="H134" s="304"/>
      <c r="I134" s="304"/>
      <c r="J134" s="304"/>
      <c r="K134" s="304"/>
      <c r="L134" s="304"/>
      <c r="M134" s="304"/>
      <c r="N134" s="304"/>
      <c r="O134" s="304"/>
      <c r="P134" s="304"/>
      <c r="Q134" s="304"/>
      <c r="R134" s="304"/>
      <c r="S134" s="304"/>
      <c r="T134" s="304"/>
      <c r="U134" s="304"/>
      <c r="V134" s="304"/>
      <c r="W134" s="304"/>
      <c r="X134" s="304"/>
      <c r="Y134" s="304"/>
      <c r="Z134" s="304"/>
    </row>
    <row r="135" ht="12.75" customHeight="1">
      <c r="A135" s="302"/>
      <c r="B135" s="302"/>
      <c r="C135" s="302"/>
      <c r="D135" s="302"/>
      <c r="E135" s="302"/>
      <c r="F135" s="302"/>
      <c r="G135" s="304"/>
      <c r="H135" s="304"/>
      <c r="I135" s="304"/>
      <c r="J135" s="304"/>
      <c r="K135" s="304"/>
      <c r="L135" s="304"/>
      <c r="M135" s="304"/>
      <c r="N135" s="304"/>
      <c r="O135" s="304"/>
      <c r="P135" s="304"/>
      <c r="Q135" s="304"/>
      <c r="R135" s="304"/>
      <c r="S135" s="304"/>
      <c r="T135" s="304"/>
      <c r="U135" s="304"/>
      <c r="V135" s="304"/>
      <c r="W135" s="304"/>
      <c r="X135" s="304"/>
      <c r="Y135" s="304"/>
      <c r="Z135" s="304"/>
    </row>
    <row r="136" ht="12.75" customHeight="1">
      <c r="A136" s="302"/>
      <c r="B136" s="302"/>
      <c r="C136" s="302"/>
      <c r="D136" s="302"/>
      <c r="E136" s="302"/>
      <c r="F136" s="302"/>
      <c r="G136" s="304"/>
      <c r="H136" s="304"/>
      <c r="I136" s="304"/>
      <c r="J136" s="304"/>
      <c r="K136" s="304"/>
      <c r="L136" s="304"/>
      <c r="M136" s="304"/>
      <c r="N136" s="304"/>
      <c r="O136" s="304"/>
      <c r="P136" s="304"/>
      <c r="Q136" s="304"/>
      <c r="R136" s="304"/>
      <c r="S136" s="304"/>
      <c r="T136" s="304"/>
      <c r="U136" s="304"/>
      <c r="V136" s="304"/>
      <c r="W136" s="304"/>
      <c r="X136" s="304"/>
      <c r="Y136" s="304"/>
      <c r="Z136" s="304"/>
    </row>
    <row r="137" ht="12.75" customHeight="1">
      <c r="A137" s="302"/>
      <c r="B137" s="302"/>
      <c r="C137" s="302"/>
      <c r="D137" s="302"/>
      <c r="E137" s="302"/>
      <c r="F137" s="302"/>
      <c r="G137" s="304"/>
      <c r="H137" s="304"/>
      <c r="I137" s="304"/>
      <c r="J137" s="304"/>
      <c r="K137" s="304"/>
      <c r="L137" s="304"/>
      <c r="M137" s="304"/>
      <c r="N137" s="304"/>
      <c r="O137" s="304"/>
      <c r="P137" s="304"/>
      <c r="Q137" s="304"/>
      <c r="R137" s="304"/>
      <c r="S137" s="304"/>
      <c r="T137" s="304"/>
      <c r="U137" s="304"/>
      <c r="V137" s="304"/>
      <c r="W137" s="304"/>
      <c r="X137" s="304"/>
      <c r="Y137" s="304"/>
      <c r="Z137" s="304"/>
    </row>
    <row r="138" ht="12.75" customHeight="1">
      <c r="A138" s="302"/>
      <c r="B138" s="302"/>
      <c r="C138" s="302"/>
      <c r="D138" s="302"/>
      <c r="E138" s="302"/>
      <c r="F138" s="302"/>
      <c r="G138" s="304"/>
      <c r="H138" s="304"/>
      <c r="I138" s="304"/>
      <c r="J138" s="304"/>
      <c r="K138" s="304"/>
      <c r="L138" s="304"/>
      <c r="M138" s="304"/>
      <c r="N138" s="304"/>
      <c r="O138" s="304"/>
      <c r="P138" s="304"/>
      <c r="Q138" s="304"/>
      <c r="R138" s="304"/>
      <c r="S138" s="304"/>
      <c r="T138" s="304"/>
      <c r="U138" s="304"/>
      <c r="V138" s="304"/>
      <c r="W138" s="304"/>
      <c r="X138" s="304"/>
      <c r="Y138" s="304"/>
      <c r="Z138" s="304"/>
    </row>
    <row r="139" ht="12.75" customHeight="1">
      <c r="A139" s="302"/>
      <c r="B139" s="302"/>
      <c r="C139" s="302"/>
      <c r="D139" s="302"/>
      <c r="E139" s="302"/>
      <c r="F139" s="302"/>
      <c r="G139" s="304"/>
      <c r="H139" s="304"/>
      <c r="I139" s="304"/>
      <c r="J139" s="304"/>
      <c r="K139" s="304"/>
      <c r="L139" s="304"/>
      <c r="M139" s="304"/>
      <c r="N139" s="304"/>
      <c r="O139" s="304"/>
      <c r="P139" s="304"/>
      <c r="Q139" s="304"/>
      <c r="R139" s="304"/>
      <c r="S139" s="304"/>
      <c r="T139" s="304"/>
      <c r="U139" s="304"/>
      <c r="V139" s="304"/>
      <c r="W139" s="304"/>
      <c r="X139" s="304"/>
      <c r="Y139" s="304"/>
      <c r="Z139" s="304"/>
    </row>
    <row r="140" ht="12.75" customHeight="1">
      <c r="A140" s="302"/>
      <c r="B140" s="302"/>
      <c r="C140" s="302"/>
      <c r="D140" s="302"/>
      <c r="E140" s="302"/>
      <c r="F140" s="302"/>
      <c r="G140" s="304"/>
      <c r="H140" s="304"/>
      <c r="I140" s="304"/>
      <c r="J140" s="304"/>
      <c r="K140" s="304"/>
      <c r="L140" s="304"/>
      <c r="M140" s="304"/>
      <c r="N140" s="304"/>
      <c r="O140" s="304"/>
      <c r="P140" s="304"/>
      <c r="Q140" s="304"/>
      <c r="R140" s="304"/>
      <c r="S140" s="304"/>
      <c r="T140" s="304"/>
      <c r="U140" s="304"/>
      <c r="V140" s="304"/>
      <c r="W140" s="304"/>
      <c r="X140" s="304"/>
      <c r="Y140" s="304"/>
      <c r="Z140" s="304"/>
    </row>
    <row r="141" ht="12.75" customHeight="1">
      <c r="A141" s="302"/>
      <c r="B141" s="302"/>
      <c r="C141" s="302"/>
      <c r="D141" s="302"/>
      <c r="E141" s="302"/>
      <c r="F141" s="302"/>
      <c r="G141" s="304"/>
      <c r="H141" s="304"/>
      <c r="I141" s="304"/>
      <c r="J141" s="304"/>
      <c r="K141" s="304"/>
      <c r="L141" s="304"/>
      <c r="M141" s="304"/>
      <c r="N141" s="304"/>
      <c r="O141" s="304"/>
      <c r="P141" s="304"/>
      <c r="Q141" s="304"/>
      <c r="R141" s="304"/>
      <c r="S141" s="304"/>
      <c r="T141" s="304"/>
      <c r="U141" s="304"/>
      <c r="V141" s="304"/>
      <c r="W141" s="304"/>
      <c r="X141" s="304"/>
      <c r="Y141" s="304"/>
      <c r="Z141" s="304"/>
    </row>
    <row r="142" ht="12.75" customHeight="1">
      <c r="A142" s="302"/>
      <c r="B142" s="302"/>
      <c r="C142" s="302"/>
      <c r="D142" s="302"/>
      <c r="E142" s="302"/>
      <c r="F142" s="302"/>
      <c r="G142" s="304"/>
      <c r="H142" s="304"/>
      <c r="I142" s="304"/>
      <c r="J142" s="304"/>
      <c r="K142" s="304"/>
      <c r="L142" s="304"/>
      <c r="M142" s="304"/>
      <c r="N142" s="304"/>
      <c r="O142" s="304"/>
      <c r="P142" s="304"/>
      <c r="Q142" s="304"/>
      <c r="R142" s="304"/>
      <c r="S142" s="304"/>
      <c r="T142" s="304"/>
      <c r="U142" s="304"/>
      <c r="V142" s="304"/>
      <c r="W142" s="304"/>
      <c r="X142" s="304"/>
      <c r="Y142" s="304"/>
      <c r="Z142" s="304"/>
    </row>
    <row r="143" ht="12.75" customHeight="1">
      <c r="A143" s="302"/>
      <c r="B143" s="302"/>
      <c r="C143" s="302"/>
      <c r="D143" s="302"/>
      <c r="E143" s="302"/>
      <c r="F143" s="302"/>
      <c r="G143" s="304"/>
      <c r="H143" s="304"/>
      <c r="I143" s="304"/>
      <c r="J143" s="304"/>
      <c r="K143" s="304"/>
      <c r="L143" s="304"/>
      <c r="M143" s="304"/>
      <c r="N143" s="304"/>
      <c r="O143" s="304"/>
      <c r="P143" s="304"/>
      <c r="Q143" s="304"/>
      <c r="R143" s="304"/>
      <c r="S143" s="304"/>
      <c r="T143" s="304"/>
      <c r="U143" s="304"/>
      <c r="V143" s="304"/>
      <c r="W143" s="304"/>
      <c r="X143" s="304"/>
      <c r="Y143" s="304"/>
      <c r="Z143" s="304"/>
    </row>
    <row r="144" ht="12.75" customHeight="1">
      <c r="A144" s="302"/>
      <c r="B144" s="302"/>
      <c r="C144" s="302"/>
      <c r="D144" s="302"/>
      <c r="E144" s="302"/>
      <c r="F144" s="302"/>
      <c r="G144" s="304"/>
      <c r="H144" s="304"/>
      <c r="I144" s="304"/>
      <c r="J144" s="304"/>
      <c r="K144" s="304"/>
      <c r="L144" s="304"/>
      <c r="M144" s="304"/>
      <c r="N144" s="304"/>
      <c r="O144" s="304"/>
      <c r="P144" s="304"/>
      <c r="Q144" s="304"/>
      <c r="R144" s="304"/>
      <c r="S144" s="304"/>
      <c r="T144" s="304"/>
      <c r="U144" s="304"/>
      <c r="V144" s="304"/>
      <c r="W144" s="304"/>
      <c r="X144" s="304"/>
      <c r="Y144" s="304"/>
      <c r="Z144" s="304"/>
    </row>
    <row r="145" ht="12.75" customHeight="1">
      <c r="A145" s="302"/>
      <c r="B145" s="302"/>
      <c r="C145" s="302"/>
      <c r="D145" s="302"/>
      <c r="E145" s="302"/>
      <c r="F145" s="302"/>
      <c r="G145" s="304"/>
      <c r="H145" s="304"/>
      <c r="I145" s="304"/>
      <c r="J145" s="304"/>
      <c r="K145" s="304"/>
      <c r="L145" s="304"/>
      <c r="M145" s="304"/>
      <c r="N145" s="304"/>
      <c r="O145" s="304"/>
      <c r="P145" s="304"/>
      <c r="Q145" s="304"/>
      <c r="R145" s="304"/>
      <c r="S145" s="304"/>
      <c r="T145" s="304"/>
      <c r="U145" s="304"/>
      <c r="V145" s="304"/>
      <c r="W145" s="304"/>
      <c r="X145" s="304"/>
      <c r="Y145" s="304"/>
      <c r="Z145" s="304"/>
    </row>
    <row r="146" ht="12.75" customHeight="1">
      <c r="A146" s="302"/>
      <c r="B146" s="302"/>
      <c r="C146" s="302"/>
      <c r="D146" s="302"/>
      <c r="E146" s="302"/>
      <c r="F146" s="302"/>
      <c r="G146" s="304"/>
      <c r="H146" s="304"/>
      <c r="I146" s="304"/>
      <c r="J146" s="304"/>
      <c r="K146" s="304"/>
      <c r="L146" s="304"/>
      <c r="M146" s="304"/>
      <c r="N146" s="304"/>
      <c r="O146" s="304"/>
      <c r="P146" s="304"/>
      <c r="Q146" s="304"/>
      <c r="R146" s="304"/>
      <c r="S146" s="304"/>
      <c r="T146" s="304"/>
      <c r="U146" s="304"/>
      <c r="V146" s="304"/>
      <c r="W146" s="304"/>
      <c r="X146" s="304"/>
      <c r="Y146" s="304"/>
      <c r="Z146" s="304"/>
    </row>
    <row r="147" ht="12.75" customHeight="1">
      <c r="A147" s="302"/>
      <c r="B147" s="302"/>
      <c r="C147" s="302"/>
      <c r="D147" s="302"/>
      <c r="E147" s="302"/>
      <c r="F147" s="302"/>
      <c r="G147" s="304"/>
      <c r="H147" s="304"/>
      <c r="I147" s="304"/>
      <c r="J147" s="304"/>
      <c r="K147" s="304"/>
      <c r="L147" s="304"/>
      <c r="M147" s="304"/>
      <c r="N147" s="304"/>
      <c r="O147" s="304"/>
      <c r="P147" s="304"/>
      <c r="Q147" s="304"/>
      <c r="R147" s="304"/>
      <c r="S147" s="304"/>
      <c r="T147" s="304"/>
      <c r="U147" s="304"/>
      <c r="V147" s="304"/>
      <c r="W147" s="304"/>
      <c r="X147" s="304"/>
      <c r="Y147" s="304"/>
      <c r="Z147" s="304"/>
    </row>
    <row r="148" ht="12.75" customHeight="1">
      <c r="A148" s="302"/>
      <c r="B148" s="302"/>
      <c r="C148" s="302"/>
      <c r="D148" s="302"/>
      <c r="E148" s="302"/>
      <c r="F148" s="302"/>
      <c r="G148" s="304"/>
      <c r="H148" s="304"/>
      <c r="I148" s="304"/>
      <c r="J148" s="304"/>
      <c r="K148" s="304"/>
      <c r="L148" s="304"/>
      <c r="M148" s="304"/>
      <c r="N148" s="304"/>
      <c r="O148" s="304"/>
      <c r="P148" s="304"/>
      <c r="Q148" s="304"/>
      <c r="R148" s="304"/>
      <c r="S148" s="304"/>
      <c r="T148" s="304"/>
      <c r="U148" s="304"/>
      <c r="V148" s="304"/>
      <c r="W148" s="304"/>
      <c r="X148" s="304"/>
      <c r="Y148" s="304"/>
      <c r="Z148" s="304"/>
    </row>
    <row r="149" ht="12.75" customHeight="1">
      <c r="A149" s="302"/>
      <c r="B149" s="302"/>
      <c r="C149" s="302"/>
      <c r="D149" s="302"/>
      <c r="E149" s="302"/>
      <c r="F149" s="302"/>
      <c r="G149" s="304"/>
      <c r="H149" s="304"/>
      <c r="I149" s="304"/>
      <c r="J149" s="304"/>
      <c r="K149" s="304"/>
      <c r="L149" s="304"/>
      <c r="M149" s="304"/>
      <c r="N149" s="304"/>
      <c r="O149" s="304"/>
      <c r="P149" s="304"/>
      <c r="Q149" s="304"/>
      <c r="R149" s="304"/>
      <c r="S149" s="304"/>
      <c r="T149" s="304"/>
      <c r="U149" s="304"/>
      <c r="V149" s="304"/>
      <c r="W149" s="304"/>
      <c r="X149" s="304"/>
      <c r="Y149" s="304"/>
      <c r="Z149" s="304"/>
    </row>
    <row r="150" ht="12.75" customHeight="1">
      <c r="A150" s="302"/>
      <c r="B150" s="302"/>
      <c r="C150" s="302"/>
      <c r="D150" s="302"/>
      <c r="E150" s="302"/>
      <c r="F150" s="302"/>
      <c r="G150" s="304"/>
      <c r="H150" s="304"/>
      <c r="I150" s="304"/>
      <c r="J150" s="304"/>
      <c r="K150" s="304"/>
      <c r="L150" s="304"/>
      <c r="M150" s="304"/>
      <c r="N150" s="304"/>
      <c r="O150" s="304"/>
      <c r="P150" s="304"/>
      <c r="Q150" s="304"/>
      <c r="R150" s="304"/>
      <c r="S150" s="304"/>
      <c r="T150" s="304"/>
      <c r="U150" s="304"/>
      <c r="V150" s="304"/>
      <c r="W150" s="304"/>
      <c r="X150" s="304"/>
      <c r="Y150" s="304"/>
      <c r="Z150" s="304"/>
    </row>
    <row r="151" ht="12.75" customHeight="1">
      <c r="A151" s="302"/>
      <c r="B151" s="302"/>
      <c r="C151" s="302"/>
      <c r="D151" s="302"/>
      <c r="E151" s="302"/>
      <c r="F151" s="302"/>
      <c r="G151" s="304"/>
      <c r="H151" s="304"/>
      <c r="I151" s="304"/>
      <c r="J151" s="304"/>
      <c r="K151" s="304"/>
      <c r="L151" s="304"/>
      <c r="M151" s="304"/>
      <c r="N151" s="304"/>
      <c r="O151" s="304"/>
      <c r="P151" s="304"/>
      <c r="Q151" s="304"/>
      <c r="R151" s="304"/>
      <c r="S151" s="304"/>
      <c r="T151" s="304"/>
      <c r="U151" s="304"/>
      <c r="V151" s="304"/>
      <c r="W151" s="304"/>
      <c r="X151" s="304"/>
      <c r="Y151" s="304"/>
      <c r="Z151" s="304"/>
    </row>
    <row r="152" ht="12.75" customHeight="1">
      <c r="A152" s="302"/>
      <c r="B152" s="302"/>
      <c r="C152" s="302"/>
      <c r="D152" s="302"/>
      <c r="E152" s="302"/>
      <c r="F152" s="302"/>
      <c r="G152" s="304"/>
      <c r="H152" s="304"/>
      <c r="I152" s="304"/>
      <c r="J152" s="304"/>
      <c r="K152" s="304"/>
      <c r="L152" s="304"/>
      <c r="M152" s="304"/>
      <c r="N152" s="304"/>
      <c r="O152" s="304"/>
      <c r="P152" s="304"/>
      <c r="Q152" s="304"/>
      <c r="R152" s="304"/>
      <c r="S152" s="304"/>
      <c r="T152" s="304"/>
      <c r="U152" s="304"/>
      <c r="V152" s="304"/>
      <c r="W152" s="304"/>
      <c r="X152" s="304"/>
      <c r="Y152" s="304"/>
      <c r="Z152" s="304"/>
    </row>
    <row r="153" ht="12.75" customHeight="1">
      <c r="A153" s="302"/>
      <c r="B153" s="302"/>
      <c r="C153" s="302"/>
      <c r="D153" s="302"/>
      <c r="E153" s="302"/>
      <c r="F153" s="302"/>
      <c r="G153" s="304"/>
      <c r="H153" s="304"/>
      <c r="I153" s="304"/>
      <c r="J153" s="304"/>
      <c r="K153" s="304"/>
      <c r="L153" s="304"/>
      <c r="M153" s="304"/>
      <c r="N153" s="304"/>
      <c r="O153" s="304"/>
      <c r="P153" s="304"/>
      <c r="Q153" s="304"/>
      <c r="R153" s="304"/>
      <c r="S153" s="304"/>
      <c r="T153" s="304"/>
      <c r="U153" s="304"/>
      <c r="V153" s="304"/>
      <c r="W153" s="304"/>
      <c r="X153" s="304"/>
      <c r="Y153" s="304"/>
      <c r="Z153" s="304"/>
    </row>
    <row r="154" ht="12.75" customHeight="1">
      <c r="A154" s="302"/>
      <c r="B154" s="302"/>
      <c r="C154" s="302"/>
      <c r="D154" s="302"/>
      <c r="E154" s="302"/>
      <c r="F154" s="302"/>
      <c r="G154" s="304"/>
      <c r="H154" s="304"/>
      <c r="I154" s="304"/>
      <c r="J154" s="304"/>
      <c r="K154" s="304"/>
      <c r="L154" s="304"/>
      <c r="M154" s="304"/>
      <c r="N154" s="304"/>
      <c r="O154" s="304"/>
      <c r="P154" s="304"/>
      <c r="Q154" s="304"/>
      <c r="R154" s="304"/>
      <c r="S154" s="304"/>
      <c r="T154" s="304"/>
      <c r="U154" s="304"/>
      <c r="V154" s="304"/>
      <c r="W154" s="304"/>
      <c r="X154" s="304"/>
      <c r="Y154" s="304"/>
      <c r="Z154" s="304"/>
    </row>
    <row r="155" ht="12.75" customHeight="1">
      <c r="A155" s="302"/>
      <c r="B155" s="302"/>
      <c r="C155" s="302"/>
      <c r="D155" s="302"/>
      <c r="E155" s="302"/>
      <c r="F155" s="302"/>
      <c r="G155" s="304"/>
      <c r="H155" s="304"/>
      <c r="I155" s="304"/>
      <c r="J155" s="304"/>
      <c r="K155" s="304"/>
      <c r="L155" s="304"/>
      <c r="M155" s="304"/>
      <c r="N155" s="304"/>
      <c r="O155" s="304"/>
      <c r="P155" s="304"/>
      <c r="Q155" s="304"/>
      <c r="R155" s="304"/>
      <c r="S155" s="304"/>
      <c r="T155" s="304"/>
      <c r="U155" s="304"/>
      <c r="V155" s="304"/>
      <c r="W155" s="304"/>
      <c r="X155" s="304"/>
      <c r="Y155" s="304"/>
      <c r="Z155" s="304"/>
    </row>
    <row r="156" ht="12.75" customHeight="1">
      <c r="A156" s="302"/>
      <c r="B156" s="302"/>
      <c r="C156" s="302"/>
      <c r="D156" s="302"/>
      <c r="E156" s="302"/>
      <c r="F156" s="302"/>
      <c r="G156" s="304"/>
      <c r="H156" s="304"/>
      <c r="I156" s="304"/>
      <c r="J156" s="304"/>
      <c r="K156" s="304"/>
      <c r="L156" s="304"/>
      <c r="M156" s="304"/>
      <c r="N156" s="304"/>
      <c r="O156" s="304"/>
      <c r="P156" s="304"/>
      <c r="Q156" s="304"/>
      <c r="R156" s="304"/>
      <c r="S156" s="304"/>
      <c r="T156" s="304"/>
      <c r="U156" s="304"/>
      <c r="V156" s="304"/>
      <c r="W156" s="304"/>
      <c r="X156" s="304"/>
      <c r="Y156" s="304"/>
      <c r="Z156" s="304"/>
    </row>
    <row r="157" ht="12.75" customHeight="1">
      <c r="A157" s="302"/>
      <c r="B157" s="302"/>
      <c r="C157" s="302"/>
      <c r="D157" s="302"/>
      <c r="E157" s="302"/>
      <c r="F157" s="302"/>
      <c r="G157" s="304"/>
      <c r="H157" s="304"/>
      <c r="I157" s="304"/>
      <c r="J157" s="304"/>
      <c r="K157" s="304"/>
      <c r="L157" s="304"/>
      <c r="M157" s="304"/>
      <c r="N157" s="304"/>
      <c r="O157" s="304"/>
      <c r="P157" s="304"/>
      <c r="Q157" s="304"/>
      <c r="R157" s="304"/>
      <c r="S157" s="304"/>
      <c r="T157" s="304"/>
      <c r="U157" s="304"/>
      <c r="V157" s="304"/>
      <c r="W157" s="304"/>
      <c r="X157" s="304"/>
      <c r="Y157" s="304"/>
      <c r="Z157" s="304"/>
    </row>
    <row r="158" ht="12.75" customHeight="1">
      <c r="A158" s="302"/>
      <c r="B158" s="302"/>
      <c r="C158" s="302"/>
      <c r="D158" s="302"/>
      <c r="E158" s="302"/>
      <c r="F158" s="302"/>
      <c r="G158" s="304"/>
      <c r="H158" s="304"/>
      <c r="I158" s="304"/>
      <c r="J158" s="304"/>
      <c r="K158" s="304"/>
      <c r="L158" s="304"/>
      <c r="M158" s="304"/>
      <c r="N158" s="304"/>
      <c r="O158" s="304"/>
      <c r="P158" s="304"/>
      <c r="Q158" s="304"/>
      <c r="R158" s="304"/>
      <c r="S158" s="304"/>
      <c r="T158" s="304"/>
      <c r="U158" s="304"/>
      <c r="V158" s="304"/>
      <c r="W158" s="304"/>
      <c r="X158" s="304"/>
      <c r="Y158" s="304"/>
      <c r="Z158" s="304"/>
    </row>
    <row r="159" ht="12.75" customHeight="1">
      <c r="A159" s="302"/>
      <c r="B159" s="302"/>
      <c r="C159" s="302"/>
      <c r="D159" s="302"/>
      <c r="E159" s="302"/>
      <c r="F159" s="302"/>
      <c r="G159" s="304"/>
      <c r="H159" s="304"/>
      <c r="I159" s="304"/>
      <c r="J159" s="304"/>
      <c r="K159" s="304"/>
      <c r="L159" s="304"/>
      <c r="M159" s="304"/>
      <c r="N159" s="304"/>
      <c r="O159" s="304"/>
      <c r="P159" s="304"/>
      <c r="Q159" s="304"/>
      <c r="R159" s="304"/>
      <c r="S159" s="304"/>
      <c r="T159" s="304"/>
      <c r="U159" s="304"/>
      <c r="V159" s="304"/>
      <c r="W159" s="304"/>
      <c r="X159" s="304"/>
      <c r="Y159" s="304"/>
      <c r="Z159" s="304"/>
    </row>
    <row r="160" ht="12.75" customHeight="1">
      <c r="A160" s="302"/>
      <c r="B160" s="302"/>
      <c r="C160" s="302"/>
      <c r="D160" s="302"/>
      <c r="E160" s="302"/>
      <c r="F160" s="302"/>
      <c r="G160" s="304"/>
      <c r="H160" s="304"/>
      <c r="I160" s="304"/>
      <c r="J160" s="304"/>
      <c r="K160" s="304"/>
      <c r="L160" s="304"/>
      <c r="M160" s="304"/>
      <c r="N160" s="304"/>
      <c r="O160" s="304"/>
      <c r="P160" s="304"/>
      <c r="Q160" s="304"/>
      <c r="R160" s="304"/>
      <c r="S160" s="304"/>
      <c r="T160" s="304"/>
      <c r="U160" s="304"/>
      <c r="V160" s="304"/>
      <c r="W160" s="304"/>
      <c r="X160" s="304"/>
      <c r="Y160" s="304"/>
      <c r="Z160" s="304"/>
    </row>
    <row r="161" ht="12.75" customHeight="1">
      <c r="A161" s="302"/>
      <c r="B161" s="302"/>
      <c r="C161" s="302"/>
      <c r="D161" s="302"/>
      <c r="E161" s="302"/>
      <c r="F161" s="302"/>
      <c r="G161" s="304"/>
      <c r="H161" s="304"/>
      <c r="I161" s="304"/>
      <c r="J161" s="304"/>
      <c r="K161" s="304"/>
      <c r="L161" s="304"/>
      <c r="M161" s="304"/>
      <c r="N161" s="304"/>
      <c r="O161" s="304"/>
      <c r="P161" s="304"/>
      <c r="Q161" s="304"/>
      <c r="R161" s="304"/>
      <c r="S161" s="304"/>
      <c r="T161" s="304"/>
      <c r="U161" s="304"/>
      <c r="V161" s="304"/>
      <c r="W161" s="304"/>
      <c r="X161" s="304"/>
      <c r="Y161" s="304"/>
      <c r="Z161" s="304"/>
    </row>
    <row r="162" ht="12.75" customHeight="1">
      <c r="A162" s="302"/>
      <c r="B162" s="302"/>
      <c r="C162" s="302"/>
      <c r="D162" s="302"/>
      <c r="E162" s="302"/>
      <c r="F162" s="302"/>
      <c r="G162" s="304"/>
      <c r="H162" s="304"/>
      <c r="I162" s="304"/>
      <c r="J162" s="304"/>
      <c r="K162" s="304"/>
      <c r="L162" s="304"/>
      <c r="M162" s="304"/>
      <c r="N162" s="304"/>
      <c r="O162" s="304"/>
      <c r="P162" s="304"/>
      <c r="Q162" s="304"/>
      <c r="R162" s="304"/>
      <c r="S162" s="304"/>
      <c r="T162" s="304"/>
      <c r="U162" s="304"/>
      <c r="V162" s="304"/>
      <c r="W162" s="304"/>
      <c r="X162" s="304"/>
      <c r="Y162" s="304"/>
      <c r="Z162" s="304"/>
    </row>
    <row r="163" ht="12.75" customHeight="1">
      <c r="A163" s="302"/>
      <c r="B163" s="302"/>
      <c r="C163" s="302"/>
      <c r="D163" s="302"/>
      <c r="E163" s="302"/>
      <c r="F163" s="302"/>
      <c r="G163" s="304"/>
      <c r="H163" s="304"/>
      <c r="I163" s="304"/>
      <c r="J163" s="304"/>
      <c r="K163" s="304"/>
      <c r="L163" s="304"/>
      <c r="M163" s="304"/>
      <c r="N163" s="304"/>
      <c r="O163" s="304"/>
      <c r="P163" s="304"/>
      <c r="Q163" s="304"/>
      <c r="R163" s="304"/>
      <c r="S163" s="304"/>
      <c r="T163" s="304"/>
      <c r="U163" s="304"/>
      <c r="V163" s="304"/>
      <c r="W163" s="304"/>
      <c r="X163" s="304"/>
      <c r="Y163" s="304"/>
      <c r="Z163" s="304"/>
    </row>
    <row r="164" ht="12.75" customHeight="1">
      <c r="A164" s="302"/>
      <c r="B164" s="302"/>
      <c r="C164" s="302"/>
      <c r="D164" s="302"/>
      <c r="E164" s="302"/>
      <c r="F164" s="302"/>
      <c r="G164" s="304"/>
      <c r="H164" s="304"/>
      <c r="I164" s="304"/>
      <c r="J164" s="304"/>
      <c r="K164" s="304"/>
      <c r="L164" s="304"/>
      <c r="M164" s="304"/>
      <c r="N164" s="304"/>
      <c r="O164" s="304"/>
      <c r="P164" s="304"/>
      <c r="Q164" s="304"/>
      <c r="R164" s="304"/>
      <c r="S164" s="304"/>
      <c r="T164" s="304"/>
      <c r="U164" s="304"/>
      <c r="V164" s="304"/>
      <c r="W164" s="304"/>
      <c r="X164" s="304"/>
      <c r="Y164" s="304"/>
      <c r="Z164" s="304"/>
    </row>
    <row r="165" ht="12.75" customHeight="1">
      <c r="A165" s="302"/>
      <c r="B165" s="302"/>
      <c r="C165" s="302"/>
      <c r="D165" s="302"/>
      <c r="E165" s="302"/>
      <c r="F165" s="302"/>
      <c r="G165" s="304"/>
      <c r="H165" s="304"/>
      <c r="I165" s="304"/>
      <c r="J165" s="304"/>
      <c r="K165" s="304"/>
      <c r="L165" s="304"/>
      <c r="M165" s="304"/>
      <c r="N165" s="304"/>
      <c r="O165" s="304"/>
      <c r="P165" s="304"/>
      <c r="Q165" s="304"/>
      <c r="R165" s="304"/>
      <c r="S165" s="304"/>
      <c r="T165" s="304"/>
      <c r="U165" s="304"/>
      <c r="V165" s="304"/>
      <c r="W165" s="304"/>
      <c r="X165" s="304"/>
      <c r="Y165" s="304"/>
      <c r="Z165" s="304"/>
    </row>
    <row r="166" ht="12.75" customHeight="1">
      <c r="A166" s="302"/>
      <c r="B166" s="302"/>
      <c r="C166" s="302"/>
      <c r="D166" s="302"/>
      <c r="E166" s="302"/>
      <c r="F166" s="302"/>
      <c r="G166" s="304"/>
      <c r="H166" s="304"/>
      <c r="I166" s="304"/>
      <c r="J166" s="304"/>
      <c r="K166" s="304"/>
      <c r="L166" s="304"/>
      <c r="M166" s="304"/>
      <c r="N166" s="304"/>
      <c r="O166" s="304"/>
      <c r="P166" s="304"/>
      <c r="Q166" s="304"/>
      <c r="R166" s="304"/>
      <c r="S166" s="304"/>
      <c r="T166" s="304"/>
      <c r="U166" s="304"/>
      <c r="V166" s="304"/>
      <c r="W166" s="304"/>
      <c r="X166" s="304"/>
      <c r="Y166" s="304"/>
      <c r="Z166" s="304"/>
    </row>
    <row r="167" ht="12.75" customHeight="1">
      <c r="A167" s="302"/>
      <c r="B167" s="302"/>
      <c r="C167" s="302"/>
      <c r="D167" s="302"/>
      <c r="E167" s="302"/>
      <c r="F167" s="302"/>
      <c r="G167" s="304"/>
      <c r="H167" s="304"/>
      <c r="I167" s="304"/>
      <c r="J167" s="304"/>
      <c r="K167" s="304"/>
      <c r="L167" s="304"/>
      <c r="M167" s="304"/>
      <c r="N167" s="304"/>
      <c r="O167" s="304"/>
      <c r="P167" s="304"/>
      <c r="Q167" s="304"/>
      <c r="R167" s="304"/>
      <c r="S167" s="304"/>
      <c r="T167" s="304"/>
      <c r="U167" s="304"/>
      <c r="V167" s="304"/>
      <c r="W167" s="304"/>
      <c r="X167" s="304"/>
      <c r="Y167" s="304"/>
      <c r="Z167" s="304"/>
    </row>
    <row r="168" ht="12.75" customHeight="1">
      <c r="A168" s="302"/>
      <c r="B168" s="302"/>
      <c r="C168" s="302"/>
      <c r="D168" s="302"/>
      <c r="E168" s="302"/>
      <c r="F168" s="302"/>
      <c r="G168" s="304"/>
      <c r="H168" s="304"/>
      <c r="I168" s="304"/>
      <c r="J168" s="304"/>
      <c r="K168" s="304"/>
      <c r="L168" s="304"/>
      <c r="M168" s="304"/>
      <c r="N168" s="304"/>
      <c r="O168" s="304"/>
      <c r="P168" s="304"/>
      <c r="Q168" s="304"/>
      <c r="R168" s="304"/>
      <c r="S168" s="304"/>
      <c r="T168" s="304"/>
      <c r="U168" s="304"/>
      <c r="V168" s="304"/>
      <c r="W168" s="304"/>
      <c r="X168" s="304"/>
      <c r="Y168" s="304"/>
      <c r="Z168" s="304"/>
    </row>
    <row r="169" ht="12.75" customHeight="1">
      <c r="A169" s="302"/>
      <c r="B169" s="302"/>
      <c r="C169" s="302"/>
      <c r="D169" s="302"/>
      <c r="E169" s="302"/>
      <c r="F169" s="302"/>
      <c r="G169" s="304"/>
      <c r="H169" s="304"/>
      <c r="I169" s="304"/>
      <c r="J169" s="304"/>
      <c r="K169" s="304"/>
      <c r="L169" s="304"/>
      <c r="M169" s="304"/>
      <c r="N169" s="304"/>
      <c r="O169" s="304"/>
      <c r="P169" s="304"/>
      <c r="Q169" s="304"/>
      <c r="R169" s="304"/>
      <c r="S169" s="304"/>
      <c r="T169" s="304"/>
      <c r="U169" s="304"/>
      <c r="V169" s="304"/>
      <c r="W169" s="304"/>
      <c r="X169" s="304"/>
      <c r="Y169" s="304"/>
      <c r="Z169" s="304"/>
    </row>
    <row r="170" ht="12.75" customHeight="1">
      <c r="A170" s="302"/>
      <c r="B170" s="302"/>
      <c r="C170" s="302"/>
      <c r="D170" s="302"/>
      <c r="E170" s="302"/>
      <c r="F170" s="302"/>
      <c r="G170" s="304"/>
      <c r="H170" s="304"/>
      <c r="I170" s="304"/>
      <c r="J170" s="304"/>
      <c r="K170" s="304"/>
      <c r="L170" s="304"/>
      <c r="M170" s="304"/>
      <c r="N170" s="304"/>
      <c r="O170" s="304"/>
      <c r="P170" s="304"/>
      <c r="Q170" s="304"/>
      <c r="R170" s="304"/>
      <c r="S170" s="304"/>
      <c r="T170" s="304"/>
      <c r="U170" s="304"/>
      <c r="V170" s="304"/>
      <c r="W170" s="304"/>
      <c r="X170" s="304"/>
      <c r="Y170" s="304"/>
      <c r="Z170" s="304"/>
    </row>
    <row r="171" ht="12.75" customHeight="1">
      <c r="A171" s="302"/>
      <c r="B171" s="302"/>
      <c r="C171" s="302"/>
      <c r="D171" s="302"/>
      <c r="E171" s="302"/>
      <c r="F171" s="302"/>
      <c r="G171" s="304"/>
      <c r="H171" s="304"/>
      <c r="I171" s="304"/>
      <c r="J171" s="304"/>
      <c r="K171" s="304"/>
      <c r="L171" s="304"/>
      <c r="M171" s="304"/>
      <c r="N171" s="304"/>
      <c r="O171" s="304"/>
      <c r="P171" s="304"/>
      <c r="Q171" s="304"/>
      <c r="R171" s="304"/>
      <c r="S171" s="304"/>
      <c r="T171" s="304"/>
      <c r="U171" s="304"/>
      <c r="V171" s="304"/>
      <c r="W171" s="304"/>
      <c r="X171" s="304"/>
      <c r="Y171" s="304"/>
      <c r="Z171" s="304"/>
    </row>
    <row r="172" ht="12.75" customHeight="1">
      <c r="A172" s="302"/>
      <c r="B172" s="302"/>
      <c r="C172" s="302"/>
      <c r="D172" s="302"/>
      <c r="E172" s="302"/>
      <c r="F172" s="302"/>
      <c r="G172" s="304"/>
      <c r="H172" s="304"/>
      <c r="I172" s="304"/>
      <c r="J172" s="304"/>
      <c r="K172" s="304"/>
      <c r="L172" s="304"/>
      <c r="M172" s="304"/>
      <c r="N172" s="304"/>
      <c r="O172" s="304"/>
      <c r="P172" s="304"/>
      <c r="Q172" s="304"/>
      <c r="R172" s="304"/>
      <c r="S172" s="304"/>
      <c r="T172" s="304"/>
      <c r="U172" s="304"/>
      <c r="V172" s="304"/>
      <c r="W172" s="304"/>
      <c r="X172" s="304"/>
      <c r="Y172" s="304"/>
      <c r="Z172" s="304"/>
    </row>
    <row r="173" ht="12.75" customHeight="1">
      <c r="A173" s="302"/>
      <c r="B173" s="302"/>
      <c r="C173" s="302"/>
      <c r="D173" s="302"/>
      <c r="E173" s="302"/>
      <c r="F173" s="302"/>
      <c r="G173" s="304"/>
      <c r="H173" s="304"/>
      <c r="I173" s="304"/>
      <c r="J173" s="304"/>
      <c r="K173" s="304"/>
      <c r="L173" s="304"/>
      <c r="M173" s="304"/>
      <c r="N173" s="304"/>
      <c r="O173" s="304"/>
      <c r="P173" s="304"/>
      <c r="Q173" s="304"/>
      <c r="R173" s="304"/>
      <c r="S173" s="304"/>
      <c r="T173" s="304"/>
      <c r="U173" s="304"/>
      <c r="V173" s="304"/>
      <c r="W173" s="304"/>
      <c r="X173" s="304"/>
      <c r="Y173" s="304"/>
      <c r="Z173" s="304"/>
    </row>
    <row r="174" ht="12.75" customHeight="1">
      <c r="A174" s="302"/>
      <c r="B174" s="302"/>
      <c r="C174" s="302"/>
      <c r="D174" s="302"/>
      <c r="E174" s="302"/>
      <c r="F174" s="302"/>
      <c r="G174" s="304"/>
      <c r="H174" s="304"/>
      <c r="I174" s="304"/>
      <c r="J174" s="304"/>
      <c r="K174" s="304"/>
      <c r="L174" s="304"/>
      <c r="M174" s="304"/>
      <c r="N174" s="304"/>
      <c r="O174" s="304"/>
      <c r="P174" s="304"/>
      <c r="Q174" s="304"/>
      <c r="R174" s="304"/>
      <c r="S174" s="304"/>
      <c r="T174" s="304"/>
      <c r="U174" s="304"/>
      <c r="V174" s="304"/>
      <c r="W174" s="304"/>
      <c r="X174" s="304"/>
      <c r="Y174" s="304"/>
      <c r="Z174" s="304"/>
    </row>
    <row r="175" ht="12.75" customHeight="1">
      <c r="A175" s="302"/>
      <c r="B175" s="302"/>
      <c r="C175" s="302"/>
      <c r="D175" s="302"/>
      <c r="E175" s="302"/>
      <c r="F175" s="302"/>
      <c r="G175" s="304"/>
      <c r="H175" s="304"/>
      <c r="I175" s="304"/>
      <c r="J175" s="304"/>
      <c r="K175" s="304"/>
      <c r="L175" s="304"/>
      <c r="M175" s="304"/>
      <c r="N175" s="304"/>
      <c r="O175" s="304"/>
      <c r="P175" s="304"/>
      <c r="Q175" s="304"/>
      <c r="R175" s="304"/>
      <c r="S175" s="304"/>
      <c r="T175" s="304"/>
      <c r="U175" s="304"/>
      <c r="V175" s="304"/>
      <c r="W175" s="304"/>
      <c r="X175" s="304"/>
      <c r="Y175" s="304"/>
      <c r="Z175" s="304"/>
    </row>
    <row r="176" ht="12.75" customHeight="1">
      <c r="A176" s="302"/>
      <c r="B176" s="302"/>
      <c r="C176" s="302"/>
      <c r="D176" s="302"/>
      <c r="E176" s="302"/>
      <c r="F176" s="302"/>
      <c r="G176" s="304"/>
      <c r="H176" s="304"/>
      <c r="I176" s="304"/>
      <c r="J176" s="304"/>
      <c r="K176" s="304"/>
      <c r="L176" s="304"/>
      <c r="M176" s="304"/>
      <c r="N176" s="304"/>
      <c r="O176" s="304"/>
      <c r="P176" s="304"/>
      <c r="Q176" s="304"/>
      <c r="R176" s="304"/>
      <c r="S176" s="304"/>
      <c r="T176" s="304"/>
      <c r="U176" s="304"/>
      <c r="V176" s="304"/>
      <c r="W176" s="304"/>
      <c r="X176" s="304"/>
      <c r="Y176" s="304"/>
      <c r="Z176" s="304"/>
    </row>
    <row r="177" ht="12.75" customHeight="1">
      <c r="A177" s="302"/>
      <c r="B177" s="302"/>
      <c r="C177" s="302"/>
      <c r="D177" s="302"/>
      <c r="E177" s="302"/>
      <c r="F177" s="302"/>
      <c r="G177" s="304"/>
      <c r="H177" s="304"/>
      <c r="I177" s="304"/>
      <c r="J177" s="304"/>
      <c r="K177" s="304"/>
      <c r="L177" s="304"/>
      <c r="M177" s="304"/>
      <c r="N177" s="304"/>
      <c r="O177" s="304"/>
      <c r="P177" s="304"/>
      <c r="Q177" s="304"/>
      <c r="R177" s="304"/>
      <c r="S177" s="304"/>
      <c r="T177" s="304"/>
      <c r="U177" s="304"/>
      <c r="V177" s="304"/>
      <c r="W177" s="304"/>
      <c r="X177" s="304"/>
      <c r="Y177" s="304"/>
      <c r="Z177" s="304"/>
    </row>
    <row r="178" ht="12.75" customHeight="1">
      <c r="A178" s="302"/>
      <c r="B178" s="302"/>
      <c r="C178" s="302"/>
      <c r="D178" s="302"/>
      <c r="E178" s="302"/>
      <c r="F178" s="302"/>
      <c r="G178" s="304"/>
      <c r="H178" s="304"/>
      <c r="I178" s="304"/>
      <c r="J178" s="304"/>
      <c r="K178" s="304"/>
      <c r="L178" s="304"/>
      <c r="M178" s="304"/>
      <c r="N178" s="304"/>
      <c r="O178" s="304"/>
      <c r="P178" s="304"/>
      <c r="Q178" s="304"/>
      <c r="R178" s="304"/>
      <c r="S178" s="304"/>
      <c r="T178" s="304"/>
      <c r="U178" s="304"/>
      <c r="V178" s="304"/>
      <c r="W178" s="304"/>
      <c r="X178" s="304"/>
      <c r="Y178" s="304"/>
      <c r="Z178" s="304"/>
    </row>
    <row r="179" ht="12.75" customHeight="1">
      <c r="A179" s="302"/>
      <c r="B179" s="302"/>
      <c r="C179" s="302"/>
      <c r="D179" s="302"/>
      <c r="E179" s="302"/>
      <c r="F179" s="302"/>
      <c r="G179" s="304"/>
      <c r="H179" s="304"/>
      <c r="I179" s="304"/>
      <c r="J179" s="304"/>
      <c r="K179" s="304"/>
      <c r="L179" s="304"/>
      <c r="M179" s="304"/>
      <c r="N179" s="304"/>
      <c r="O179" s="304"/>
      <c r="P179" s="304"/>
      <c r="Q179" s="304"/>
      <c r="R179" s="304"/>
      <c r="S179" s="304"/>
      <c r="T179" s="304"/>
      <c r="U179" s="304"/>
      <c r="V179" s="304"/>
      <c r="W179" s="304"/>
      <c r="X179" s="304"/>
      <c r="Y179" s="304"/>
      <c r="Z179" s="304"/>
    </row>
    <row r="180" ht="12.75" customHeight="1">
      <c r="A180" s="302"/>
      <c r="B180" s="302"/>
      <c r="C180" s="302"/>
      <c r="D180" s="302"/>
      <c r="E180" s="302"/>
      <c r="F180" s="302"/>
      <c r="G180" s="304"/>
      <c r="H180" s="304"/>
      <c r="I180" s="304"/>
      <c r="J180" s="304"/>
      <c r="K180" s="304"/>
      <c r="L180" s="304"/>
      <c r="M180" s="304"/>
      <c r="N180" s="304"/>
      <c r="O180" s="304"/>
      <c r="P180" s="304"/>
      <c r="Q180" s="304"/>
      <c r="R180" s="304"/>
      <c r="S180" s="304"/>
      <c r="T180" s="304"/>
      <c r="U180" s="304"/>
      <c r="V180" s="304"/>
      <c r="W180" s="304"/>
      <c r="X180" s="304"/>
      <c r="Y180" s="304"/>
      <c r="Z180" s="304"/>
    </row>
    <row r="181" ht="12.75" customHeight="1">
      <c r="A181" s="302"/>
      <c r="B181" s="302"/>
      <c r="C181" s="302"/>
      <c r="D181" s="302"/>
      <c r="E181" s="302"/>
      <c r="F181" s="302"/>
      <c r="G181" s="304"/>
      <c r="H181" s="304"/>
      <c r="I181" s="304"/>
      <c r="J181" s="304"/>
      <c r="K181" s="304"/>
      <c r="L181" s="304"/>
      <c r="M181" s="304"/>
      <c r="N181" s="304"/>
      <c r="O181" s="304"/>
      <c r="P181" s="304"/>
      <c r="Q181" s="304"/>
      <c r="R181" s="304"/>
      <c r="S181" s="304"/>
      <c r="T181" s="304"/>
      <c r="U181" s="304"/>
      <c r="V181" s="304"/>
      <c r="W181" s="304"/>
      <c r="X181" s="304"/>
      <c r="Y181" s="304"/>
      <c r="Z181" s="304"/>
    </row>
    <row r="182" ht="12.75" customHeight="1">
      <c r="A182" s="302"/>
      <c r="B182" s="302"/>
      <c r="C182" s="302"/>
      <c r="D182" s="302"/>
      <c r="E182" s="302"/>
      <c r="F182" s="302"/>
      <c r="G182" s="304"/>
      <c r="H182" s="304"/>
      <c r="I182" s="304"/>
      <c r="J182" s="304"/>
      <c r="K182" s="304"/>
      <c r="L182" s="304"/>
      <c r="M182" s="304"/>
      <c r="N182" s="304"/>
      <c r="O182" s="304"/>
      <c r="P182" s="304"/>
      <c r="Q182" s="304"/>
      <c r="R182" s="304"/>
      <c r="S182" s="304"/>
      <c r="T182" s="304"/>
      <c r="U182" s="304"/>
      <c r="V182" s="304"/>
      <c r="W182" s="304"/>
      <c r="X182" s="304"/>
      <c r="Y182" s="304"/>
      <c r="Z182" s="304"/>
    </row>
    <row r="183" ht="12.75" customHeight="1">
      <c r="A183" s="302"/>
      <c r="B183" s="302"/>
      <c r="C183" s="302"/>
      <c r="D183" s="302"/>
      <c r="E183" s="302"/>
      <c r="F183" s="302"/>
      <c r="G183" s="304"/>
      <c r="H183" s="304"/>
      <c r="I183" s="304"/>
      <c r="J183" s="304"/>
      <c r="K183" s="304"/>
      <c r="L183" s="304"/>
      <c r="M183" s="304"/>
      <c r="N183" s="304"/>
      <c r="O183" s="304"/>
      <c r="P183" s="304"/>
      <c r="Q183" s="304"/>
      <c r="R183" s="304"/>
      <c r="S183" s="304"/>
      <c r="T183" s="304"/>
      <c r="U183" s="304"/>
      <c r="V183" s="304"/>
      <c r="W183" s="304"/>
      <c r="X183" s="304"/>
      <c r="Y183" s="304"/>
      <c r="Z183" s="304"/>
    </row>
    <row r="184" ht="12.75" customHeight="1">
      <c r="A184" s="302"/>
      <c r="B184" s="302"/>
      <c r="C184" s="302"/>
      <c r="D184" s="302"/>
      <c r="E184" s="302"/>
      <c r="F184" s="302"/>
      <c r="G184" s="304"/>
      <c r="H184" s="304"/>
      <c r="I184" s="304"/>
      <c r="J184" s="304"/>
      <c r="K184" s="304"/>
      <c r="L184" s="304"/>
      <c r="M184" s="304"/>
      <c r="N184" s="304"/>
      <c r="O184" s="304"/>
      <c r="P184" s="304"/>
      <c r="Q184" s="304"/>
      <c r="R184" s="304"/>
      <c r="S184" s="304"/>
      <c r="T184" s="304"/>
      <c r="U184" s="304"/>
      <c r="V184" s="304"/>
      <c r="W184" s="304"/>
      <c r="X184" s="304"/>
      <c r="Y184" s="304"/>
      <c r="Z184" s="304"/>
    </row>
    <row r="185" ht="12.75" customHeight="1">
      <c r="A185" s="302"/>
      <c r="B185" s="302"/>
      <c r="C185" s="302"/>
      <c r="D185" s="302"/>
      <c r="E185" s="302"/>
      <c r="F185" s="302"/>
      <c r="G185" s="304"/>
      <c r="H185" s="304"/>
      <c r="I185" s="304"/>
      <c r="J185" s="304"/>
      <c r="K185" s="304"/>
      <c r="L185" s="304"/>
      <c r="M185" s="304"/>
      <c r="N185" s="304"/>
      <c r="O185" s="304"/>
      <c r="P185" s="304"/>
      <c r="Q185" s="304"/>
      <c r="R185" s="304"/>
      <c r="S185" s="304"/>
      <c r="T185" s="304"/>
      <c r="U185" s="304"/>
      <c r="V185" s="304"/>
      <c r="W185" s="304"/>
      <c r="X185" s="304"/>
      <c r="Y185" s="304"/>
      <c r="Z185" s="304"/>
    </row>
    <row r="186" ht="12.75" customHeight="1">
      <c r="A186" s="302"/>
      <c r="B186" s="302"/>
      <c r="C186" s="302"/>
      <c r="D186" s="302"/>
      <c r="E186" s="302"/>
      <c r="F186" s="302"/>
      <c r="G186" s="304"/>
      <c r="H186" s="304"/>
      <c r="I186" s="304"/>
      <c r="J186" s="304"/>
      <c r="K186" s="304"/>
      <c r="L186" s="304"/>
      <c r="M186" s="304"/>
      <c r="N186" s="304"/>
      <c r="O186" s="304"/>
      <c r="P186" s="304"/>
      <c r="Q186" s="304"/>
      <c r="R186" s="304"/>
      <c r="S186" s="304"/>
      <c r="T186" s="304"/>
      <c r="U186" s="304"/>
      <c r="V186" s="304"/>
      <c r="W186" s="304"/>
      <c r="X186" s="304"/>
      <c r="Y186" s="304"/>
      <c r="Z186" s="304"/>
    </row>
    <row r="187" ht="12.75" customHeight="1">
      <c r="A187" s="302"/>
      <c r="B187" s="302"/>
      <c r="C187" s="302"/>
      <c r="D187" s="302"/>
      <c r="E187" s="302"/>
      <c r="F187" s="302"/>
      <c r="G187" s="304"/>
      <c r="H187" s="304"/>
      <c r="I187" s="304"/>
      <c r="J187" s="304"/>
      <c r="K187" s="304"/>
      <c r="L187" s="304"/>
      <c r="M187" s="304"/>
      <c r="N187" s="304"/>
      <c r="O187" s="304"/>
      <c r="P187" s="304"/>
      <c r="Q187" s="304"/>
      <c r="R187" s="304"/>
      <c r="S187" s="304"/>
      <c r="T187" s="304"/>
      <c r="U187" s="304"/>
      <c r="V187" s="304"/>
      <c r="W187" s="304"/>
      <c r="X187" s="304"/>
      <c r="Y187" s="304"/>
      <c r="Z187" s="304"/>
    </row>
    <row r="188" ht="12.75" customHeight="1">
      <c r="A188" s="302"/>
      <c r="B188" s="302"/>
      <c r="C188" s="302"/>
      <c r="D188" s="302"/>
      <c r="E188" s="302"/>
      <c r="F188" s="302"/>
      <c r="G188" s="304"/>
      <c r="H188" s="304"/>
      <c r="I188" s="304"/>
      <c r="J188" s="304"/>
      <c r="K188" s="304"/>
      <c r="L188" s="304"/>
      <c r="M188" s="304"/>
      <c r="N188" s="304"/>
      <c r="O188" s="304"/>
      <c r="P188" s="304"/>
      <c r="Q188" s="304"/>
      <c r="R188" s="304"/>
      <c r="S188" s="304"/>
      <c r="T188" s="304"/>
      <c r="U188" s="304"/>
      <c r="V188" s="304"/>
      <c r="W188" s="304"/>
      <c r="X188" s="304"/>
      <c r="Y188" s="304"/>
      <c r="Z188" s="304"/>
    </row>
    <row r="189" ht="12.75" customHeight="1">
      <c r="A189" s="302"/>
      <c r="B189" s="302"/>
      <c r="C189" s="302"/>
      <c r="D189" s="302"/>
      <c r="E189" s="302"/>
      <c r="F189" s="302"/>
      <c r="G189" s="304"/>
      <c r="H189" s="304"/>
      <c r="I189" s="304"/>
      <c r="J189" s="304"/>
      <c r="K189" s="304"/>
      <c r="L189" s="304"/>
      <c r="M189" s="304"/>
      <c r="N189" s="304"/>
      <c r="O189" s="304"/>
      <c r="P189" s="304"/>
      <c r="Q189" s="304"/>
      <c r="R189" s="304"/>
      <c r="S189" s="304"/>
      <c r="T189" s="304"/>
      <c r="U189" s="304"/>
      <c r="V189" s="304"/>
      <c r="W189" s="304"/>
      <c r="X189" s="304"/>
      <c r="Y189" s="304"/>
      <c r="Z189" s="304"/>
    </row>
    <row r="190" ht="12.75" customHeight="1">
      <c r="A190" s="302"/>
      <c r="B190" s="302"/>
      <c r="C190" s="302"/>
      <c r="D190" s="302"/>
      <c r="E190" s="302"/>
      <c r="F190" s="302"/>
      <c r="G190" s="304"/>
      <c r="H190" s="304"/>
      <c r="I190" s="304"/>
      <c r="J190" s="304"/>
      <c r="K190" s="304"/>
      <c r="L190" s="304"/>
      <c r="M190" s="304"/>
      <c r="N190" s="304"/>
      <c r="O190" s="304"/>
      <c r="P190" s="304"/>
      <c r="Q190" s="304"/>
      <c r="R190" s="304"/>
      <c r="S190" s="304"/>
      <c r="T190" s="304"/>
      <c r="U190" s="304"/>
      <c r="V190" s="304"/>
      <c r="W190" s="304"/>
      <c r="X190" s="304"/>
      <c r="Y190" s="304"/>
      <c r="Z190" s="304"/>
    </row>
    <row r="191" ht="12.75" customHeight="1">
      <c r="A191" s="302"/>
      <c r="B191" s="302"/>
      <c r="C191" s="302"/>
      <c r="D191" s="302"/>
      <c r="E191" s="302"/>
      <c r="F191" s="302"/>
      <c r="G191" s="304"/>
      <c r="H191" s="304"/>
      <c r="I191" s="304"/>
      <c r="J191" s="304"/>
      <c r="K191" s="304"/>
      <c r="L191" s="304"/>
      <c r="M191" s="304"/>
      <c r="N191" s="304"/>
      <c r="O191" s="304"/>
      <c r="P191" s="304"/>
      <c r="Q191" s="304"/>
      <c r="R191" s="304"/>
      <c r="S191" s="304"/>
      <c r="T191" s="304"/>
      <c r="U191" s="304"/>
      <c r="V191" s="304"/>
      <c r="W191" s="304"/>
      <c r="X191" s="304"/>
      <c r="Y191" s="304"/>
      <c r="Z191" s="304"/>
    </row>
    <row r="192" ht="12.75" customHeight="1">
      <c r="A192" s="302"/>
      <c r="B192" s="302"/>
      <c r="C192" s="302"/>
      <c r="D192" s="302"/>
      <c r="E192" s="302"/>
      <c r="F192" s="302"/>
      <c r="G192" s="304"/>
      <c r="H192" s="304"/>
      <c r="I192" s="304"/>
      <c r="J192" s="304"/>
      <c r="K192" s="304"/>
      <c r="L192" s="304"/>
      <c r="M192" s="304"/>
      <c r="N192" s="304"/>
      <c r="O192" s="304"/>
      <c r="P192" s="304"/>
      <c r="Q192" s="304"/>
      <c r="R192" s="304"/>
      <c r="S192" s="304"/>
      <c r="T192" s="304"/>
      <c r="U192" s="304"/>
      <c r="V192" s="304"/>
      <c r="W192" s="304"/>
      <c r="X192" s="304"/>
      <c r="Y192" s="304"/>
      <c r="Z192" s="304"/>
    </row>
    <row r="193" ht="12.75" customHeight="1">
      <c r="A193" s="302"/>
      <c r="B193" s="302"/>
      <c r="C193" s="302"/>
      <c r="D193" s="302"/>
      <c r="E193" s="302"/>
      <c r="F193" s="302"/>
      <c r="G193" s="304"/>
      <c r="H193" s="304"/>
      <c r="I193" s="304"/>
      <c r="J193" s="304"/>
      <c r="K193" s="304"/>
      <c r="L193" s="304"/>
      <c r="M193" s="304"/>
      <c r="N193" s="304"/>
      <c r="O193" s="304"/>
      <c r="P193" s="304"/>
      <c r="Q193" s="304"/>
      <c r="R193" s="304"/>
      <c r="S193" s="304"/>
      <c r="T193" s="304"/>
      <c r="U193" s="304"/>
      <c r="V193" s="304"/>
      <c r="W193" s="304"/>
      <c r="X193" s="304"/>
      <c r="Y193" s="304"/>
      <c r="Z193" s="304"/>
    </row>
    <row r="194" ht="12.75" customHeight="1">
      <c r="A194" s="302"/>
      <c r="B194" s="302"/>
      <c r="C194" s="302"/>
      <c r="D194" s="302"/>
      <c r="E194" s="302"/>
      <c r="F194" s="302"/>
      <c r="G194" s="304"/>
      <c r="H194" s="304"/>
      <c r="I194" s="304"/>
      <c r="J194" s="304"/>
      <c r="K194" s="304"/>
      <c r="L194" s="304"/>
      <c r="M194" s="304"/>
      <c r="N194" s="304"/>
      <c r="O194" s="304"/>
      <c r="P194" s="304"/>
      <c r="Q194" s="304"/>
      <c r="R194" s="304"/>
      <c r="S194" s="304"/>
      <c r="T194" s="304"/>
      <c r="U194" s="304"/>
      <c r="V194" s="304"/>
      <c r="W194" s="304"/>
      <c r="X194" s="304"/>
      <c r="Y194" s="304"/>
      <c r="Z194" s="304"/>
    </row>
    <row r="195" ht="12.75" customHeight="1">
      <c r="A195" s="302"/>
      <c r="B195" s="302"/>
      <c r="C195" s="302"/>
      <c r="D195" s="302"/>
      <c r="E195" s="302"/>
      <c r="F195" s="302"/>
      <c r="G195" s="304"/>
      <c r="H195" s="304"/>
      <c r="I195" s="304"/>
      <c r="J195" s="304"/>
      <c r="K195" s="304"/>
      <c r="L195" s="304"/>
      <c r="M195" s="304"/>
      <c r="N195" s="304"/>
      <c r="O195" s="304"/>
      <c r="P195" s="304"/>
      <c r="Q195" s="304"/>
      <c r="R195" s="304"/>
      <c r="S195" s="304"/>
      <c r="T195" s="304"/>
      <c r="U195" s="304"/>
      <c r="V195" s="304"/>
      <c r="W195" s="304"/>
      <c r="X195" s="304"/>
      <c r="Y195" s="304"/>
      <c r="Z195" s="304"/>
    </row>
    <row r="196" ht="12.75" customHeight="1">
      <c r="A196" s="302"/>
      <c r="B196" s="302"/>
      <c r="C196" s="302"/>
      <c r="D196" s="302"/>
      <c r="E196" s="302"/>
      <c r="F196" s="302"/>
      <c r="G196" s="304"/>
      <c r="H196" s="304"/>
      <c r="I196" s="304"/>
      <c r="J196" s="304"/>
      <c r="K196" s="304"/>
      <c r="L196" s="304"/>
      <c r="M196" s="304"/>
      <c r="N196" s="304"/>
      <c r="O196" s="304"/>
      <c r="P196" s="304"/>
      <c r="Q196" s="304"/>
      <c r="R196" s="304"/>
      <c r="S196" s="304"/>
      <c r="T196" s="304"/>
      <c r="U196" s="304"/>
      <c r="V196" s="304"/>
      <c r="W196" s="304"/>
      <c r="X196" s="304"/>
      <c r="Y196" s="304"/>
      <c r="Z196" s="304"/>
    </row>
    <row r="197" ht="12.75" customHeight="1">
      <c r="A197" s="302"/>
      <c r="B197" s="302"/>
      <c r="C197" s="302"/>
      <c r="D197" s="302"/>
      <c r="E197" s="302"/>
      <c r="F197" s="302"/>
      <c r="G197" s="304"/>
      <c r="H197" s="304"/>
      <c r="I197" s="304"/>
      <c r="J197" s="304"/>
      <c r="K197" s="304"/>
      <c r="L197" s="304"/>
      <c r="M197" s="304"/>
      <c r="N197" s="304"/>
      <c r="O197" s="304"/>
      <c r="P197" s="304"/>
      <c r="Q197" s="304"/>
      <c r="R197" s="304"/>
      <c r="S197" s="304"/>
      <c r="T197" s="304"/>
      <c r="U197" s="304"/>
      <c r="V197" s="304"/>
      <c r="W197" s="304"/>
      <c r="X197" s="304"/>
      <c r="Y197" s="304"/>
      <c r="Z197" s="304"/>
    </row>
    <row r="198" ht="12.75" customHeight="1">
      <c r="A198" s="302"/>
      <c r="B198" s="302"/>
      <c r="C198" s="302"/>
      <c r="D198" s="302"/>
      <c r="E198" s="302"/>
      <c r="F198" s="302"/>
      <c r="G198" s="304"/>
      <c r="H198" s="304"/>
      <c r="I198" s="304"/>
      <c r="J198" s="304"/>
      <c r="K198" s="304"/>
      <c r="L198" s="304"/>
      <c r="M198" s="304"/>
      <c r="N198" s="304"/>
      <c r="O198" s="304"/>
      <c r="P198" s="304"/>
      <c r="Q198" s="304"/>
      <c r="R198" s="304"/>
      <c r="S198" s="304"/>
      <c r="T198" s="304"/>
      <c r="U198" s="304"/>
      <c r="V198" s="304"/>
      <c r="W198" s="304"/>
      <c r="X198" s="304"/>
      <c r="Y198" s="304"/>
      <c r="Z198" s="304"/>
    </row>
    <row r="199" ht="12.75" customHeight="1">
      <c r="A199" s="302"/>
      <c r="B199" s="302"/>
      <c r="C199" s="302"/>
      <c r="D199" s="302"/>
      <c r="E199" s="302"/>
      <c r="F199" s="302"/>
      <c r="G199" s="304"/>
      <c r="H199" s="304"/>
      <c r="I199" s="304"/>
      <c r="J199" s="304"/>
      <c r="K199" s="304"/>
      <c r="L199" s="304"/>
      <c r="M199" s="304"/>
      <c r="N199" s="304"/>
      <c r="O199" s="304"/>
      <c r="P199" s="304"/>
      <c r="Q199" s="304"/>
      <c r="R199" s="304"/>
      <c r="S199" s="304"/>
      <c r="T199" s="304"/>
      <c r="U199" s="304"/>
      <c r="V199" s="304"/>
      <c r="W199" s="304"/>
      <c r="X199" s="304"/>
      <c r="Y199" s="304"/>
      <c r="Z199" s="304"/>
    </row>
    <row r="200" ht="12.75" customHeight="1">
      <c r="A200" s="302"/>
      <c r="B200" s="302"/>
      <c r="C200" s="302"/>
      <c r="D200" s="302"/>
      <c r="E200" s="302"/>
      <c r="F200" s="302"/>
      <c r="G200" s="304"/>
      <c r="H200" s="304"/>
      <c r="I200" s="304"/>
      <c r="J200" s="304"/>
      <c r="K200" s="304"/>
      <c r="L200" s="304"/>
      <c r="M200" s="304"/>
      <c r="N200" s="304"/>
      <c r="O200" s="304"/>
      <c r="P200" s="304"/>
      <c r="Q200" s="304"/>
      <c r="R200" s="304"/>
      <c r="S200" s="304"/>
      <c r="T200" s="304"/>
      <c r="U200" s="304"/>
      <c r="V200" s="304"/>
      <c r="W200" s="304"/>
      <c r="X200" s="304"/>
      <c r="Y200" s="304"/>
      <c r="Z200" s="304"/>
    </row>
    <row r="201" ht="12.75" customHeight="1">
      <c r="A201" s="302"/>
      <c r="B201" s="302"/>
      <c r="C201" s="302"/>
      <c r="D201" s="302"/>
      <c r="E201" s="302"/>
      <c r="F201" s="302"/>
      <c r="G201" s="304"/>
      <c r="H201" s="304"/>
      <c r="I201" s="304"/>
      <c r="J201" s="304"/>
      <c r="K201" s="304"/>
      <c r="L201" s="304"/>
      <c r="M201" s="304"/>
      <c r="N201" s="304"/>
      <c r="O201" s="304"/>
      <c r="P201" s="304"/>
      <c r="Q201" s="304"/>
      <c r="R201" s="304"/>
      <c r="S201" s="304"/>
      <c r="T201" s="304"/>
      <c r="U201" s="304"/>
      <c r="V201" s="304"/>
      <c r="W201" s="304"/>
      <c r="X201" s="304"/>
      <c r="Y201" s="304"/>
      <c r="Z201" s="304"/>
    </row>
    <row r="202" ht="12.75" customHeight="1">
      <c r="A202" s="302"/>
      <c r="B202" s="302"/>
      <c r="C202" s="302"/>
      <c r="D202" s="302"/>
      <c r="E202" s="302"/>
      <c r="F202" s="302"/>
      <c r="G202" s="304"/>
      <c r="H202" s="304"/>
      <c r="I202" s="304"/>
      <c r="J202" s="304"/>
      <c r="K202" s="304"/>
      <c r="L202" s="304"/>
      <c r="M202" s="304"/>
      <c r="N202" s="304"/>
      <c r="O202" s="304"/>
      <c r="P202" s="304"/>
      <c r="Q202" s="304"/>
      <c r="R202" s="304"/>
      <c r="S202" s="304"/>
      <c r="T202" s="304"/>
      <c r="U202" s="304"/>
      <c r="V202" s="304"/>
      <c r="W202" s="304"/>
      <c r="X202" s="304"/>
      <c r="Y202" s="304"/>
      <c r="Z202" s="304"/>
    </row>
    <row r="203" ht="12.75" customHeight="1">
      <c r="A203" s="302"/>
      <c r="B203" s="302"/>
      <c r="C203" s="302"/>
      <c r="D203" s="302"/>
      <c r="E203" s="302"/>
      <c r="F203" s="302"/>
      <c r="G203" s="304"/>
      <c r="H203" s="304"/>
      <c r="I203" s="304"/>
      <c r="J203" s="304"/>
      <c r="K203" s="304"/>
      <c r="L203" s="304"/>
      <c r="M203" s="304"/>
      <c r="N203" s="304"/>
      <c r="O203" s="304"/>
      <c r="P203" s="304"/>
      <c r="Q203" s="304"/>
      <c r="R203" s="304"/>
      <c r="S203" s="304"/>
      <c r="T203" s="304"/>
      <c r="U203" s="304"/>
      <c r="V203" s="304"/>
      <c r="W203" s="304"/>
      <c r="X203" s="304"/>
      <c r="Y203" s="304"/>
      <c r="Z203" s="304"/>
    </row>
    <row r="204" ht="12.75" customHeight="1">
      <c r="A204" s="302"/>
      <c r="B204" s="302"/>
      <c r="C204" s="302"/>
      <c r="D204" s="302"/>
      <c r="E204" s="302"/>
      <c r="F204" s="302"/>
      <c r="G204" s="304"/>
      <c r="H204" s="304"/>
      <c r="I204" s="304"/>
      <c r="J204" s="304"/>
      <c r="K204" s="304"/>
      <c r="L204" s="304"/>
      <c r="M204" s="304"/>
      <c r="N204" s="304"/>
      <c r="O204" s="304"/>
      <c r="P204" s="304"/>
      <c r="Q204" s="304"/>
      <c r="R204" s="304"/>
      <c r="S204" s="304"/>
      <c r="T204" s="304"/>
      <c r="U204" s="304"/>
      <c r="V204" s="304"/>
      <c r="W204" s="304"/>
      <c r="X204" s="304"/>
      <c r="Y204" s="304"/>
      <c r="Z204" s="304"/>
    </row>
    <row r="205" ht="12.75" customHeight="1">
      <c r="A205" s="302"/>
      <c r="B205" s="302"/>
      <c r="C205" s="302"/>
      <c r="D205" s="302"/>
      <c r="E205" s="302"/>
      <c r="F205" s="302"/>
      <c r="G205" s="304"/>
      <c r="H205" s="304"/>
      <c r="I205" s="304"/>
      <c r="J205" s="304"/>
      <c r="K205" s="304"/>
      <c r="L205" s="304"/>
      <c r="M205" s="304"/>
      <c r="N205" s="304"/>
      <c r="O205" s="304"/>
      <c r="P205" s="304"/>
      <c r="Q205" s="304"/>
      <c r="R205" s="304"/>
      <c r="S205" s="304"/>
      <c r="T205" s="304"/>
      <c r="U205" s="304"/>
      <c r="V205" s="304"/>
      <c r="W205" s="304"/>
      <c r="X205" s="304"/>
      <c r="Y205" s="304"/>
      <c r="Z205" s="304"/>
    </row>
    <row r="206" ht="12.75" customHeight="1">
      <c r="A206" s="302"/>
      <c r="B206" s="302"/>
      <c r="C206" s="302"/>
      <c r="D206" s="302"/>
      <c r="E206" s="302"/>
      <c r="F206" s="302"/>
      <c r="G206" s="304"/>
      <c r="H206" s="304"/>
      <c r="I206" s="304"/>
      <c r="J206" s="304"/>
      <c r="K206" s="304"/>
      <c r="L206" s="304"/>
      <c r="M206" s="304"/>
      <c r="N206" s="304"/>
      <c r="O206" s="304"/>
      <c r="P206" s="304"/>
      <c r="Q206" s="304"/>
      <c r="R206" s="304"/>
      <c r="S206" s="304"/>
      <c r="T206" s="304"/>
      <c r="U206" s="304"/>
      <c r="V206" s="304"/>
      <c r="W206" s="304"/>
      <c r="X206" s="304"/>
      <c r="Y206" s="304"/>
      <c r="Z206" s="304"/>
    </row>
    <row r="207" ht="12.75" customHeight="1">
      <c r="A207" s="302"/>
      <c r="B207" s="302"/>
      <c r="C207" s="302"/>
      <c r="D207" s="302"/>
      <c r="E207" s="302"/>
      <c r="F207" s="302"/>
      <c r="G207" s="304"/>
      <c r="H207" s="304"/>
      <c r="I207" s="304"/>
      <c r="J207" s="304"/>
      <c r="K207" s="304"/>
      <c r="L207" s="304"/>
      <c r="M207" s="304"/>
      <c r="N207" s="304"/>
      <c r="O207" s="304"/>
      <c r="P207" s="304"/>
      <c r="Q207" s="304"/>
      <c r="R207" s="304"/>
      <c r="S207" s="304"/>
      <c r="T207" s="304"/>
      <c r="U207" s="304"/>
      <c r="V207" s="304"/>
      <c r="W207" s="304"/>
      <c r="X207" s="304"/>
      <c r="Y207" s="304"/>
      <c r="Z207" s="304"/>
    </row>
    <row r="208" ht="12.75" customHeight="1">
      <c r="A208" s="302"/>
      <c r="B208" s="302"/>
      <c r="C208" s="302"/>
      <c r="D208" s="302"/>
      <c r="E208" s="302"/>
      <c r="F208" s="302"/>
      <c r="G208" s="304"/>
      <c r="H208" s="304"/>
      <c r="I208" s="304"/>
      <c r="J208" s="304"/>
      <c r="K208" s="304"/>
      <c r="L208" s="304"/>
      <c r="M208" s="304"/>
      <c r="N208" s="304"/>
      <c r="O208" s="304"/>
      <c r="P208" s="304"/>
      <c r="Q208" s="304"/>
      <c r="R208" s="304"/>
      <c r="S208" s="304"/>
      <c r="T208" s="304"/>
      <c r="U208" s="304"/>
      <c r="V208" s="304"/>
      <c r="W208" s="304"/>
      <c r="X208" s="304"/>
      <c r="Y208" s="304"/>
      <c r="Z208" s="304"/>
    </row>
    <row r="209" ht="12.75" customHeight="1">
      <c r="A209" s="302"/>
      <c r="B209" s="302"/>
      <c r="C209" s="302"/>
      <c r="D209" s="302"/>
      <c r="E209" s="302"/>
      <c r="F209" s="302"/>
      <c r="G209" s="304"/>
      <c r="H209" s="304"/>
      <c r="I209" s="304"/>
      <c r="J209" s="304"/>
      <c r="K209" s="304"/>
      <c r="L209" s="304"/>
      <c r="M209" s="304"/>
      <c r="N209" s="304"/>
      <c r="O209" s="304"/>
      <c r="P209" s="304"/>
      <c r="Q209" s="304"/>
      <c r="R209" s="304"/>
      <c r="S209" s="304"/>
      <c r="T209" s="304"/>
      <c r="U209" s="304"/>
      <c r="V209" s="304"/>
      <c r="W209" s="304"/>
      <c r="X209" s="304"/>
      <c r="Y209" s="304"/>
      <c r="Z209" s="304"/>
    </row>
    <row r="210" ht="12.75" customHeight="1">
      <c r="A210" s="302"/>
      <c r="B210" s="302"/>
      <c r="C210" s="302"/>
      <c r="D210" s="302"/>
      <c r="E210" s="302"/>
      <c r="F210" s="302"/>
      <c r="G210" s="304"/>
      <c r="H210" s="304"/>
      <c r="I210" s="304"/>
      <c r="J210" s="304"/>
      <c r="K210" s="304"/>
      <c r="L210" s="304"/>
      <c r="M210" s="304"/>
      <c r="N210" s="304"/>
      <c r="O210" s="304"/>
      <c r="P210" s="304"/>
      <c r="Q210" s="304"/>
      <c r="R210" s="304"/>
      <c r="S210" s="304"/>
      <c r="T210" s="304"/>
      <c r="U210" s="304"/>
      <c r="V210" s="304"/>
      <c r="W210" s="304"/>
      <c r="X210" s="304"/>
      <c r="Y210" s="304"/>
      <c r="Z210" s="304"/>
    </row>
    <row r="211" ht="12.75" customHeight="1">
      <c r="A211" s="302"/>
      <c r="B211" s="302"/>
      <c r="C211" s="302"/>
      <c r="D211" s="302"/>
      <c r="E211" s="302"/>
      <c r="F211" s="302"/>
      <c r="G211" s="304"/>
      <c r="H211" s="304"/>
      <c r="I211" s="304"/>
      <c r="J211" s="304"/>
      <c r="K211" s="304"/>
      <c r="L211" s="304"/>
      <c r="M211" s="304"/>
      <c r="N211" s="304"/>
      <c r="O211" s="304"/>
      <c r="P211" s="304"/>
      <c r="Q211" s="304"/>
      <c r="R211" s="304"/>
      <c r="S211" s="304"/>
      <c r="T211" s="304"/>
      <c r="U211" s="304"/>
      <c r="V211" s="304"/>
      <c r="W211" s="304"/>
      <c r="X211" s="304"/>
      <c r="Y211" s="304"/>
      <c r="Z211" s="304"/>
    </row>
    <row r="212" ht="12.75" customHeight="1">
      <c r="A212" s="302"/>
      <c r="B212" s="302"/>
      <c r="C212" s="302"/>
      <c r="D212" s="302"/>
      <c r="E212" s="302"/>
      <c r="F212" s="302"/>
      <c r="G212" s="304"/>
      <c r="H212" s="304"/>
      <c r="I212" s="304"/>
      <c r="J212" s="304"/>
      <c r="K212" s="304"/>
      <c r="L212" s="304"/>
      <c r="M212" s="304"/>
      <c r="N212" s="304"/>
      <c r="O212" s="304"/>
      <c r="P212" s="304"/>
      <c r="Q212" s="304"/>
      <c r="R212" s="304"/>
      <c r="S212" s="304"/>
      <c r="T212" s="304"/>
      <c r="U212" s="304"/>
      <c r="V212" s="304"/>
      <c r="W212" s="304"/>
      <c r="X212" s="304"/>
      <c r="Y212" s="304"/>
      <c r="Z212" s="304"/>
    </row>
    <row r="213" ht="12.75" customHeight="1">
      <c r="A213" s="302"/>
      <c r="B213" s="302"/>
      <c r="C213" s="302"/>
      <c r="D213" s="302"/>
      <c r="E213" s="302"/>
      <c r="F213" s="302"/>
      <c r="G213" s="304"/>
      <c r="H213" s="304"/>
      <c r="I213" s="304"/>
      <c r="J213" s="304"/>
      <c r="K213" s="304"/>
      <c r="L213" s="304"/>
      <c r="M213" s="304"/>
      <c r="N213" s="304"/>
      <c r="O213" s="304"/>
      <c r="P213" s="304"/>
      <c r="Q213" s="304"/>
      <c r="R213" s="304"/>
      <c r="S213" s="304"/>
      <c r="T213" s="304"/>
      <c r="U213" s="304"/>
      <c r="V213" s="304"/>
      <c r="W213" s="304"/>
      <c r="X213" s="304"/>
      <c r="Y213" s="304"/>
      <c r="Z213" s="304"/>
    </row>
    <row r="214" ht="12.75" customHeight="1">
      <c r="A214" s="302"/>
      <c r="B214" s="302"/>
      <c r="C214" s="302"/>
      <c r="D214" s="302"/>
      <c r="E214" s="302"/>
      <c r="F214" s="302"/>
      <c r="G214" s="304"/>
      <c r="H214" s="304"/>
      <c r="I214" s="304"/>
      <c r="J214" s="304"/>
      <c r="K214" s="304"/>
      <c r="L214" s="304"/>
      <c r="M214" s="304"/>
      <c r="N214" s="304"/>
      <c r="O214" s="304"/>
      <c r="P214" s="304"/>
      <c r="Q214" s="304"/>
      <c r="R214" s="304"/>
      <c r="S214" s="304"/>
      <c r="T214" s="304"/>
      <c r="U214" s="304"/>
      <c r="V214" s="304"/>
      <c r="W214" s="304"/>
      <c r="X214" s="304"/>
      <c r="Y214" s="304"/>
      <c r="Z214" s="304"/>
    </row>
    <row r="215" ht="12.75" customHeight="1">
      <c r="A215" s="302"/>
      <c r="B215" s="302"/>
      <c r="C215" s="302"/>
      <c r="D215" s="302"/>
      <c r="E215" s="302"/>
      <c r="F215" s="302"/>
      <c r="G215" s="304"/>
      <c r="H215" s="304"/>
      <c r="I215" s="304"/>
      <c r="J215" s="304"/>
      <c r="K215" s="304"/>
      <c r="L215" s="304"/>
      <c r="M215" s="304"/>
      <c r="N215" s="304"/>
      <c r="O215" s="304"/>
      <c r="P215" s="304"/>
      <c r="Q215" s="304"/>
      <c r="R215" s="304"/>
      <c r="S215" s="304"/>
      <c r="T215" s="304"/>
      <c r="U215" s="304"/>
      <c r="V215" s="304"/>
      <c r="W215" s="304"/>
      <c r="X215" s="304"/>
      <c r="Y215" s="304"/>
      <c r="Z215" s="304"/>
    </row>
    <row r="216" ht="12.75" customHeight="1">
      <c r="A216" s="302"/>
      <c r="B216" s="302"/>
      <c r="C216" s="302"/>
      <c r="D216" s="302"/>
      <c r="E216" s="302"/>
      <c r="F216" s="302"/>
      <c r="G216" s="304"/>
      <c r="H216" s="304"/>
      <c r="I216" s="304"/>
      <c r="J216" s="304"/>
      <c r="K216" s="304"/>
      <c r="L216" s="304"/>
      <c r="M216" s="304"/>
      <c r="N216" s="304"/>
      <c r="O216" s="304"/>
      <c r="P216" s="304"/>
      <c r="Q216" s="304"/>
      <c r="R216" s="304"/>
      <c r="S216" s="304"/>
      <c r="T216" s="304"/>
      <c r="U216" s="304"/>
      <c r="V216" s="304"/>
      <c r="W216" s="304"/>
      <c r="X216" s="304"/>
      <c r="Y216" s="304"/>
      <c r="Z216" s="304"/>
    </row>
    <row r="217" ht="12.75" customHeight="1">
      <c r="A217" s="302"/>
      <c r="B217" s="302"/>
      <c r="C217" s="302"/>
      <c r="D217" s="302"/>
      <c r="E217" s="302"/>
      <c r="F217" s="302"/>
      <c r="G217" s="304"/>
      <c r="H217" s="304"/>
      <c r="I217" s="304"/>
      <c r="J217" s="304"/>
      <c r="K217" s="304"/>
      <c r="L217" s="304"/>
      <c r="M217" s="304"/>
      <c r="N217" s="304"/>
      <c r="O217" s="304"/>
      <c r="P217" s="304"/>
      <c r="Q217" s="304"/>
      <c r="R217" s="304"/>
      <c r="S217" s="304"/>
      <c r="T217" s="304"/>
      <c r="U217" s="304"/>
      <c r="V217" s="304"/>
      <c r="W217" s="304"/>
      <c r="X217" s="304"/>
      <c r="Y217" s="304"/>
      <c r="Z217" s="304"/>
    </row>
    <row r="218" ht="12.75" customHeight="1">
      <c r="A218" s="302"/>
      <c r="B218" s="302"/>
      <c r="C218" s="302"/>
      <c r="D218" s="302"/>
      <c r="E218" s="302"/>
      <c r="F218" s="302"/>
      <c r="G218" s="304"/>
      <c r="H218" s="304"/>
      <c r="I218" s="304"/>
      <c r="J218" s="304"/>
      <c r="K218" s="304"/>
      <c r="L218" s="304"/>
      <c r="M218" s="304"/>
      <c r="N218" s="304"/>
      <c r="O218" s="304"/>
      <c r="P218" s="304"/>
      <c r="Q218" s="304"/>
      <c r="R218" s="304"/>
      <c r="S218" s="304"/>
      <c r="T218" s="304"/>
      <c r="U218" s="304"/>
      <c r="V218" s="304"/>
      <c r="W218" s="304"/>
      <c r="X218" s="304"/>
      <c r="Y218" s="304"/>
      <c r="Z218" s="304"/>
    </row>
    <row r="219" ht="12.75" customHeight="1">
      <c r="A219" s="302"/>
      <c r="B219" s="302"/>
      <c r="C219" s="302"/>
      <c r="D219" s="302"/>
      <c r="E219" s="302"/>
      <c r="F219" s="302"/>
      <c r="G219" s="304"/>
      <c r="H219" s="304"/>
      <c r="I219" s="304"/>
      <c r="J219" s="304"/>
      <c r="K219" s="304"/>
      <c r="L219" s="304"/>
      <c r="M219" s="304"/>
      <c r="N219" s="304"/>
      <c r="O219" s="304"/>
      <c r="P219" s="304"/>
      <c r="Q219" s="304"/>
      <c r="R219" s="304"/>
      <c r="S219" s="304"/>
      <c r="T219" s="304"/>
      <c r="U219" s="304"/>
      <c r="V219" s="304"/>
      <c r="W219" s="304"/>
      <c r="X219" s="304"/>
      <c r="Y219" s="304"/>
      <c r="Z219" s="304"/>
    </row>
    <row r="220" ht="12.75" customHeight="1">
      <c r="A220" s="302"/>
      <c r="B220" s="302"/>
      <c r="C220" s="302"/>
      <c r="D220" s="302"/>
      <c r="E220" s="302"/>
      <c r="F220" s="302"/>
      <c r="G220" s="304"/>
      <c r="H220" s="304"/>
      <c r="I220" s="304"/>
      <c r="J220" s="304"/>
      <c r="K220" s="304"/>
      <c r="L220" s="304"/>
      <c r="M220" s="304"/>
      <c r="N220" s="304"/>
      <c r="O220" s="304"/>
      <c r="P220" s="304"/>
      <c r="Q220" s="304"/>
      <c r="R220" s="304"/>
      <c r="S220" s="304"/>
      <c r="T220" s="304"/>
      <c r="U220" s="304"/>
      <c r="V220" s="304"/>
      <c r="W220" s="304"/>
      <c r="X220" s="304"/>
      <c r="Y220" s="304"/>
      <c r="Z220" s="304"/>
    </row>
    <row r="221" ht="12.75" customHeight="1">
      <c r="A221" s="302"/>
      <c r="B221" s="302"/>
      <c r="C221" s="302"/>
      <c r="D221" s="302"/>
      <c r="E221" s="302"/>
      <c r="F221" s="302"/>
      <c r="G221" s="304"/>
      <c r="H221" s="304"/>
      <c r="I221" s="304"/>
      <c r="J221" s="304"/>
      <c r="K221" s="304"/>
      <c r="L221" s="304"/>
      <c r="M221" s="304"/>
      <c r="N221" s="304"/>
      <c r="O221" s="304"/>
      <c r="P221" s="304"/>
      <c r="Q221" s="304"/>
      <c r="R221" s="304"/>
      <c r="S221" s="304"/>
      <c r="T221" s="304"/>
      <c r="U221" s="304"/>
      <c r="V221" s="304"/>
      <c r="W221" s="304"/>
      <c r="X221" s="304"/>
      <c r="Y221" s="304"/>
      <c r="Z221" s="304"/>
    </row>
    <row r="222" ht="12.75" customHeight="1">
      <c r="A222" s="302"/>
      <c r="B222" s="302"/>
      <c r="C222" s="302"/>
      <c r="D222" s="302"/>
      <c r="E222" s="302"/>
      <c r="F222" s="302"/>
      <c r="G222" s="304"/>
      <c r="H222" s="304"/>
      <c r="I222" s="304"/>
      <c r="J222" s="304"/>
      <c r="K222" s="304"/>
      <c r="L222" s="304"/>
      <c r="M222" s="304"/>
      <c r="N222" s="304"/>
      <c r="O222" s="304"/>
      <c r="P222" s="304"/>
      <c r="Q222" s="304"/>
      <c r="R222" s="304"/>
      <c r="S222" s="304"/>
      <c r="T222" s="304"/>
      <c r="U222" s="304"/>
      <c r="V222" s="304"/>
      <c r="W222" s="304"/>
      <c r="X222" s="304"/>
      <c r="Y222" s="304"/>
      <c r="Z222" s="304"/>
    </row>
    <row r="223" ht="12.75" customHeight="1">
      <c r="A223" s="302"/>
      <c r="B223" s="302"/>
      <c r="C223" s="302"/>
      <c r="D223" s="302"/>
      <c r="E223" s="302"/>
      <c r="F223" s="302"/>
      <c r="G223" s="304"/>
      <c r="H223" s="304"/>
      <c r="I223" s="304"/>
      <c r="J223" s="304"/>
      <c r="K223" s="304"/>
      <c r="L223" s="304"/>
      <c r="M223" s="304"/>
      <c r="N223" s="304"/>
      <c r="O223" s="304"/>
      <c r="P223" s="304"/>
      <c r="Q223" s="304"/>
      <c r="R223" s="304"/>
      <c r="S223" s="304"/>
      <c r="T223" s="304"/>
      <c r="U223" s="304"/>
      <c r="V223" s="304"/>
      <c r="W223" s="304"/>
      <c r="X223" s="304"/>
      <c r="Y223" s="304"/>
      <c r="Z223" s="304"/>
    </row>
    <row r="224" ht="12.75" customHeight="1">
      <c r="A224" s="302"/>
      <c r="B224" s="302"/>
      <c r="C224" s="302"/>
      <c r="D224" s="302"/>
      <c r="E224" s="302"/>
      <c r="F224" s="302"/>
      <c r="G224" s="304"/>
      <c r="H224" s="304"/>
      <c r="I224" s="304"/>
      <c r="J224" s="304"/>
      <c r="K224" s="304"/>
      <c r="L224" s="304"/>
      <c r="M224" s="304"/>
      <c r="N224" s="304"/>
      <c r="O224" s="304"/>
      <c r="P224" s="304"/>
      <c r="Q224" s="304"/>
      <c r="R224" s="304"/>
      <c r="S224" s="304"/>
      <c r="T224" s="304"/>
      <c r="U224" s="304"/>
      <c r="V224" s="304"/>
      <c r="W224" s="304"/>
      <c r="X224" s="304"/>
      <c r="Y224" s="304"/>
      <c r="Z224" s="304"/>
    </row>
    <row r="225" ht="12.75" customHeight="1">
      <c r="A225" s="302"/>
      <c r="B225" s="302"/>
      <c r="C225" s="302"/>
      <c r="D225" s="302"/>
      <c r="E225" s="302"/>
      <c r="F225" s="302"/>
      <c r="G225" s="304"/>
      <c r="H225" s="304"/>
      <c r="I225" s="304"/>
      <c r="J225" s="304"/>
      <c r="K225" s="304"/>
      <c r="L225" s="304"/>
      <c r="M225" s="304"/>
      <c r="N225" s="304"/>
      <c r="O225" s="304"/>
      <c r="P225" s="304"/>
      <c r="Q225" s="304"/>
      <c r="R225" s="304"/>
      <c r="S225" s="304"/>
      <c r="T225" s="304"/>
      <c r="U225" s="304"/>
      <c r="V225" s="304"/>
      <c r="W225" s="304"/>
      <c r="X225" s="304"/>
      <c r="Y225" s="304"/>
      <c r="Z225" s="304"/>
    </row>
    <row r="226" ht="12.75" customHeight="1">
      <c r="A226" s="302"/>
      <c r="B226" s="302"/>
      <c r="C226" s="302"/>
      <c r="D226" s="302"/>
      <c r="E226" s="302"/>
      <c r="F226" s="302"/>
      <c r="G226" s="304"/>
      <c r="H226" s="304"/>
      <c r="I226" s="304"/>
      <c r="J226" s="304"/>
      <c r="K226" s="304"/>
      <c r="L226" s="304"/>
      <c r="M226" s="304"/>
      <c r="N226" s="304"/>
      <c r="O226" s="304"/>
      <c r="P226" s="304"/>
      <c r="Q226" s="304"/>
      <c r="R226" s="304"/>
      <c r="S226" s="304"/>
      <c r="T226" s="304"/>
      <c r="U226" s="304"/>
      <c r="V226" s="304"/>
      <c r="W226" s="304"/>
      <c r="X226" s="304"/>
      <c r="Y226" s="304"/>
      <c r="Z226" s="304"/>
    </row>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D1"/>
    <mergeCell ref="G1:L1"/>
    <mergeCell ref="H19:I21"/>
  </mergeCells>
  <printOptions/>
  <pageMargins bottom="1.0" footer="0.0" header="0.0" left="0.75" right="0.75" top="1.0"/>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6923C"/>
    <outlinePr summaryBelow="0" summaryRight="0"/>
    <pageSetUpPr fitToPage="1"/>
  </sheetPr>
  <sheetViews>
    <sheetView workbookViewId="0"/>
  </sheetViews>
  <sheetFormatPr customHeight="1" defaultColWidth="12.63" defaultRowHeight="15.0"/>
  <cols>
    <col customWidth="1" min="1" max="1" width="29.25"/>
    <col customWidth="1" min="2" max="2" width="8.13"/>
    <col customWidth="1" min="3" max="3" width="18.38"/>
    <col customWidth="1" min="4" max="4" width="11.38"/>
    <col customWidth="1" min="5" max="5" width="11.13"/>
    <col customWidth="1" min="6" max="6" width="10.38"/>
    <col customWidth="1" min="7" max="7" width="9.38"/>
    <col customWidth="1" min="8" max="8" width="10.38"/>
    <col customWidth="1" min="9" max="9" width="10.13"/>
    <col customWidth="1" min="10" max="10" width="10.88"/>
  </cols>
  <sheetData>
    <row r="1" ht="15.75" customHeight="1">
      <c r="A1" s="1" t="s">
        <v>215</v>
      </c>
      <c r="G1" s="336" t="s">
        <v>216</v>
      </c>
      <c r="N1" s="304"/>
      <c r="O1" s="6" t="s">
        <v>217</v>
      </c>
      <c r="P1" s="7"/>
      <c r="Q1" s="7"/>
      <c r="R1" s="8"/>
      <c r="S1" s="304"/>
      <c r="T1" s="304"/>
      <c r="U1" s="304"/>
      <c r="V1" s="304"/>
      <c r="W1" s="304"/>
      <c r="X1" s="304"/>
      <c r="Y1" s="304"/>
      <c r="Z1" s="304"/>
    </row>
    <row r="2" ht="15.75" customHeight="1">
      <c r="A2" s="337"/>
      <c r="B2" s="337"/>
      <c r="C2" s="337"/>
      <c r="D2" s="337"/>
      <c r="E2" s="337"/>
      <c r="F2" s="337"/>
      <c r="G2" s="302"/>
      <c r="H2" s="302"/>
      <c r="I2" s="302"/>
      <c r="J2" s="302"/>
      <c r="K2" s="302"/>
      <c r="L2" s="304"/>
      <c r="M2" s="304"/>
      <c r="N2" s="304"/>
      <c r="O2" s="304"/>
      <c r="P2" s="304"/>
      <c r="Q2" s="304"/>
      <c r="R2" s="304"/>
      <c r="S2" s="304"/>
      <c r="T2" s="304"/>
      <c r="U2" s="304"/>
      <c r="V2" s="304"/>
      <c r="W2" s="304"/>
      <c r="X2" s="304"/>
      <c r="Y2" s="304"/>
      <c r="Z2" s="304"/>
    </row>
    <row r="3" ht="15.75" customHeight="1">
      <c r="A3" s="338" t="s">
        <v>11</v>
      </c>
      <c r="B3" s="302"/>
      <c r="C3" s="302"/>
      <c r="D3" s="302"/>
      <c r="E3" s="302"/>
      <c r="F3" s="302"/>
      <c r="G3" s="302"/>
      <c r="H3" s="302"/>
      <c r="I3" s="302"/>
      <c r="J3" s="302"/>
      <c r="K3" s="302"/>
      <c r="L3" s="304"/>
      <c r="M3" s="304"/>
      <c r="N3" s="304"/>
      <c r="O3" s="304"/>
      <c r="P3" s="304"/>
      <c r="Q3" s="304"/>
      <c r="R3" s="304"/>
      <c r="S3" s="304"/>
      <c r="T3" s="304"/>
      <c r="U3" s="304"/>
      <c r="V3" s="304"/>
      <c r="W3" s="304"/>
      <c r="X3" s="304"/>
      <c r="Y3" s="304"/>
      <c r="Z3" s="304"/>
    </row>
    <row r="4" ht="15.75" customHeight="1">
      <c r="A4" s="339" t="s">
        <v>218</v>
      </c>
      <c r="B4" s="28"/>
      <c r="C4" s="29"/>
      <c r="D4" s="340" t="s">
        <v>219</v>
      </c>
      <c r="E4" s="28"/>
      <c r="F4" s="28"/>
      <c r="G4" s="28"/>
      <c r="H4" s="28"/>
      <c r="I4" s="28"/>
      <c r="J4" s="29"/>
      <c r="K4" s="341"/>
      <c r="L4" s="342"/>
      <c r="M4" s="342"/>
      <c r="N4" s="304"/>
      <c r="O4" s="304"/>
      <c r="P4" s="304"/>
      <c r="Q4" s="304"/>
      <c r="R4" s="304"/>
      <c r="S4" s="304"/>
      <c r="T4" s="304"/>
      <c r="U4" s="304"/>
      <c r="V4" s="304"/>
      <c r="W4" s="304"/>
      <c r="X4" s="304"/>
      <c r="Y4" s="304"/>
      <c r="Z4" s="304"/>
    </row>
    <row r="5" ht="15.75" customHeight="1">
      <c r="A5" s="343" t="s">
        <v>220</v>
      </c>
      <c r="B5" s="344" t="s">
        <v>221</v>
      </c>
      <c r="C5" s="345" t="s">
        <v>17</v>
      </c>
      <c r="D5" s="344" t="s">
        <v>5</v>
      </c>
      <c r="E5" s="344" t="s">
        <v>174</v>
      </c>
      <c r="F5" s="344" t="s">
        <v>8</v>
      </c>
      <c r="G5" s="344" t="s">
        <v>222</v>
      </c>
      <c r="H5" s="344" t="s">
        <v>125</v>
      </c>
      <c r="I5" s="344" t="s">
        <v>130</v>
      </c>
      <c r="J5" s="345" t="s">
        <v>133</v>
      </c>
      <c r="K5" s="341"/>
      <c r="L5" s="341"/>
      <c r="M5" s="341"/>
      <c r="N5" s="302"/>
      <c r="O5" s="302"/>
      <c r="P5" s="302"/>
      <c r="Q5" s="302"/>
      <c r="R5" s="302"/>
      <c r="S5" s="302"/>
      <c r="T5" s="302"/>
      <c r="U5" s="302"/>
      <c r="V5" s="302"/>
      <c r="W5" s="302"/>
      <c r="X5" s="302"/>
      <c r="Y5" s="302"/>
      <c r="Z5" s="302"/>
    </row>
    <row r="6" ht="15.75" customHeight="1">
      <c r="A6" s="346" t="s">
        <v>223</v>
      </c>
      <c r="B6" s="347">
        <f>IFERROR(__xludf.DUMMYFUNCTION("IMPORTRANGE(""https://docs.google.com/spreadsheets/d/1fpr4iXJjYPIWfqLVGaDLSDFHokxxaVbtvYkSxFtDSHM/edit#gid=1391174979"", ""'CV Coop LLP Primary Alloc'!A10:B21"")"),2696.0)</f>
        <v>2696</v>
      </c>
      <c r="C6" s="348" t="str">
        <f>IFERROR(__xludf.DUMMYFUNCTION("""COMPUTED_VALUE"""),"MAR PACIFICO")</f>
        <v>MAR PACIFICO</v>
      </c>
      <c r="D6" s="349">
        <f>IFERROR(__xludf.DUMMYFUNCTION("IMPORTRANGE(""https://docs.google.com/spreadsheets/d/1fpr4iXJjYPIWfqLVGaDLSDFHokxxaVbtvYkSxFtDSHM/edit#gid=1391174979"", ""'CV Coop LLP Primary Alloc'!P10:R21"")"),0.03289067304406104)</f>
        <v>0.03289067304</v>
      </c>
      <c r="E6" s="350">
        <f>IFERROR(__xludf.DUMMYFUNCTION("""COMPUTED_VALUE"""),0.045166541917650946)</f>
        <v>0.04516654192</v>
      </c>
      <c r="F6" s="350">
        <f>IFERROR(__xludf.DUMMYFUNCTION("""COMPUTED_VALUE"""),0.04004531136708432)</f>
        <v>0.04004531137</v>
      </c>
      <c r="G6" s="350">
        <f>IFERROR(__xludf.DUMMYFUNCTION("IMPORTRANGE(""https://docs.google.com/spreadsheets/d/1fpr4iXJjYPIWfqLVGaDLSDFHokxxaVbtvYkSxFtDSHM/edit#gid=1392452204"", ""'CV Secondary &amp; PSC Alloc'!G23:G34"")"),0.03736776170738255)</f>
        <v>0.03736776171</v>
      </c>
      <c r="H6" s="350">
        <f t="shared" ref="H6:H17" si="1">G6</f>
        <v>0.03736776171</v>
      </c>
      <c r="I6" s="350">
        <f t="shared" ref="I6:I13" si="2">G6</f>
        <v>0.03736776171</v>
      </c>
      <c r="J6" s="351">
        <f t="shared" ref="J6:J13" si="3">G6</f>
        <v>0.03736776171</v>
      </c>
      <c r="K6" s="341"/>
      <c r="L6" s="342"/>
      <c r="M6" s="342"/>
      <c r="N6" s="304"/>
      <c r="O6" s="304"/>
      <c r="P6" s="304"/>
      <c r="Q6" s="304"/>
      <c r="R6" s="304"/>
      <c r="S6" s="304"/>
      <c r="T6" s="304"/>
      <c r="U6" s="304"/>
      <c r="V6" s="304"/>
      <c r="W6" s="304"/>
      <c r="X6" s="304"/>
      <c r="Y6" s="304"/>
      <c r="Z6" s="304"/>
    </row>
    <row r="7" ht="15.75" customHeight="1">
      <c r="A7" s="352" t="s">
        <v>224</v>
      </c>
      <c r="B7" s="341">
        <f>IFERROR(__xludf.DUMMYFUNCTION("""COMPUTED_VALUE"""),1554.0)</f>
        <v>1554</v>
      </c>
      <c r="C7" s="353" t="str">
        <f>IFERROR(__xludf.DUMMYFUNCTION("""COMPUTED_VALUE"""),"CHELLISSA")</f>
        <v>CHELLISSA</v>
      </c>
      <c r="D7" s="354">
        <f>IFERROR(__xludf.DUMMYFUNCTION("""COMPUTED_VALUE"""),0.008504696196159943)</f>
        <v>0.008504696196</v>
      </c>
      <c r="E7" s="355">
        <f>IFERROR(__xludf.DUMMYFUNCTION("""COMPUTED_VALUE"""),0.008607790175494375)</f>
        <v>0.008607790175</v>
      </c>
      <c r="F7" s="355">
        <f>IFERROR(__xludf.DUMMYFUNCTION("""COMPUTED_VALUE"""),0.008272957777283875)</f>
        <v>0.008272957777</v>
      </c>
      <c r="G7" s="355">
        <f>IFERROR(__xludf.DUMMYFUNCTION("""COMPUTED_VALUE"""),0.008489268723574103)</f>
        <v>0.008489268724</v>
      </c>
      <c r="H7" s="355">
        <f t="shared" si="1"/>
        <v>0.008489268724</v>
      </c>
      <c r="I7" s="355">
        <f t="shared" si="2"/>
        <v>0.008489268724</v>
      </c>
      <c r="J7" s="356">
        <f t="shared" si="3"/>
        <v>0.008489268724</v>
      </c>
      <c r="K7" s="341"/>
      <c r="L7" s="342"/>
      <c r="M7" s="342"/>
      <c r="N7" s="341"/>
      <c r="O7" s="341"/>
      <c r="P7" s="304"/>
      <c r="Q7" s="304"/>
      <c r="R7" s="304"/>
      <c r="S7" s="304"/>
      <c r="T7" s="304"/>
      <c r="U7" s="304"/>
      <c r="V7" s="304"/>
      <c r="W7" s="304"/>
      <c r="X7" s="304"/>
      <c r="Y7" s="304"/>
      <c r="Z7" s="304"/>
    </row>
    <row r="8" ht="15.75" customHeight="1">
      <c r="A8" s="352" t="s">
        <v>225</v>
      </c>
      <c r="B8" s="341">
        <f>IFERROR(__xludf.DUMMYFUNCTION("""COMPUTED_VALUE"""),2165.0)</f>
        <v>2165</v>
      </c>
      <c r="C8" s="353" t="str">
        <f>IFERROR(__xludf.DUMMYFUNCTION("""COMPUTED_VALUE"""),"DAWN")</f>
        <v>DAWN</v>
      </c>
      <c r="D8" s="354">
        <f>IFERROR(__xludf.DUMMYFUNCTION("""COMPUTED_VALUE"""),0.02095199184296895)</f>
        <v>0.02095199184</v>
      </c>
      <c r="E8" s="355">
        <f>IFERROR(__xludf.DUMMYFUNCTION("""COMPUTED_VALUE"""),0.011085415880454821)</f>
        <v>0.01108541588</v>
      </c>
      <c r="F8" s="355">
        <f>IFERROR(__xludf.DUMMYFUNCTION("""COMPUTED_VALUE"""),0.01741954597184995)</f>
        <v>0.01741954597</v>
      </c>
      <c r="G8" s="355">
        <f>IFERROR(__xludf.DUMMYFUNCTION("""COMPUTED_VALUE"""),0.017756615587427874)</f>
        <v>0.01775661559</v>
      </c>
      <c r="H8" s="355">
        <f t="shared" si="1"/>
        <v>0.01775661559</v>
      </c>
      <c r="I8" s="355">
        <f t="shared" si="2"/>
        <v>0.01775661559</v>
      </c>
      <c r="J8" s="356">
        <f t="shared" si="3"/>
        <v>0.01775661559</v>
      </c>
      <c r="K8" s="341"/>
      <c r="L8" s="342"/>
      <c r="M8" s="342"/>
      <c r="N8" s="341"/>
      <c r="O8" s="341"/>
      <c r="P8" s="304"/>
      <c r="Q8" s="304"/>
      <c r="R8" s="304"/>
      <c r="S8" s="304"/>
      <c r="T8" s="304"/>
      <c r="U8" s="304"/>
      <c r="V8" s="304"/>
      <c r="W8" s="304"/>
      <c r="X8" s="304"/>
      <c r="Y8" s="304"/>
      <c r="Z8" s="304"/>
    </row>
    <row r="9" ht="15.75" customHeight="1">
      <c r="A9" s="352" t="s">
        <v>226</v>
      </c>
      <c r="B9" s="341">
        <f>IFERROR(__xludf.DUMMYFUNCTION("""COMPUTED_VALUE"""),1841.0)</f>
        <v>1841</v>
      </c>
      <c r="C9" s="353" t="str">
        <f>IFERROR(__xludf.DUMMYFUNCTION("""COMPUTED_VALUE"""),"MAR DEL NORTE")</f>
        <v>MAR DEL NORTE</v>
      </c>
      <c r="D9" s="354">
        <f>IFERROR(__xludf.DUMMYFUNCTION("""COMPUTED_VALUE"""),0.02466034231650522)</f>
        <v>0.02466034232</v>
      </c>
      <c r="E9" s="355">
        <f>IFERROR(__xludf.DUMMYFUNCTION("""COMPUTED_VALUE"""),0.027573435759397233)</f>
        <v>0.02757343576</v>
      </c>
      <c r="F9" s="355">
        <f>IFERROR(__xludf.DUMMYFUNCTION("""COMPUTED_VALUE"""),0.02242762823351406)</f>
        <v>0.02242762823</v>
      </c>
      <c r="G9" s="355">
        <f>IFERROR(__xludf.DUMMYFUNCTION("""COMPUTED_VALUE"""),0.025008560845720826)</f>
        <v>0.02500856085</v>
      </c>
      <c r="H9" s="355">
        <f t="shared" si="1"/>
        <v>0.02500856085</v>
      </c>
      <c r="I9" s="355">
        <f t="shared" si="2"/>
        <v>0.02500856085</v>
      </c>
      <c r="J9" s="356">
        <f t="shared" si="3"/>
        <v>0.02500856085</v>
      </c>
      <c r="K9" s="341"/>
      <c r="L9" s="342"/>
      <c r="M9" s="342"/>
      <c r="N9" s="341"/>
      <c r="O9" s="341"/>
      <c r="P9" s="304"/>
      <c r="Q9" s="304"/>
      <c r="R9" s="304"/>
      <c r="S9" s="304"/>
      <c r="T9" s="304"/>
      <c r="U9" s="304"/>
      <c r="V9" s="304"/>
      <c r="W9" s="304"/>
      <c r="X9" s="304"/>
      <c r="Y9" s="304"/>
      <c r="Z9" s="304"/>
    </row>
    <row r="10" ht="15.75" customHeight="1">
      <c r="A10" s="352" t="s">
        <v>227</v>
      </c>
      <c r="B10" s="341">
        <f>IFERROR(__xludf.DUMMYFUNCTION("""COMPUTED_VALUE"""),4851.0)</f>
        <v>4851</v>
      </c>
      <c r="C10" s="353" t="str">
        <f>IFERROR(__xludf.DUMMYFUNCTION("""COMPUTED_VALUE"""),"PK FISH HOLDINGS")</f>
        <v>PK FISH HOLDINGS</v>
      </c>
      <c r="D10" s="354">
        <f>IFERROR(__xludf.DUMMYFUNCTION("""COMPUTED_VALUE"""),0.018349069875728208)</f>
        <v>0.01834906988</v>
      </c>
      <c r="E10" s="355">
        <f>IFERROR(__xludf.DUMMYFUNCTION("""COMPUTED_VALUE"""),0.021917286322302696)</f>
        <v>0.02191728632</v>
      </c>
      <c r="F10" s="355">
        <f>IFERROR(__xludf.DUMMYFUNCTION("""COMPUTED_VALUE"""),0.013352679375327567)</f>
        <v>0.01335267938</v>
      </c>
      <c r="G10" s="355">
        <f>IFERROR(__xludf.DUMMYFUNCTION("""COMPUTED_VALUE"""),0.01836465639772984)</f>
        <v>0.0183646564</v>
      </c>
      <c r="H10" s="355">
        <f t="shared" si="1"/>
        <v>0.0183646564</v>
      </c>
      <c r="I10" s="355">
        <f t="shared" si="2"/>
        <v>0.0183646564</v>
      </c>
      <c r="J10" s="356">
        <f t="shared" si="3"/>
        <v>0.0183646564</v>
      </c>
      <c r="K10" s="341"/>
      <c r="L10" s="342"/>
      <c r="M10" s="342"/>
      <c r="N10" s="341"/>
      <c r="O10" s="341"/>
      <c r="P10" s="304"/>
      <c r="Q10" s="304"/>
      <c r="R10" s="304"/>
      <c r="S10" s="304"/>
      <c r="T10" s="304"/>
      <c r="U10" s="304"/>
      <c r="V10" s="304"/>
      <c r="W10" s="304"/>
      <c r="X10" s="304"/>
      <c r="Y10" s="304"/>
      <c r="Z10" s="304"/>
    </row>
    <row r="11" ht="15.75" customHeight="1">
      <c r="A11" s="352" t="s">
        <v>228</v>
      </c>
      <c r="B11" s="341">
        <f>IFERROR(__xludf.DUMMYFUNCTION("""COMPUTED_VALUE"""),3665.0)</f>
        <v>3665</v>
      </c>
      <c r="C11" s="353" t="str">
        <f>IFERROR(__xludf.DUMMYFUNCTION("""COMPUTED_VALUE"""),"EVIE GRACE")</f>
        <v>EVIE GRACE</v>
      </c>
      <c r="D11" s="354">
        <f>IFERROR(__xludf.DUMMYFUNCTION("""COMPUTED_VALUE"""),0.04176786761364475)</f>
        <v>0.04176786761</v>
      </c>
      <c r="E11" s="355">
        <f>IFERROR(__xludf.DUMMYFUNCTION("""COMPUTED_VALUE"""),0.04670766726162351)</f>
        <v>0.04670766726</v>
      </c>
      <c r="F11" s="355">
        <f>IFERROR(__xludf.DUMMYFUNCTION("""COMPUTED_VALUE"""),0.03981633234206593)</f>
        <v>0.03981633234</v>
      </c>
      <c r="G11" s="355">
        <f>IFERROR(__xludf.DUMMYFUNCTION("""COMPUTED_VALUE"""),0.042691697181148465)</f>
        <v>0.04269169718</v>
      </c>
      <c r="H11" s="355">
        <f t="shared" si="1"/>
        <v>0.04269169718</v>
      </c>
      <c r="I11" s="355">
        <f t="shared" si="2"/>
        <v>0.04269169718</v>
      </c>
      <c r="J11" s="356">
        <f t="shared" si="3"/>
        <v>0.04269169718</v>
      </c>
      <c r="K11" s="341"/>
      <c r="L11" s="342"/>
      <c r="M11" s="342"/>
      <c r="N11" s="341"/>
      <c r="O11" s="341"/>
      <c r="P11" s="304"/>
      <c r="Q11" s="304"/>
      <c r="R11" s="304"/>
      <c r="S11" s="304"/>
      <c r="T11" s="304"/>
      <c r="U11" s="304"/>
      <c r="V11" s="304"/>
      <c r="W11" s="304"/>
      <c r="X11" s="304"/>
      <c r="Y11" s="304"/>
      <c r="Z11" s="304"/>
    </row>
    <row r="12" ht="15.75" customHeight="1">
      <c r="A12" s="352" t="s">
        <v>229</v>
      </c>
      <c r="B12" s="341">
        <f>IFERROR(__xludf.DUMMYFUNCTION("""COMPUTED_VALUE"""),3496.0)</f>
        <v>3496</v>
      </c>
      <c r="C12" s="353" t="str">
        <f>IFERROR(__xludf.DUMMYFUNCTION("""COMPUTED_VALUE"""),"MiRoCo")</f>
        <v>MiRoCo</v>
      </c>
      <c r="D12" s="354">
        <f>IFERROR(__xludf.DUMMYFUNCTION("""COMPUTED_VALUE"""),0.016202912580615066)</f>
        <v>0.01620291258</v>
      </c>
      <c r="E12" s="355">
        <f>IFERROR(__xludf.DUMMYFUNCTION("""COMPUTED_VALUE"""),0.034475369918002895)</f>
        <v>0.03447536992</v>
      </c>
      <c r="F12" s="355">
        <f>IFERROR(__xludf.DUMMYFUNCTION("""COMPUTED_VALUE"""),0.03406132275876516)</f>
        <v>0.03406132276</v>
      </c>
      <c r="G12" s="355">
        <f>IFERROR(__xludf.DUMMYFUNCTION("""COMPUTED_VALUE"""),0.02417689320528312)</f>
        <v>0.02417689321</v>
      </c>
      <c r="H12" s="355">
        <f t="shared" si="1"/>
        <v>0.02417689321</v>
      </c>
      <c r="I12" s="355">
        <f t="shared" si="2"/>
        <v>0.02417689321</v>
      </c>
      <c r="J12" s="356">
        <f t="shared" si="3"/>
        <v>0.02417689321</v>
      </c>
      <c r="K12" s="341"/>
      <c r="L12" s="342"/>
      <c r="M12" s="342"/>
      <c r="N12" s="341"/>
      <c r="O12" s="341"/>
      <c r="P12" s="304"/>
      <c r="Q12" s="304"/>
      <c r="R12" s="304"/>
      <c r="S12" s="304"/>
      <c r="T12" s="304"/>
      <c r="U12" s="304"/>
      <c r="V12" s="304"/>
      <c r="W12" s="304"/>
      <c r="X12" s="304"/>
      <c r="Y12" s="304"/>
      <c r="Z12" s="304"/>
    </row>
    <row r="13" ht="15.75" customHeight="1">
      <c r="A13" s="352" t="s">
        <v>230</v>
      </c>
      <c r="B13" s="341">
        <f>IFERROR(__xludf.DUMMYFUNCTION("""COMPUTED_VALUE"""),2319.0)</f>
        <v>2319</v>
      </c>
      <c r="C13" s="353" t="str">
        <f>IFERROR(__xludf.DUMMYFUNCTION("""COMPUTED_VALUE"""),"LAURA")</f>
        <v>LAURA</v>
      </c>
      <c r="D13" s="354">
        <f>IFERROR(__xludf.DUMMYFUNCTION("""COMPUTED_VALUE"""),0.01618306266729302)</f>
        <v>0.01618306267</v>
      </c>
      <c r="E13" s="355">
        <f>IFERROR(__xludf.DUMMYFUNCTION("""COMPUTED_VALUE"""),0.0026471844422184107)</f>
        <v>0.002647184442</v>
      </c>
      <c r="F13" s="355">
        <f>IFERROR(__xludf.DUMMYFUNCTION("""COMPUTED_VALUE"""),0.004751083840038805)</f>
        <v>0.00475108384</v>
      </c>
      <c r="G13" s="355">
        <f>IFERROR(__xludf.DUMMYFUNCTION("""COMPUTED_VALUE"""),0.010602655098172804)</f>
        <v>0.0106026551</v>
      </c>
      <c r="H13" s="355">
        <f t="shared" si="1"/>
        <v>0.0106026551</v>
      </c>
      <c r="I13" s="355">
        <f t="shared" si="2"/>
        <v>0.0106026551</v>
      </c>
      <c r="J13" s="356">
        <f t="shared" si="3"/>
        <v>0.0106026551</v>
      </c>
      <c r="K13" s="357"/>
      <c r="L13" s="358"/>
      <c r="M13" s="358"/>
      <c r="N13" s="359"/>
      <c r="O13" s="359"/>
      <c r="P13" s="359"/>
      <c r="Q13" s="359"/>
      <c r="R13" s="359"/>
      <c r="S13" s="359"/>
      <c r="T13" s="359"/>
      <c r="U13" s="359"/>
      <c r="V13" s="359"/>
      <c r="W13" s="359"/>
      <c r="X13" s="359"/>
      <c r="Y13" s="359"/>
      <c r="Z13" s="359"/>
    </row>
    <row r="14" ht="15.75" customHeight="1">
      <c r="A14" s="341" t="s">
        <v>231</v>
      </c>
      <c r="B14" s="341">
        <f>IFERROR(__xludf.DUMMYFUNCTION("""COMPUTED_VALUE"""),3600.0)</f>
        <v>3600</v>
      </c>
      <c r="C14" s="353" t="str">
        <f>IFERROR(__xludf.DUMMYFUNCTION("""COMPUTED_VALUE"""),"HICKORY WIND")</f>
        <v>HICKORY WIND</v>
      </c>
      <c r="D14" s="355">
        <f>IFERROR(__xludf.DUMMYFUNCTION("""COMPUTED_VALUE"""),0.013795589759258051)</f>
        <v>0.01379558976</v>
      </c>
      <c r="E14" s="355">
        <f>IFERROR(__xludf.DUMMYFUNCTION("""COMPUTED_VALUE"""),0.009792863789423758)</f>
        <v>0.009792863789</v>
      </c>
      <c r="F14" s="355">
        <f>IFERROR(__xludf.DUMMYFUNCTION("""COMPUTED_VALUE"""),0.006973904653277672)</f>
        <v>0.006973904653</v>
      </c>
      <c r="G14" s="355">
        <f>IFERROR(__xludf.DUMMYFUNCTION("""COMPUTED_VALUE"""),0.01152012002257678)</f>
        <v>0.01152012002</v>
      </c>
      <c r="H14" s="355">
        <f t="shared" si="1"/>
        <v>0.01152012002</v>
      </c>
      <c r="I14" s="355">
        <f t="shared" ref="I14:J14" si="4">H14</f>
        <v>0.01152012002</v>
      </c>
      <c r="J14" s="356">
        <f t="shared" si="4"/>
        <v>0.01152012002</v>
      </c>
      <c r="K14" s="341"/>
      <c r="L14" s="342"/>
      <c r="M14" s="342"/>
      <c r="N14" s="304"/>
      <c r="O14" s="304"/>
      <c r="P14" s="304"/>
      <c r="Q14" s="304"/>
      <c r="R14" s="304"/>
      <c r="S14" s="304"/>
      <c r="T14" s="304"/>
      <c r="U14" s="304"/>
      <c r="V14" s="304"/>
      <c r="W14" s="304"/>
      <c r="X14" s="304"/>
      <c r="Y14" s="304"/>
      <c r="Z14" s="304"/>
    </row>
    <row r="15" ht="15.75" customHeight="1">
      <c r="A15" s="341" t="s">
        <v>231</v>
      </c>
      <c r="B15" s="341">
        <f>IFERROR(__xludf.DUMMYFUNCTION("""COMPUTED_VALUE"""),3896.0)</f>
        <v>3896</v>
      </c>
      <c r="C15" s="353" t="str">
        <f>IFERROR(__xludf.DUMMYFUNCTION("""COMPUTED_VALUE"""),"AMERICAN EAGLE")</f>
        <v>AMERICAN EAGLE</v>
      </c>
      <c r="D15" s="355">
        <f>IFERROR(__xludf.DUMMYFUNCTION("""COMPUTED_VALUE"""),0.032543957891383875)</f>
        <v>0.03254395789</v>
      </c>
      <c r="E15" s="355">
        <f>IFERROR(__xludf.DUMMYFUNCTION("""COMPUTED_VALUE"""),0.022553834178472787)</f>
        <v>0.02255383418</v>
      </c>
      <c r="F15" s="355">
        <f>IFERROR(__xludf.DUMMYFUNCTION("""COMPUTED_VALUE"""),0.02029666588167881)</f>
        <v>0.02029666588</v>
      </c>
      <c r="G15" s="355">
        <f>IFERROR(__xludf.DUMMYFUNCTION("""COMPUTED_VALUE"""),0.02773305588264028)</f>
        <v>0.02773305588</v>
      </c>
      <c r="H15" s="355">
        <f t="shared" si="1"/>
        <v>0.02773305588</v>
      </c>
      <c r="I15" s="355">
        <f t="shared" ref="I15:J15" si="5">H15</f>
        <v>0.02773305588</v>
      </c>
      <c r="J15" s="356">
        <f t="shared" si="5"/>
        <v>0.02773305588</v>
      </c>
      <c r="K15" s="341"/>
      <c r="L15" s="342"/>
      <c r="M15" s="342"/>
      <c r="N15" s="304"/>
      <c r="O15" s="304"/>
      <c r="P15" s="304"/>
      <c r="Q15" s="304"/>
      <c r="R15" s="304"/>
      <c r="S15" s="304"/>
      <c r="T15" s="304"/>
      <c r="U15" s="304"/>
      <c r="V15" s="304"/>
      <c r="W15" s="304"/>
      <c r="X15" s="304"/>
      <c r="Y15" s="304"/>
      <c r="Z15" s="304"/>
    </row>
    <row r="16" ht="15.75" customHeight="1">
      <c r="A16" s="352" t="s">
        <v>232</v>
      </c>
      <c r="B16" s="360">
        <f>IFERROR(__xludf.DUMMYFUNCTION("""COMPUTED_VALUE"""),2565.0)</f>
        <v>2565</v>
      </c>
      <c r="C16" s="361" t="str">
        <f>IFERROR(__xludf.DUMMYFUNCTION("""COMPUTED_VALUE"""),"VANGUARD")</f>
        <v>VANGUARD</v>
      </c>
      <c r="D16" s="355">
        <f>IFERROR(__xludf.DUMMYFUNCTION("""COMPUTED_VALUE"""),0.039000329698560314)</f>
        <v>0.0390003297</v>
      </c>
      <c r="E16" s="355">
        <f>IFERROR(__xludf.DUMMYFUNCTION("""COMPUTED_VALUE"""),0.003971010860478525)</f>
        <v>0.00397101086</v>
      </c>
      <c r="F16" s="355">
        <f>IFERROR(__xludf.DUMMYFUNCTION("""COMPUTED_VALUE"""),0.012261359799791661)</f>
        <v>0.0122613598</v>
      </c>
      <c r="G16" s="355">
        <f>IFERROR(__xludf.DUMMYFUNCTION("""COMPUTED_VALUE"""),0.025075951017574344)</f>
        <v>0.02507595102</v>
      </c>
      <c r="H16" s="355">
        <f t="shared" si="1"/>
        <v>0.02507595102</v>
      </c>
      <c r="I16" s="355">
        <f t="shared" ref="I16:J16" si="6">H16</f>
        <v>0.02507595102</v>
      </c>
      <c r="J16" s="356">
        <f t="shared" si="6"/>
        <v>0.02507595102</v>
      </c>
      <c r="K16" s="341"/>
      <c r="L16" s="342"/>
      <c r="M16" s="342"/>
      <c r="N16" s="304"/>
      <c r="O16" s="304"/>
      <c r="P16" s="304"/>
      <c r="Q16" s="304"/>
      <c r="R16" s="304"/>
      <c r="S16" s="304"/>
      <c r="T16" s="304"/>
      <c r="U16" s="304"/>
      <c r="V16" s="304"/>
      <c r="W16" s="304"/>
      <c r="X16" s="304"/>
      <c r="Y16" s="304"/>
      <c r="Z16" s="304"/>
    </row>
    <row r="17" ht="15.75" customHeight="1">
      <c r="A17" s="362" t="s">
        <v>233</v>
      </c>
      <c r="B17" s="363">
        <f>IFERROR(__xludf.DUMMYFUNCTION("""COMPUTED_VALUE"""),11.0)</f>
        <v>11</v>
      </c>
      <c r="C17" s="364" t="str">
        <f>IFERROR(__xludf.DUMMYFUNCTION("""COMPUTED_VALUE"""),"TOTAL")</f>
        <v>TOTAL</v>
      </c>
      <c r="D17" s="365">
        <f>IFERROR(__xludf.DUMMYFUNCTION("""COMPUTED_VALUE"""),0.26485049348617845)</f>
        <v>0.2648504935</v>
      </c>
      <c r="E17" s="366">
        <f>IFERROR(__xludf.DUMMYFUNCTION("""COMPUTED_VALUE"""),0.23449840050551995)</f>
        <v>0.2344984005</v>
      </c>
      <c r="F17" s="366">
        <f>IFERROR(__xludf.DUMMYFUNCTION("""COMPUTED_VALUE"""),0.2196787920006778)</f>
        <v>0.219678792</v>
      </c>
      <c r="G17" s="366">
        <f>IFERROR(__xludf.DUMMYFUNCTION("""COMPUTED_VALUE"""),0.24878723566923097)</f>
        <v>0.2487872357</v>
      </c>
      <c r="H17" s="366">
        <f t="shared" si="1"/>
        <v>0.2487872357</v>
      </c>
      <c r="I17" s="366">
        <f t="shared" ref="I17:J17" si="7">H17</f>
        <v>0.2487872357</v>
      </c>
      <c r="J17" s="367">
        <f t="shared" si="7"/>
        <v>0.2487872357</v>
      </c>
      <c r="K17" s="341"/>
      <c r="L17" s="342"/>
      <c r="M17" s="342"/>
      <c r="N17" s="304"/>
      <c r="O17" s="304"/>
      <c r="P17" s="304"/>
      <c r="Q17" s="304"/>
      <c r="R17" s="304"/>
      <c r="S17" s="304"/>
      <c r="T17" s="304"/>
      <c r="U17" s="304"/>
      <c r="V17" s="304"/>
      <c r="W17" s="304"/>
      <c r="X17" s="304"/>
      <c r="Y17" s="304"/>
      <c r="Z17" s="304"/>
    </row>
    <row r="18" ht="15.75" customHeight="1">
      <c r="B18" s="341"/>
      <c r="C18" s="341"/>
      <c r="D18" s="341"/>
      <c r="E18" s="341"/>
      <c r="F18" s="341"/>
      <c r="G18" s="341"/>
      <c r="H18" s="341"/>
      <c r="I18" s="341"/>
      <c r="J18" s="341"/>
      <c r="K18" s="341"/>
      <c r="L18" s="342"/>
      <c r="M18" s="342"/>
      <c r="N18" s="304"/>
      <c r="O18" s="304"/>
      <c r="P18" s="304"/>
      <c r="Q18" s="304"/>
      <c r="R18" s="304"/>
      <c r="S18" s="304"/>
      <c r="T18" s="304"/>
      <c r="U18" s="304"/>
      <c r="V18" s="304"/>
      <c r="W18" s="304"/>
      <c r="X18" s="304"/>
      <c r="Y18" s="304"/>
      <c r="Z18" s="304"/>
    </row>
    <row r="19" ht="15.75" customHeight="1">
      <c r="A19" s="338"/>
      <c r="B19" s="341"/>
      <c r="C19" s="341"/>
      <c r="D19" s="341"/>
      <c r="E19" s="341"/>
      <c r="F19" s="341"/>
      <c r="G19" s="341"/>
      <c r="H19" s="341"/>
      <c r="I19" s="341"/>
      <c r="J19" s="341"/>
      <c r="K19" s="341"/>
      <c r="L19" s="342"/>
      <c r="M19" s="342"/>
      <c r="N19" s="304"/>
      <c r="O19" s="304"/>
      <c r="P19" s="304"/>
      <c r="Q19" s="304"/>
      <c r="R19" s="304"/>
      <c r="S19" s="304"/>
      <c r="T19" s="304"/>
      <c r="U19" s="304"/>
      <c r="V19" s="304"/>
      <c r="W19" s="304"/>
      <c r="X19" s="304"/>
      <c r="Y19" s="304"/>
      <c r="Z19" s="304"/>
    </row>
    <row r="20" ht="15.75" customHeight="1">
      <c r="A20" s="338" t="s">
        <v>158</v>
      </c>
      <c r="B20" s="341"/>
      <c r="C20" s="341"/>
      <c r="D20" s="341"/>
      <c r="E20" s="341"/>
      <c r="F20" s="341"/>
      <c r="G20" s="341"/>
      <c r="H20" s="341"/>
      <c r="I20" s="341"/>
      <c r="J20" s="341"/>
      <c r="K20" s="341"/>
      <c r="L20" s="342"/>
      <c r="M20" s="342"/>
      <c r="N20" s="304"/>
      <c r="O20" s="304"/>
      <c r="P20" s="304"/>
      <c r="Q20" s="304"/>
      <c r="R20" s="304"/>
      <c r="S20" s="304"/>
      <c r="T20" s="304"/>
      <c r="U20" s="304"/>
      <c r="V20" s="304"/>
      <c r="W20" s="304"/>
      <c r="X20" s="304"/>
      <c r="Y20" s="304"/>
      <c r="Z20" s="304"/>
    </row>
    <row r="21" ht="15.75" customHeight="1">
      <c r="A21" s="339" t="s">
        <v>218</v>
      </c>
      <c r="B21" s="28"/>
      <c r="C21" s="29"/>
      <c r="D21" s="340" t="s">
        <v>219</v>
      </c>
      <c r="E21" s="28"/>
      <c r="F21" s="28"/>
      <c r="G21" s="28"/>
      <c r="H21" s="28"/>
      <c r="I21" s="28"/>
      <c r="J21" s="29"/>
      <c r="K21" s="341"/>
      <c r="L21" s="342"/>
      <c r="M21" s="342"/>
      <c r="N21" s="304"/>
      <c r="O21" s="304"/>
      <c r="P21" s="304"/>
      <c r="Q21" s="304"/>
      <c r="R21" s="304"/>
      <c r="S21" s="304"/>
      <c r="T21" s="304"/>
      <c r="U21" s="304"/>
      <c r="V21" s="304"/>
      <c r="W21" s="304"/>
      <c r="X21" s="304"/>
      <c r="Y21" s="304"/>
      <c r="Z21" s="304"/>
    </row>
    <row r="22" ht="15.75" customHeight="1">
      <c r="A22" s="343" t="s">
        <v>220</v>
      </c>
      <c r="B22" s="344" t="s">
        <v>221</v>
      </c>
      <c r="C22" s="345" t="s">
        <v>17</v>
      </c>
      <c r="D22" s="344" t="s">
        <v>5</v>
      </c>
      <c r="E22" s="344" t="s">
        <v>174</v>
      </c>
      <c r="F22" s="344" t="s">
        <v>8</v>
      </c>
      <c r="G22" s="344" t="s">
        <v>222</v>
      </c>
      <c r="H22" s="344" t="s">
        <v>125</v>
      </c>
      <c r="I22" s="344" t="s">
        <v>130</v>
      </c>
      <c r="J22" s="345" t="s">
        <v>133</v>
      </c>
      <c r="K22" s="341"/>
      <c r="L22" s="342"/>
      <c r="M22" s="342"/>
      <c r="N22" s="304"/>
      <c r="O22" s="304"/>
      <c r="P22" s="304"/>
      <c r="Q22" s="304"/>
      <c r="R22" s="304"/>
      <c r="S22" s="304"/>
      <c r="T22" s="304"/>
      <c r="U22" s="304"/>
      <c r="V22" s="304"/>
      <c r="W22" s="304"/>
      <c r="X22" s="304"/>
      <c r="Y22" s="304"/>
      <c r="Z22" s="304"/>
    </row>
    <row r="23" ht="15.75" customHeight="1">
      <c r="A23" s="352" t="s">
        <v>234</v>
      </c>
      <c r="B23" s="347">
        <f>IFERROR(__xludf.DUMMYFUNCTION("IMPORTRANGE(""https://docs.google.com/spreadsheets/d/1fpr4iXJjYPIWfqLVGaDLSDFHokxxaVbtvYkSxFtDSHM/edit#gid=1391174979"", ""'CV Coop LLP Primary Alloc'!A29:B40"")"),2487.0)</f>
        <v>2487</v>
      </c>
      <c r="C23" s="348" t="str">
        <f>IFERROR(__xludf.DUMMYFUNCTION("""COMPUTED_VALUE"""),"NICHOLE")</f>
        <v>NICHOLE</v>
      </c>
      <c r="D23" s="349">
        <f>IFERROR(__xludf.DUMMYFUNCTION("IMPORTRANGE(""https://docs.google.com/spreadsheets/d/1fpr4iXJjYPIWfqLVGaDLSDFHokxxaVbtvYkSxFtDSHM/edit#gid=1391174979"", ""'CV Coop LLP Primary Alloc'!P29:R40"")"),0.02243063538622548)</f>
        <v>0.02243063539</v>
      </c>
      <c r="E23" s="350">
        <f>IFERROR(__xludf.DUMMYFUNCTION("""COMPUTED_VALUE"""),0.028709364001966678)</f>
        <v>0.028709364</v>
      </c>
      <c r="F23" s="350">
        <f>IFERROR(__xludf.DUMMYFUNCTION("""COMPUTED_VALUE"""),0.04209939998976728)</f>
        <v>0.04209939999</v>
      </c>
      <c r="G23" s="350">
        <f>IFERROR(__xludf.DUMMYFUNCTION("IMPORTRANGE(""https://docs.google.com/spreadsheets/d/1fpr4iXJjYPIWfqLVGaDLSDFHokxxaVbtvYkSxFtDSHM/edit#gid=1392452204"", ""'CV Secondary &amp; PSC Alloc'!G40:G51"")"),0.02762955084492421)</f>
        <v>0.02762955084</v>
      </c>
      <c r="H23" s="350">
        <f t="shared" ref="H23:J23" si="8">G23</f>
        <v>0.02762955084</v>
      </c>
      <c r="I23" s="350">
        <f t="shared" si="8"/>
        <v>0.02762955084</v>
      </c>
      <c r="J23" s="351">
        <f t="shared" si="8"/>
        <v>0.02762955084</v>
      </c>
      <c r="K23" s="341"/>
      <c r="L23" s="342"/>
      <c r="M23" s="342"/>
      <c r="N23" s="304"/>
      <c r="O23" s="304"/>
      <c r="P23" s="304"/>
      <c r="Q23" s="304"/>
      <c r="R23" s="304"/>
      <c r="S23" s="304"/>
      <c r="T23" s="304"/>
      <c r="U23" s="304"/>
      <c r="V23" s="304"/>
      <c r="W23" s="304"/>
      <c r="X23" s="304"/>
      <c r="Y23" s="304"/>
      <c r="Z23" s="304"/>
    </row>
    <row r="24" ht="15.75" customHeight="1">
      <c r="A24" s="352" t="s">
        <v>235</v>
      </c>
      <c r="B24" s="341">
        <f>IFERROR(__xludf.DUMMYFUNCTION("""COMPUTED_VALUE"""),1541.0)</f>
        <v>1541</v>
      </c>
      <c r="C24" s="353" t="str">
        <f>IFERROR(__xludf.DUMMYFUNCTION("""COMPUTED_VALUE"""),"SEA MAC - MAGIC")</f>
        <v>SEA MAC - MAGIC</v>
      </c>
      <c r="D24" s="354">
        <f>IFERROR(__xludf.DUMMYFUNCTION("""COMPUTED_VALUE"""),0.01852386911243821)</f>
        <v>0.01852386911</v>
      </c>
      <c r="E24" s="355">
        <f>IFERROR(__xludf.DUMMYFUNCTION("""COMPUTED_VALUE"""),0.0034961310990973176)</f>
        <v>0.003496131099</v>
      </c>
      <c r="F24" s="355">
        <f>IFERROR(__xludf.DUMMYFUNCTION("""COMPUTED_VALUE"""),0.00406158088617346)</f>
        <v>0.004061580886</v>
      </c>
      <c r="G24" s="355">
        <f>IFERROR(__xludf.DUMMYFUNCTION("""COMPUTED_VALUE"""),0.012006733571514898)</f>
        <v>0.01200673357</v>
      </c>
      <c r="H24" s="355">
        <f t="shared" ref="H24:J24" si="9">G24</f>
        <v>0.01200673357</v>
      </c>
      <c r="I24" s="355">
        <f t="shared" si="9"/>
        <v>0.01200673357</v>
      </c>
      <c r="J24" s="356">
        <f t="shared" si="9"/>
        <v>0.01200673357</v>
      </c>
      <c r="K24" s="341"/>
      <c r="L24" s="342"/>
      <c r="M24" s="342"/>
      <c r="N24" s="304"/>
      <c r="O24" s="304"/>
      <c r="P24" s="304"/>
      <c r="Q24" s="304"/>
      <c r="R24" s="304"/>
      <c r="S24" s="304"/>
      <c r="T24" s="304"/>
      <c r="U24" s="304"/>
      <c r="V24" s="304"/>
      <c r="W24" s="304"/>
      <c r="X24" s="304"/>
      <c r="Y24" s="304"/>
      <c r="Z24" s="304"/>
    </row>
    <row r="25" ht="15.75" customHeight="1">
      <c r="A25" s="352" t="s">
        <v>236</v>
      </c>
      <c r="B25" s="341">
        <f>IFERROR(__xludf.DUMMYFUNCTION("""COMPUTED_VALUE"""),3785.0)</f>
        <v>3785</v>
      </c>
      <c r="C25" s="353" t="str">
        <f>IFERROR(__xludf.DUMMYFUNCTION("""COMPUTED_VALUE"""),"SEA MAC ")</f>
        <v>SEA MAC </v>
      </c>
      <c r="D25" s="354">
        <f>IFERROR(__xludf.DUMMYFUNCTION("""COMPUTED_VALUE"""),0.008504696196159943)</f>
        <v>0.008504696196</v>
      </c>
      <c r="E25" s="355">
        <f>IFERROR(__xludf.DUMMYFUNCTION("""COMPUTED_VALUE"""),0.008607790175494375)</f>
        <v>0.008607790175</v>
      </c>
      <c r="F25" s="355">
        <f>IFERROR(__xludf.DUMMYFUNCTION("""COMPUTED_VALUE"""),0.008272957777283875)</f>
        <v>0.008272957777</v>
      </c>
      <c r="G25" s="355">
        <f>IFERROR(__xludf.DUMMYFUNCTION("""COMPUTED_VALUE"""),0.008489268723574103)</f>
        <v>0.008489268724</v>
      </c>
      <c r="H25" s="355">
        <f t="shared" ref="H25:J25" si="10">G25</f>
        <v>0.008489268724</v>
      </c>
      <c r="I25" s="355">
        <f t="shared" si="10"/>
        <v>0.008489268724</v>
      </c>
      <c r="J25" s="356">
        <f t="shared" si="10"/>
        <v>0.008489268724</v>
      </c>
      <c r="K25" s="341"/>
      <c r="L25" s="342"/>
      <c r="M25" s="342"/>
      <c r="N25" s="304"/>
      <c r="O25" s="304"/>
      <c r="P25" s="304"/>
      <c r="Q25" s="304"/>
      <c r="R25" s="304"/>
      <c r="S25" s="304"/>
      <c r="T25" s="304"/>
      <c r="U25" s="304"/>
      <c r="V25" s="304"/>
      <c r="W25" s="304"/>
      <c r="X25" s="304"/>
      <c r="Y25" s="304"/>
      <c r="Z25" s="304"/>
    </row>
    <row r="26" ht="15.75" customHeight="1">
      <c r="A26" s="352" t="s">
        <v>237</v>
      </c>
      <c r="B26" s="341">
        <f>IFERROR(__xludf.DUMMYFUNCTION("""COMPUTED_VALUE"""),2653.0)</f>
        <v>2653</v>
      </c>
      <c r="C26" s="353" t="str">
        <f>IFERROR(__xludf.DUMMYFUNCTION("""COMPUTED_VALUE"""),"SEA MAC 2653")</f>
        <v>SEA MAC 2653</v>
      </c>
      <c r="D26" s="354">
        <f>IFERROR(__xludf.DUMMYFUNCTION("""COMPUTED_VALUE"""),0.0032467524891807973)</f>
        <v>0.003246752489</v>
      </c>
      <c r="E26" s="355">
        <f>IFERROR(__xludf.DUMMYFUNCTION("""COMPUTED_VALUE"""),8.395067101807375E-6)</f>
        <v>0.000008395067102</v>
      </c>
      <c r="F26" s="355">
        <f>IFERROR(__xludf.DUMMYFUNCTION("""COMPUTED_VALUE"""),3.904754373296673E-4)</f>
        <v>0.0003904754373</v>
      </c>
      <c r="G26" s="355">
        <f>IFERROR(__xludf.DUMMYFUNCTION("""COMPUTED_VALUE"""),0.0018896476471248814)</f>
        <v>0.001889647647</v>
      </c>
      <c r="H26" s="355">
        <f t="shared" ref="H26:J26" si="11">G26</f>
        <v>0.001889647647</v>
      </c>
      <c r="I26" s="355">
        <f t="shared" si="11"/>
        <v>0.001889647647</v>
      </c>
      <c r="J26" s="356">
        <f t="shared" si="11"/>
        <v>0.001889647647</v>
      </c>
      <c r="K26" s="341"/>
      <c r="L26" s="342"/>
      <c r="M26" s="342"/>
      <c r="N26" s="304"/>
      <c r="O26" s="304"/>
      <c r="P26" s="304"/>
      <c r="Q26" s="304"/>
      <c r="R26" s="304"/>
      <c r="S26" s="304"/>
      <c r="T26" s="304"/>
      <c r="U26" s="304"/>
      <c r="V26" s="304"/>
      <c r="W26" s="304"/>
      <c r="X26" s="304"/>
      <c r="Y26" s="304"/>
      <c r="Z26" s="304"/>
    </row>
    <row r="27" ht="15.75" customHeight="1">
      <c r="A27" s="352" t="s">
        <v>238</v>
      </c>
      <c r="B27" s="341">
        <f>IFERROR(__xludf.DUMMYFUNCTION("""COMPUTED_VALUE"""),2973.0)</f>
        <v>2973</v>
      </c>
      <c r="C27" s="353" t="str">
        <f>IFERROR(__xludf.DUMMYFUNCTION("""COMPUTED_VALUE"""),"CARAVELLE")</f>
        <v>CARAVELLE</v>
      </c>
      <c r="D27" s="354">
        <f>IFERROR(__xludf.DUMMYFUNCTION("""COMPUTED_VALUE"""),0.021030124835121553)</f>
        <v>0.02103012484</v>
      </c>
      <c r="E27" s="355">
        <f>IFERROR(__xludf.DUMMYFUNCTION("""COMPUTED_VALUE"""),0.03141340430635956)</f>
        <v>0.03141340431</v>
      </c>
      <c r="F27" s="355">
        <f>IFERROR(__xludf.DUMMYFUNCTION("""COMPUTED_VALUE"""),0.03173976692891146)</f>
        <v>0.03173976693</v>
      </c>
      <c r="G27" s="355">
        <f>IFERROR(__xludf.DUMMYFUNCTION("""COMPUTED_VALUE"""),0.025663374743336645)</f>
        <v>0.02566337474</v>
      </c>
      <c r="H27" s="355">
        <f t="shared" ref="H27:J27" si="12">G27</f>
        <v>0.02566337474</v>
      </c>
      <c r="I27" s="355">
        <f t="shared" si="12"/>
        <v>0.02566337474</v>
      </c>
      <c r="J27" s="356">
        <f t="shared" si="12"/>
        <v>0.02566337474</v>
      </c>
      <c r="K27" s="341"/>
      <c r="L27" s="342"/>
      <c r="M27" s="342"/>
      <c r="N27" s="304"/>
      <c r="O27" s="304"/>
      <c r="P27" s="304"/>
      <c r="Q27" s="304"/>
      <c r="R27" s="304"/>
      <c r="S27" s="304"/>
      <c r="T27" s="304"/>
      <c r="U27" s="304"/>
      <c r="V27" s="304"/>
      <c r="W27" s="304"/>
      <c r="X27" s="304"/>
      <c r="Y27" s="304"/>
      <c r="Z27" s="304"/>
    </row>
    <row r="28" ht="15.75" customHeight="1">
      <c r="A28" s="352" t="s">
        <v>239</v>
      </c>
      <c r="B28" s="341">
        <f>IFERROR(__xludf.DUMMYFUNCTION("""COMPUTED_VALUE"""),2535.0)</f>
        <v>2535</v>
      </c>
      <c r="C28" s="353" t="str">
        <f>IFERROR(__xludf.DUMMYFUNCTION("""COMPUTED_VALUE"""),"TOPAZ")</f>
        <v>TOPAZ</v>
      </c>
      <c r="D28" s="354">
        <f>IFERROR(__xludf.DUMMYFUNCTION("""COMPUTED_VALUE"""),0.03303482241460879)</f>
        <v>0.03303482241</v>
      </c>
      <c r="E28" s="355">
        <f>IFERROR(__xludf.DUMMYFUNCTION("""COMPUTED_VALUE"""),0.048401128844679515)</f>
        <v>0.04840112884</v>
      </c>
      <c r="F28" s="355">
        <f>IFERROR(__xludf.DUMMYFUNCTION("""COMPUTED_VALUE"""),0.054415259055486664)</f>
        <v>0.05441525906</v>
      </c>
      <c r="G28" s="355">
        <f>IFERROR(__xludf.DUMMYFUNCTION("""COMPUTED_VALUE"""),0.04089665873336298)</f>
        <v>0.04089665873</v>
      </c>
      <c r="H28" s="355">
        <f t="shared" ref="H28:J28" si="13">G28</f>
        <v>0.04089665873</v>
      </c>
      <c r="I28" s="355">
        <f t="shared" si="13"/>
        <v>0.04089665873</v>
      </c>
      <c r="J28" s="356">
        <f t="shared" si="13"/>
        <v>0.04089665873</v>
      </c>
      <c r="K28" s="341"/>
      <c r="L28" s="342"/>
      <c r="M28" s="342"/>
      <c r="N28" s="304"/>
      <c r="O28" s="304"/>
      <c r="P28" s="304"/>
      <c r="Q28" s="304"/>
      <c r="R28" s="304"/>
      <c r="S28" s="304"/>
      <c r="T28" s="304"/>
      <c r="U28" s="304"/>
      <c r="V28" s="304"/>
      <c r="W28" s="304"/>
      <c r="X28" s="304"/>
      <c r="Y28" s="304"/>
      <c r="Z28" s="304"/>
    </row>
    <row r="29" ht="15.75" customHeight="1">
      <c r="A29" s="352" t="s">
        <v>240</v>
      </c>
      <c r="B29" s="341">
        <f>IFERROR(__xludf.DUMMYFUNCTION("""COMPUTED_VALUE"""),1590.0)</f>
        <v>1590</v>
      </c>
      <c r="C29" s="353" t="str">
        <f>IFERROR(__xludf.DUMMYFUNCTION("""COMPUTED_VALUE"""),"ALASKA BEAUTY")</f>
        <v>ALASKA BEAUTY</v>
      </c>
      <c r="D29" s="354">
        <f>IFERROR(__xludf.DUMMYFUNCTION("""COMPUTED_VALUE"""),0.01715115843994148)</f>
        <v>0.01715115844</v>
      </c>
      <c r="E29" s="355">
        <f>IFERROR(__xludf.DUMMYFUNCTION("""COMPUTED_VALUE"""),0.012128638081595295)</f>
        <v>0.01212863808</v>
      </c>
      <c r="F29" s="355">
        <f>IFERROR(__xludf.DUMMYFUNCTION("""COMPUTED_VALUE"""),0.01595365940760735)</f>
        <v>0.01595365941</v>
      </c>
      <c r="G29" s="355">
        <f>IFERROR(__xludf.DUMMYFUNCTION("""COMPUTED_VALUE"""),0.015633717939093104)</f>
        <v>0.01563371794</v>
      </c>
      <c r="H29" s="355">
        <f t="shared" ref="H29:J29" si="14">G29</f>
        <v>0.01563371794</v>
      </c>
      <c r="I29" s="355">
        <f t="shared" si="14"/>
        <v>0.01563371794</v>
      </c>
      <c r="J29" s="356">
        <f t="shared" si="14"/>
        <v>0.01563371794</v>
      </c>
      <c r="K29" s="341"/>
      <c r="L29" s="342"/>
      <c r="M29" s="342"/>
      <c r="N29" s="304"/>
      <c r="O29" s="304"/>
      <c r="P29" s="304"/>
      <c r="Q29" s="304"/>
      <c r="R29" s="304"/>
      <c r="S29" s="304"/>
      <c r="T29" s="304"/>
      <c r="U29" s="304"/>
      <c r="V29" s="304"/>
      <c r="W29" s="304"/>
      <c r="X29" s="304"/>
      <c r="Y29" s="304"/>
      <c r="Z29" s="304"/>
    </row>
    <row r="30" ht="15.75" customHeight="1">
      <c r="A30" s="352" t="s">
        <v>241</v>
      </c>
      <c r="B30" s="341">
        <f>IFERROR(__xludf.DUMMYFUNCTION("""COMPUTED_VALUE"""),2148.0)</f>
        <v>2148</v>
      </c>
      <c r="C30" s="353" t="str">
        <f>IFERROR(__xludf.DUMMYFUNCTION("""COMPUTED_VALUE"""),"CAPT'N ART")</f>
        <v>CAPT'N ART</v>
      </c>
      <c r="D30" s="354">
        <f>IFERROR(__xludf.DUMMYFUNCTION("""COMPUTED_VALUE"""),0.005621708785204971)</f>
        <v>0.005621708785</v>
      </c>
      <c r="E30" s="355">
        <f>IFERROR(__xludf.DUMMYFUNCTION("""COMPUTED_VALUE"""),1.7053155619250776E-4)</f>
        <v>0.0001705315562</v>
      </c>
      <c r="F30" s="355">
        <f>IFERROR(__xludf.DUMMYFUNCTION("""COMPUTED_VALUE"""),2.670566665611235E-4)</f>
        <v>0.0002670566666</v>
      </c>
      <c r="G30" s="355">
        <f>IFERROR(__xludf.DUMMYFUNCTION("""COMPUTED_VALUE"""),0.0032379452974383707)</f>
        <v>0.003237945297</v>
      </c>
      <c r="H30" s="355">
        <f t="shared" ref="H30:J30" si="15">G30</f>
        <v>0.003237945297</v>
      </c>
      <c r="I30" s="355">
        <f t="shared" si="15"/>
        <v>0.003237945297</v>
      </c>
      <c r="J30" s="356">
        <f t="shared" si="15"/>
        <v>0.003237945297</v>
      </c>
      <c r="K30" s="341"/>
      <c r="L30" s="342"/>
      <c r="M30" s="342"/>
      <c r="N30" s="304"/>
      <c r="O30" s="304"/>
      <c r="P30" s="304"/>
      <c r="Q30" s="304"/>
      <c r="R30" s="304"/>
      <c r="S30" s="304"/>
      <c r="T30" s="304"/>
      <c r="U30" s="304"/>
      <c r="V30" s="304"/>
      <c r="W30" s="304"/>
      <c r="X30" s="304"/>
      <c r="Y30" s="304"/>
      <c r="Z30" s="304"/>
    </row>
    <row r="31" ht="15.75" customHeight="1">
      <c r="A31" s="352" t="s">
        <v>242</v>
      </c>
      <c r="B31" s="341">
        <f>IFERROR(__xludf.DUMMYFUNCTION("""COMPUTED_VALUE"""),1755.0)</f>
        <v>1755</v>
      </c>
      <c r="C31" s="353" t="str">
        <f>IFERROR(__xludf.DUMMYFUNCTION("""COMPUTED_VALUE"""),"ENTERPRISE")</f>
        <v>ENTERPRISE</v>
      </c>
      <c r="D31" s="354">
        <f>IFERROR(__xludf.DUMMYFUNCTION("""COMPUTED_VALUE"""),0.0027841211760041983)</f>
        <v>0.002784121176</v>
      </c>
      <c r="E31" s="355">
        <f>IFERROR(__xludf.DUMMYFUNCTION("""COMPUTED_VALUE"""),0.002202570158800801)</f>
        <v>0.002202570159</v>
      </c>
      <c r="F31" s="355">
        <f>IFERROR(__xludf.DUMMYFUNCTION("""COMPUTED_VALUE"""),0.0012083749668552605)</f>
        <v>0.001208374967</v>
      </c>
      <c r="G31" s="355">
        <f>IFERROR(__xludf.DUMMYFUNCTION("""COMPUTED_VALUE"""),0.0023472891102806733)</f>
        <v>0.00234728911</v>
      </c>
      <c r="H31" s="355">
        <f t="shared" ref="H31:J31" si="16">G31</f>
        <v>0.00234728911</v>
      </c>
      <c r="I31" s="355">
        <f t="shared" si="16"/>
        <v>0.00234728911</v>
      </c>
      <c r="J31" s="356">
        <f t="shared" si="16"/>
        <v>0.00234728911</v>
      </c>
      <c r="K31" s="341"/>
      <c r="L31" s="342"/>
      <c r="M31" s="342"/>
      <c r="N31" s="304"/>
      <c r="O31" s="304"/>
      <c r="P31" s="304"/>
      <c r="Q31" s="304"/>
      <c r="R31" s="304"/>
      <c r="S31" s="304"/>
      <c r="T31" s="304"/>
      <c r="U31" s="304"/>
      <c r="V31" s="304"/>
      <c r="W31" s="304"/>
      <c r="X31" s="304"/>
      <c r="Y31" s="304"/>
      <c r="Z31" s="304"/>
    </row>
    <row r="32" ht="15.75" customHeight="1">
      <c r="A32" s="352" t="s">
        <v>243</v>
      </c>
      <c r="B32" s="341">
        <f>IFERROR(__xludf.DUMMYFUNCTION("""COMPUTED_VALUE"""),3764.0)</f>
        <v>3764</v>
      </c>
      <c r="C32" s="353" t="str">
        <f>IFERROR(__xludf.DUMMYFUNCTION("""COMPUTED_VALUE"""),"ALASKAN")</f>
        <v>ALASKAN</v>
      </c>
      <c r="D32" s="354">
        <f>IFERROR(__xludf.DUMMYFUNCTION("""COMPUTED_VALUE"""),0.006682170821187414)</f>
        <v>0.006682170821</v>
      </c>
      <c r="E32" s="355">
        <f>IFERROR(__xludf.DUMMYFUNCTION("""COMPUTED_VALUE"""),2.6777741931601894E-4)</f>
        <v>0.0002677774193</v>
      </c>
      <c r="F32" s="355">
        <f>IFERROR(__xludf.DUMMYFUNCTION("""COMPUTED_VALUE"""),9.572267489171094E-4)</f>
        <v>0.0009572267489</v>
      </c>
      <c r="G32" s="355">
        <f>IFERROR(__xludf.DUMMYFUNCTION("""COMPUTED_VALUE"""),0.003981838800937218)</f>
        <v>0.003981838801</v>
      </c>
      <c r="H32" s="355">
        <f t="shared" ref="H32:J32" si="17">G32</f>
        <v>0.003981838801</v>
      </c>
      <c r="I32" s="355">
        <f t="shared" si="17"/>
        <v>0.003981838801</v>
      </c>
      <c r="J32" s="356">
        <f t="shared" si="17"/>
        <v>0.003981838801</v>
      </c>
      <c r="K32" s="341"/>
      <c r="L32" s="342"/>
      <c r="M32" s="342"/>
      <c r="N32" s="304"/>
      <c r="O32" s="304"/>
      <c r="P32" s="304"/>
      <c r="Q32" s="304"/>
      <c r="R32" s="304"/>
      <c r="S32" s="304"/>
      <c r="T32" s="304"/>
      <c r="U32" s="304"/>
      <c r="V32" s="304"/>
      <c r="W32" s="304"/>
      <c r="X32" s="304"/>
      <c r="Y32" s="304"/>
      <c r="Z32" s="304"/>
    </row>
    <row r="33" ht="15.75" customHeight="1">
      <c r="A33" s="352" t="s">
        <v>244</v>
      </c>
      <c r="B33" s="341">
        <f>IFERROR(__xludf.DUMMYFUNCTION("""COMPUTED_VALUE"""),1183.0)</f>
        <v>1183</v>
      </c>
      <c r="C33" s="353" t="str">
        <f>IFERROR(__xludf.DUMMYFUNCTION("""COMPUTED_VALUE"""),"LESLIE LEE")</f>
        <v>LESLIE LEE</v>
      </c>
      <c r="D33" s="354">
        <f>IFERROR(__xludf.DUMMYFUNCTION("""COMPUTED_VALUE"""),0.029228339036252875)</f>
        <v>0.02922833904</v>
      </c>
      <c r="E33" s="355">
        <f>IFERROR(__xludf.DUMMYFUNCTION("""COMPUTED_VALUE"""),0.008668357161752478)</f>
        <v>0.008668357162</v>
      </c>
      <c r="F33" s="355">
        <f>IFERROR(__xludf.DUMMYFUNCTION("""COMPUTED_VALUE"""),0.00533081849840564)</f>
        <v>0.005330818498</v>
      </c>
      <c r="G33" s="355">
        <f>IFERROR(__xludf.DUMMYFUNCTION("""COMPUTED_VALUE"""),0.01956498846800021)</f>
        <v>0.01956498847</v>
      </c>
      <c r="H33" s="355">
        <f t="shared" ref="H33:J33" si="18">G33</f>
        <v>0.01956498847</v>
      </c>
      <c r="I33" s="355">
        <f t="shared" si="18"/>
        <v>0.01956498847</v>
      </c>
      <c r="J33" s="356">
        <f t="shared" si="18"/>
        <v>0.01956498847</v>
      </c>
      <c r="K33" s="341"/>
      <c r="L33" s="342"/>
      <c r="M33" s="342"/>
      <c r="N33" s="304"/>
      <c r="O33" s="304"/>
      <c r="P33" s="304"/>
      <c r="Q33" s="304"/>
      <c r="R33" s="304"/>
      <c r="S33" s="304"/>
      <c r="T33" s="304"/>
      <c r="U33" s="304"/>
      <c r="V33" s="304"/>
      <c r="W33" s="304"/>
      <c r="X33" s="304"/>
      <c r="Y33" s="304"/>
      <c r="Z33" s="304"/>
    </row>
    <row r="34" ht="15.75" customHeight="1">
      <c r="A34" s="368" t="s">
        <v>233</v>
      </c>
      <c r="B34" s="340">
        <f>IFERROR(__xludf.DUMMYFUNCTION("""COMPUTED_VALUE"""),11.0)</f>
        <v>11</v>
      </c>
      <c r="C34" s="369" t="str">
        <f>IFERROR(__xludf.DUMMYFUNCTION("""COMPUTED_VALUE"""),"TOTAL")</f>
        <v>TOTAL</v>
      </c>
      <c r="D34" s="370">
        <f>IFERROR(__xludf.DUMMYFUNCTION("""COMPUTED_VALUE"""),0.1682383986923257)</f>
        <v>0.1682383987</v>
      </c>
      <c r="E34" s="371">
        <f>IFERROR(__xludf.DUMMYFUNCTION("""COMPUTED_VALUE"""),0.14407408787235634)</f>
        <v>0.1440740879</v>
      </c>
      <c r="F34" s="371">
        <f>IFERROR(__xludf.DUMMYFUNCTION("""COMPUTED_VALUE"""),0.16469657636329887)</f>
        <v>0.1646965764</v>
      </c>
      <c r="G34" s="371">
        <f>IFERROR(__xludf.DUMMYFUNCTION("""COMPUTED_VALUE"""),0.1613410138795873)</f>
        <v>0.1613410139</v>
      </c>
      <c r="H34" s="371">
        <f t="shared" ref="H34:J34" si="19">G34</f>
        <v>0.1613410139</v>
      </c>
      <c r="I34" s="371">
        <f t="shared" si="19"/>
        <v>0.1613410139</v>
      </c>
      <c r="J34" s="372">
        <f t="shared" si="19"/>
        <v>0.1613410139</v>
      </c>
      <c r="K34" s="341"/>
      <c r="L34" s="342"/>
      <c r="M34" s="342"/>
      <c r="N34" s="304"/>
      <c r="O34" s="304"/>
      <c r="P34" s="304"/>
      <c r="Q34" s="304"/>
      <c r="R34" s="304"/>
      <c r="S34" s="304"/>
      <c r="T34" s="304"/>
      <c r="U34" s="304"/>
      <c r="V34" s="304"/>
      <c r="W34" s="304"/>
      <c r="X34" s="304"/>
      <c r="Y34" s="304"/>
      <c r="Z34" s="304"/>
    </row>
    <row r="35" ht="15.75" customHeight="1">
      <c r="A35" s="347"/>
      <c r="B35" s="347"/>
      <c r="C35" s="347"/>
      <c r="D35" s="347"/>
      <c r="E35" s="347"/>
      <c r="F35" s="347"/>
      <c r="G35" s="347"/>
      <c r="H35" s="347" t="str">
        <f t="shared" ref="H35:J35" si="20">G35</f>
        <v/>
      </c>
      <c r="I35" s="347" t="str">
        <f t="shared" si="20"/>
        <v/>
      </c>
      <c r="J35" s="347" t="str">
        <f t="shared" si="20"/>
        <v/>
      </c>
      <c r="K35" s="341"/>
      <c r="L35" s="342"/>
      <c r="M35" s="342"/>
      <c r="N35" s="304"/>
      <c r="O35" s="304"/>
      <c r="P35" s="304"/>
      <c r="Q35" s="304"/>
      <c r="R35" s="304"/>
      <c r="S35" s="304"/>
      <c r="T35" s="304"/>
      <c r="U35" s="304"/>
      <c r="V35" s="304"/>
      <c r="W35" s="304"/>
      <c r="X35" s="304"/>
      <c r="Y35" s="304"/>
      <c r="Z35" s="304"/>
    </row>
    <row r="36" ht="15.75" customHeight="1">
      <c r="A36" s="341"/>
      <c r="B36" s="341"/>
      <c r="C36" s="341"/>
      <c r="D36" s="341"/>
      <c r="E36" s="341"/>
      <c r="F36" s="341"/>
      <c r="G36" s="341"/>
      <c r="H36" s="341"/>
      <c r="I36" s="341"/>
      <c r="J36" s="341"/>
      <c r="K36" s="341"/>
      <c r="L36" s="342"/>
      <c r="M36" s="342"/>
      <c r="N36" s="304"/>
      <c r="O36" s="304"/>
      <c r="P36" s="304"/>
      <c r="Q36" s="304"/>
      <c r="R36" s="304"/>
      <c r="S36" s="304"/>
      <c r="T36" s="304"/>
      <c r="U36" s="304"/>
      <c r="V36" s="304"/>
      <c r="W36" s="304"/>
      <c r="X36" s="304"/>
      <c r="Y36" s="304"/>
      <c r="Z36" s="304"/>
    </row>
    <row r="37" ht="15.75" customHeight="1">
      <c r="A37" s="338" t="s">
        <v>245</v>
      </c>
      <c r="B37" s="341"/>
      <c r="C37" s="341"/>
      <c r="D37" s="341"/>
      <c r="E37" s="341"/>
      <c r="F37" s="341"/>
      <c r="G37" s="341"/>
      <c r="H37" s="341"/>
      <c r="I37" s="341"/>
      <c r="J37" s="341"/>
      <c r="K37" s="341"/>
      <c r="L37" s="342"/>
      <c r="M37" s="342"/>
      <c r="N37" s="304"/>
      <c r="O37" s="304"/>
      <c r="P37" s="304"/>
      <c r="Q37" s="304"/>
      <c r="R37" s="304"/>
      <c r="S37" s="304"/>
      <c r="T37" s="304"/>
      <c r="U37" s="304"/>
      <c r="V37" s="304"/>
      <c r="W37" s="304"/>
      <c r="X37" s="304"/>
      <c r="Y37" s="304"/>
      <c r="Z37" s="304"/>
    </row>
    <row r="38" ht="15.75" customHeight="1">
      <c r="A38" s="339" t="s">
        <v>218</v>
      </c>
      <c r="B38" s="28"/>
      <c r="C38" s="29"/>
      <c r="D38" s="340" t="s">
        <v>219</v>
      </c>
      <c r="E38" s="28"/>
      <c r="F38" s="28"/>
      <c r="G38" s="28"/>
      <c r="H38" s="28"/>
      <c r="I38" s="28"/>
      <c r="J38" s="29"/>
      <c r="K38" s="341"/>
      <c r="L38" s="342"/>
      <c r="M38" s="342"/>
      <c r="N38" s="304"/>
      <c r="O38" s="304"/>
      <c r="P38" s="304"/>
      <c r="Q38" s="304"/>
      <c r="R38" s="304"/>
      <c r="S38" s="304"/>
      <c r="T38" s="304"/>
      <c r="U38" s="304"/>
      <c r="V38" s="304"/>
      <c r="W38" s="304"/>
      <c r="X38" s="304"/>
      <c r="Y38" s="304"/>
      <c r="Z38" s="304"/>
    </row>
    <row r="39" ht="15.75" customHeight="1">
      <c r="A39" s="343" t="s">
        <v>220</v>
      </c>
      <c r="B39" s="344" t="s">
        <v>221</v>
      </c>
      <c r="C39" s="345" t="s">
        <v>17</v>
      </c>
      <c r="D39" s="344" t="s">
        <v>5</v>
      </c>
      <c r="E39" s="344" t="s">
        <v>174</v>
      </c>
      <c r="F39" s="344" t="s">
        <v>8</v>
      </c>
      <c r="G39" s="344" t="s">
        <v>222</v>
      </c>
      <c r="H39" s="344" t="s">
        <v>125</v>
      </c>
      <c r="I39" s="344" t="s">
        <v>130</v>
      </c>
      <c r="J39" s="345" t="s">
        <v>133</v>
      </c>
      <c r="K39" s="341"/>
      <c r="L39" s="342"/>
      <c r="M39" s="342"/>
      <c r="N39" s="304"/>
      <c r="O39" s="304"/>
      <c r="P39" s="304"/>
      <c r="Q39" s="304"/>
      <c r="R39" s="304"/>
      <c r="S39" s="304"/>
      <c r="T39" s="304"/>
      <c r="U39" s="304"/>
      <c r="V39" s="304"/>
      <c r="W39" s="304"/>
      <c r="X39" s="304"/>
      <c r="Y39" s="304"/>
      <c r="Z39" s="304"/>
    </row>
    <row r="40" ht="15.75" customHeight="1">
      <c r="A40" s="341" t="s">
        <v>246</v>
      </c>
      <c r="B40" s="341">
        <f>IFERROR(__xludf.DUMMYFUNCTION("IMPORTRANGE(""https://docs.google.com/spreadsheets/d/1fpr4iXJjYPIWfqLVGaDLSDFHokxxaVbtvYkSxFtDSHM/edit#gid=1391174979"", ""'CV Coop LLP Primary Alloc'!A48:B57"")"),1367.0)</f>
        <v>1367</v>
      </c>
      <c r="C40" s="341" t="str">
        <f>IFERROR(__xludf.DUMMYFUNCTION("""COMPUTED_VALUE"""),"DOMINION")</f>
        <v>DOMINION</v>
      </c>
      <c r="D40" s="349">
        <f>IFERROR(__xludf.DUMMYFUNCTION("IMPORTRANGE(""https://docs.google.com/spreadsheets/d/1fpr4iXJjYPIWfqLVGaDLSDFHokxxaVbtvYkSxFtDSHM/edit#gid=1391174979"", ""'CV Coop LLP Primary Alloc'!P48:R57"")"),0.01401117215121494)</f>
        <v>0.01401117215</v>
      </c>
      <c r="E40" s="350">
        <f>IFERROR(__xludf.DUMMYFUNCTION("""COMPUTED_VALUE"""),0.023741285794242166)</f>
        <v>0.02374128579</v>
      </c>
      <c r="F40" s="350">
        <f>IFERROR(__xludf.DUMMYFUNCTION("""COMPUTED_VALUE"""),0.024885637498491906)</f>
        <v>0.0248856375</v>
      </c>
      <c r="G40" s="350">
        <f>IFERROR(__xludf.DUMMYFUNCTION("IMPORTRANGE(""https://docs.google.com/spreadsheets/d/1fpr4iXJjYPIWfqLVGaDLSDFHokxxaVbtvYkSxFtDSHM/edit#gid=1392452204"", ""'CV Secondary &amp; PSC Alloc'!G57:G66"")"),0.01850533000124197)</f>
        <v>0.01850533</v>
      </c>
      <c r="H40" s="350">
        <f t="shared" ref="H40:J40" si="21">$G$40</f>
        <v>0.01850533</v>
      </c>
      <c r="I40" s="350">
        <f t="shared" si="21"/>
        <v>0.01850533</v>
      </c>
      <c r="J40" s="351">
        <f t="shared" si="21"/>
        <v>0.01850533</v>
      </c>
      <c r="K40" s="341"/>
      <c r="L40" s="342"/>
      <c r="M40" s="342"/>
      <c r="N40" s="304"/>
      <c r="O40" s="304"/>
      <c r="P40" s="304"/>
      <c r="Q40" s="304"/>
      <c r="R40" s="304"/>
      <c r="S40" s="304"/>
      <c r="T40" s="304"/>
      <c r="U40" s="304"/>
      <c r="V40" s="304"/>
      <c r="W40" s="304"/>
      <c r="X40" s="304"/>
      <c r="Y40" s="304"/>
      <c r="Z40" s="304"/>
    </row>
    <row r="41" ht="15.75" customHeight="1">
      <c r="A41" s="341" t="s">
        <v>246</v>
      </c>
      <c r="B41" s="341">
        <f>IFERROR(__xludf.DUMMYFUNCTION("""COMPUTED_VALUE"""),5201.0)</f>
        <v>5201</v>
      </c>
      <c r="C41" s="341" t="str">
        <f>IFERROR(__xludf.DUMMYFUNCTION("""COMPUTED_VALUE"""),"NEW LIFE")</f>
        <v>NEW LIFE</v>
      </c>
      <c r="D41" s="354">
        <f>IFERROR(__xludf.DUMMYFUNCTION("""COMPUTED_VALUE"""),0.021649655463171144)</f>
        <v>0.02164965546</v>
      </c>
      <c r="E41" s="355">
        <f>IFERROR(__xludf.DUMMYFUNCTION("""COMPUTED_VALUE"""),0.02831684957704355)</f>
        <v>0.02831684958</v>
      </c>
      <c r="F41" s="355">
        <f>IFERROR(__xludf.DUMMYFUNCTION("""COMPUTED_VALUE"""),0.032924381857984665)</f>
        <v>0.03292438186</v>
      </c>
      <c r="G41" s="355">
        <f>IFERROR(__xludf.DUMMYFUNCTION("""COMPUTED_VALUE"""),0.025423849166416584)</f>
        <v>0.02542384917</v>
      </c>
      <c r="H41" s="355">
        <f t="shared" ref="H41:J41" si="22">$G$41</f>
        <v>0.02542384917</v>
      </c>
      <c r="I41" s="355">
        <f t="shared" si="22"/>
        <v>0.02542384917</v>
      </c>
      <c r="J41" s="356">
        <f t="shared" si="22"/>
        <v>0.02542384917</v>
      </c>
      <c r="K41" s="341"/>
      <c r="L41" s="342"/>
      <c r="M41" s="342"/>
      <c r="N41" s="304"/>
      <c r="O41" s="304"/>
      <c r="P41" s="304"/>
      <c r="Q41" s="304"/>
      <c r="R41" s="304"/>
      <c r="S41" s="304"/>
      <c r="T41" s="304"/>
      <c r="U41" s="304"/>
      <c r="V41" s="304"/>
      <c r="W41" s="304"/>
      <c r="X41" s="304"/>
      <c r="Y41" s="304"/>
      <c r="Z41" s="304"/>
    </row>
    <row r="42" ht="15.75" customHeight="1">
      <c r="A42" s="341" t="s">
        <v>247</v>
      </c>
      <c r="B42" s="341">
        <f>IFERROR(__xludf.DUMMYFUNCTION("""COMPUTED_VALUE"""),4465.0)</f>
        <v>4465</v>
      </c>
      <c r="C42" s="341" t="str">
        <f>IFERROR(__xludf.DUMMYFUNCTION("""COMPUTED_VALUE"""),"MARATHON")</f>
        <v>MARATHON</v>
      </c>
      <c r="D42" s="354">
        <f>IFERROR(__xludf.DUMMYFUNCTION("""COMPUTED_VALUE"""),0.03162157858577351)</f>
        <v>0.03162157859</v>
      </c>
      <c r="E42" s="355">
        <f>IFERROR(__xludf.DUMMYFUNCTION("""COMPUTED_VALUE"""),0.036884285781919796)</f>
        <v>0.03688428578</v>
      </c>
      <c r="F42" s="355">
        <f>IFERROR(__xludf.DUMMYFUNCTION("""COMPUTED_VALUE"""),0.03767895529320528)</f>
        <v>0.03767895529</v>
      </c>
      <c r="G42" s="355">
        <f>IFERROR(__xludf.DUMMYFUNCTION("""COMPUTED_VALUE"""),0.03408425554379276)</f>
        <v>0.03408425554</v>
      </c>
      <c r="H42" s="355">
        <f t="shared" ref="H42:J42" si="23">$G$42</f>
        <v>0.03408425554</v>
      </c>
      <c r="I42" s="355">
        <f t="shared" si="23"/>
        <v>0.03408425554</v>
      </c>
      <c r="J42" s="356">
        <f t="shared" si="23"/>
        <v>0.03408425554</v>
      </c>
      <c r="K42" s="341"/>
      <c r="L42" s="342"/>
      <c r="M42" s="342"/>
      <c r="N42" s="304"/>
      <c r="O42" s="304"/>
      <c r="P42" s="304"/>
      <c r="Q42" s="304"/>
      <c r="R42" s="304"/>
      <c r="S42" s="304"/>
      <c r="T42" s="304"/>
      <c r="U42" s="304"/>
      <c r="V42" s="304"/>
      <c r="W42" s="304"/>
      <c r="X42" s="304"/>
      <c r="Y42" s="304"/>
      <c r="Z42" s="304"/>
    </row>
    <row r="43" ht="15.75" customHeight="1">
      <c r="A43" s="341" t="s">
        <v>248</v>
      </c>
      <c r="B43" s="341">
        <f>IFERROR(__xludf.DUMMYFUNCTION("""COMPUTED_VALUE"""),3504.0)</f>
        <v>3504</v>
      </c>
      <c r="C43" s="341" t="str">
        <f>IFERROR(__xludf.DUMMYFUNCTION("""COMPUTED_VALUE"""),"BAY ISLANDER")</f>
        <v>BAY ISLANDER</v>
      </c>
      <c r="D43" s="354">
        <f>IFERROR(__xludf.DUMMYFUNCTION("""COMPUTED_VALUE"""),0.0)</f>
        <v>0</v>
      </c>
      <c r="E43" s="355">
        <f>IFERROR(__xludf.DUMMYFUNCTION("""COMPUTED_VALUE"""),0.0060074451634577215)</f>
        <v>0.006007445163</v>
      </c>
      <c r="F43" s="355">
        <f>IFERROR(__xludf.DUMMYFUNCTION("""COMPUTED_VALUE"""),0.002261052407510204)</f>
        <v>0.002261052408</v>
      </c>
      <c r="G43" s="355">
        <f>IFERROR(__xludf.DUMMYFUNCTION("""COMPUTED_VALUE"""),0.0019655979653408627)</f>
        <v>0.001965597965</v>
      </c>
      <c r="H43" s="355">
        <f t="shared" ref="H43:J43" si="24">$G$43</f>
        <v>0.001965597965</v>
      </c>
      <c r="I43" s="355">
        <f t="shared" si="24"/>
        <v>0.001965597965</v>
      </c>
      <c r="J43" s="356">
        <f t="shared" si="24"/>
        <v>0.001965597965</v>
      </c>
      <c r="K43" s="341"/>
      <c r="L43" s="342"/>
      <c r="M43" s="342"/>
      <c r="N43" s="304"/>
      <c r="O43" s="304"/>
      <c r="P43" s="304"/>
      <c r="Q43" s="304"/>
      <c r="R43" s="304"/>
      <c r="S43" s="304"/>
      <c r="T43" s="304"/>
      <c r="U43" s="304"/>
      <c r="V43" s="304"/>
      <c r="W43" s="304"/>
      <c r="X43" s="304"/>
      <c r="Y43" s="304"/>
      <c r="Z43" s="304"/>
    </row>
    <row r="44" ht="15.75" customHeight="1">
      <c r="A44" s="341" t="s">
        <v>249</v>
      </c>
      <c r="B44" s="341">
        <f>IFERROR(__xludf.DUMMYFUNCTION("""COMPUTED_VALUE"""),4852.0)</f>
        <v>4852</v>
      </c>
      <c r="C44" s="341" t="str">
        <f>IFERROR(__xludf.DUMMYFUNCTION("""COMPUTED_VALUE"""),"PACIFIC STAR")</f>
        <v>PACIFIC STAR</v>
      </c>
      <c r="D44" s="354">
        <f>IFERROR(__xludf.DUMMYFUNCTION("""COMPUTED_VALUE"""),0.045726900325868576)</f>
        <v>0.04572690033</v>
      </c>
      <c r="E44" s="355">
        <f>IFERROR(__xludf.DUMMYFUNCTION("""COMPUTED_VALUE"""),0.061728423974956904)</f>
        <v>0.06172842397</v>
      </c>
      <c r="F44" s="355">
        <f>IFERROR(__xludf.DUMMYFUNCTION("""COMPUTED_VALUE"""),0.05353244279206411)</f>
        <v>0.05353244279</v>
      </c>
      <c r="G44" s="355">
        <f>IFERROR(__xludf.DUMMYFUNCTION("""COMPUTED_VALUE"""),0.05128647576974575)</f>
        <v>0.05128647577</v>
      </c>
      <c r="H44" s="355">
        <f t="shared" ref="H44:J44" si="25">$G$44</f>
        <v>0.05128647577</v>
      </c>
      <c r="I44" s="355">
        <f t="shared" si="25"/>
        <v>0.05128647577</v>
      </c>
      <c r="J44" s="356">
        <f t="shared" si="25"/>
        <v>0.05128647577</v>
      </c>
      <c r="K44" s="341"/>
      <c r="L44" s="342"/>
      <c r="M44" s="342"/>
      <c r="N44" s="304"/>
      <c r="O44" s="304"/>
      <c r="P44" s="304"/>
      <c r="Q44" s="304"/>
      <c r="R44" s="304"/>
      <c r="S44" s="304"/>
      <c r="T44" s="304"/>
      <c r="U44" s="304"/>
      <c r="V44" s="304"/>
      <c r="W44" s="304"/>
      <c r="X44" s="304"/>
      <c r="Y44" s="304"/>
      <c r="Z44" s="304"/>
    </row>
    <row r="45" ht="15.75" customHeight="1">
      <c r="A45" s="341" t="s">
        <v>250</v>
      </c>
      <c r="B45" s="341">
        <f>IFERROR(__xludf.DUMMYFUNCTION("""COMPUTED_VALUE"""),2603.0)</f>
        <v>2603</v>
      </c>
      <c r="C45" s="341" t="str">
        <f>IFERROR(__xludf.DUMMYFUNCTION("""COMPUTED_VALUE"""),"TAASINGE")</f>
        <v>TAASINGE</v>
      </c>
      <c r="D45" s="354">
        <f>IFERROR(__xludf.DUMMYFUNCTION("""COMPUTED_VALUE"""),0.020564326869106003)</f>
        <v>0.02056432687</v>
      </c>
      <c r="E45" s="355">
        <f>IFERROR(__xludf.DUMMYFUNCTION("""COMPUTED_VALUE"""),0.024360286879259552)</f>
        <v>0.02436028688</v>
      </c>
      <c r="F45" s="355">
        <f>IFERROR(__xludf.DUMMYFUNCTION("""COMPUTED_VALUE"""),0.03242855143670995)</f>
        <v>0.03242855144</v>
      </c>
      <c r="G45" s="355">
        <f>IFERROR(__xludf.DUMMYFUNCTION("""COMPUTED_VALUE"""),0.023702551064420166)</f>
        <v>0.02370255106</v>
      </c>
      <c r="H45" s="355">
        <f t="shared" ref="H45:J45" si="26">$G$45</f>
        <v>0.02370255106</v>
      </c>
      <c r="I45" s="355">
        <f t="shared" si="26"/>
        <v>0.02370255106</v>
      </c>
      <c r="J45" s="356">
        <f t="shared" si="26"/>
        <v>0.02370255106</v>
      </c>
      <c r="K45" s="341"/>
      <c r="L45" s="342"/>
      <c r="M45" s="342"/>
      <c r="N45" s="304"/>
      <c r="O45" s="304"/>
      <c r="P45" s="304"/>
      <c r="Q45" s="304"/>
      <c r="R45" s="304"/>
      <c r="S45" s="304"/>
      <c r="T45" s="304"/>
      <c r="U45" s="304"/>
      <c r="V45" s="304"/>
      <c r="W45" s="304"/>
      <c r="X45" s="304"/>
      <c r="Y45" s="304"/>
      <c r="Z45" s="304"/>
    </row>
    <row r="46" ht="15.75" customHeight="1">
      <c r="A46" s="341" t="s">
        <v>251</v>
      </c>
      <c r="B46" s="341">
        <f>IFERROR(__xludf.DUMMYFUNCTION("""COMPUTED_VALUE"""),1619.0)</f>
        <v>1619</v>
      </c>
      <c r="C46" s="341" t="str">
        <f>IFERROR(__xludf.DUMMYFUNCTION("""COMPUTED_VALUE"""),"STELLA")</f>
        <v>STELLA</v>
      </c>
      <c r="D46" s="354">
        <f>IFERROR(__xludf.DUMMYFUNCTION("""COMPUTED_VALUE"""),0.025514105255073718)</f>
        <v>0.02551410526</v>
      </c>
      <c r="E46" s="355">
        <f>IFERROR(__xludf.DUMMYFUNCTION("""COMPUTED_VALUE"""),0.025823406556814033)</f>
        <v>0.02582340656</v>
      </c>
      <c r="F46" s="355">
        <f>IFERROR(__xludf.DUMMYFUNCTION("""COMPUTED_VALUE"""),0.024818924649427827)</f>
        <v>0.02481892465</v>
      </c>
      <c r="G46" s="355">
        <f>IFERROR(__xludf.DUMMYFUNCTION("""COMPUTED_VALUE"""),0.025467834145056826)</f>
        <v>0.02546783415</v>
      </c>
      <c r="H46" s="355">
        <f t="shared" ref="H46:J46" si="27">$G$46</f>
        <v>0.02546783415</v>
      </c>
      <c r="I46" s="355">
        <f t="shared" si="27"/>
        <v>0.02546783415</v>
      </c>
      <c r="J46" s="356">
        <f t="shared" si="27"/>
        <v>0.02546783415</v>
      </c>
      <c r="K46" s="341"/>
      <c r="L46" s="342"/>
      <c r="M46" s="342"/>
      <c r="N46" s="304"/>
      <c r="O46" s="304"/>
      <c r="P46" s="304"/>
      <c r="Q46" s="304"/>
      <c r="R46" s="304"/>
      <c r="S46" s="304"/>
      <c r="T46" s="304"/>
      <c r="U46" s="304"/>
      <c r="V46" s="304"/>
      <c r="W46" s="304"/>
      <c r="X46" s="304"/>
      <c r="Y46" s="304"/>
      <c r="Z46" s="304"/>
    </row>
    <row r="47" ht="15.75" customHeight="1">
      <c r="A47" s="341" t="s">
        <v>252</v>
      </c>
      <c r="B47" s="341">
        <f>IFERROR(__xludf.DUMMYFUNCTION("""COMPUTED_VALUE"""),2188.0)</f>
        <v>2188</v>
      </c>
      <c r="C47" s="341" t="str">
        <f>IFERROR(__xludf.DUMMYFUNCTION("""COMPUTED_VALUE"""),"GREEN HOPE")</f>
        <v>GREEN HOPE</v>
      </c>
      <c r="D47" s="354">
        <f>IFERROR(__xludf.DUMMYFUNCTION("""COMPUTED_VALUE"""),0.00775873278686683)</f>
        <v>0.007758732787</v>
      </c>
      <c r="E47" s="355">
        <f>IFERROR(__xludf.DUMMYFUNCTION("""COMPUTED_VALUE"""),0.008759766111268724)</f>
        <v>0.008759766111</v>
      </c>
      <c r="F47" s="355">
        <f>IFERROR(__xludf.DUMMYFUNCTION("""COMPUTED_VALUE"""),0.018528056935413904)</f>
        <v>0.01852805694</v>
      </c>
      <c r="G47" s="355">
        <f>IFERROR(__xludf.DUMMYFUNCTION("""COMPUTED_VALUE"""),0.009974668587359608)</f>
        <v>0.009974668587</v>
      </c>
      <c r="H47" s="355">
        <f t="shared" ref="H47:J47" si="28">$G$47</f>
        <v>0.009974668587</v>
      </c>
      <c r="I47" s="355">
        <f t="shared" si="28"/>
        <v>0.009974668587</v>
      </c>
      <c r="J47" s="356">
        <f t="shared" si="28"/>
        <v>0.009974668587</v>
      </c>
      <c r="K47" s="341"/>
      <c r="L47" s="342"/>
      <c r="M47" s="342"/>
      <c r="N47" s="304"/>
      <c r="O47" s="304"/>
      <c r="P47" s="304"/>
      <c r="Q47" s="304"/>
      <c r="R47" s="304"/>
      <c r="S47" s="304"/>
      <c r="T47" s="304"/>
      <c r="U47" s="304"/>
      <c r="V47" s="304"/>
      <c r="W47" s="304"/>
      <c r="X47" s="304"/>
      <c r="Y47" s="304"/>
      <c r="Z47" s="304"/>
    </row>
    <row r="48" ht="15.75" customHeight="1">
      <c r="A48" s="341" t="s">
        <v>253</v>
      </c>
      <c r="B48" s="341">
        <f>IFERROR(__xludf.DUMMYFUNCTION("""COMPUTED_VALUE"""),2683.0)</f>
        <v>2683</v>
      </c>
      <c r="C48" s="341" t="str">
        <f>IFERROR(__xludf.DUMMYFUNCTION("""COMPUTED_VALUE"""),"OCEAN HOPE 3")</f>
        <v>OCEAN HOPE 3</v>
      </c>
      <c r="D48" s="354">
        <f>IFERROR(__xludf.DUMMYFUNCTION("""COMPUTED_VALUE"""),0.040862954898430275)</f>
        <v>0.0408629549</v>
      </c>
      <c r="E48" s="355">
        <f>IFERROR(__xludf.DUMMYFUNCTION("""COMPUTED_VALUE"""),0.015648477138430764)</f>
        <v>0.01564847714</v>
      </c>
      <c r="F48" s="355">
        <f>IFERROR(__xludf.DUMMYFUNCTION("""COMPUTED_VALUE"""),0.015858773209207748)</f>
        <v>0.01585877321</v>
      </c>
      <c r="G48" s="355">
        <f>IFERROR(__xludf.DUMMYFUNCTION("""COMPUTED_VALUE"""),0.029793915781792617)</f>
        <v>0.02979391578</v>
      </c>
      <c r="H48" s="355">
        <f t="shared" ref="H48:J48" si="29">$G$48</f>
        <v>0.02979391578</v>
      </c>
      <c r="I48" s="355">
        <f t="shared" si="29"/>
        <v>0.02979391578</v>
      </c>
      <c r="J48" s="356">
        <f t="shared" si="29"/>
        <v>0.02979391578</v>
      </c>
      <c r="K48" s="341"/>
      <c r="L48" s="342"/>
      <c r="M48" s="342"/>
      <c r="N48" s="304"/>
      <c r="O48" s="304"/>
      <c r="P48" s="304"/>
      <c r="Q48" s="304"/>
      <c r="R48" s="304"/>
      <c r="S48" s="304"/>
      <c r="T48" s="304"/>
      <c r="U48" s="304"/>
      <c r="V48" s="304"/>
      <c r="W48" s="304"/>
      <c r="X48" s="304"/>
      <c r="Y48" s="304"/>
      <c r="Z48" s="304"/>
    </row>
    <row r="49" ht="15.75" customHeight="1">
      <c r="A49" s="362" t="s">
        <v>233</v>
      </c>
      <c r="B49" s="363">
        <f>IFERROR(__xludf.DUMMYFUNCTION("""COMPUTED_VALUE"""),9.0)</f>
        <v>9</v>
      </c>
      <c r="C49" s="364" t="str">
        <f>IFERROR(__xludf.DUMMYFUNCTION("""COMPUTED_VALUE"""),"TOTAL")</f>
        <v>TOTAL</v>
      </c>
      <c r="D49" s="365">
        <f>IFERROR(__xludf.DUMMYFUNCTION("""COMPUTED_VALUE"""),0.20770942633550502)</f>
        <v>0.2077094263</v>
      </c>
      <c r="E49" s="366">
        <f>IFERROR(__xludf.DUMMYFUNCTION("""COMPUTED_VALUE"""),0.2312702269773932)</f>
        <v>0.231270227</v>
      </c>
      <c r="F49" s="366">
        <f>IFERROR(__xludf.DUMMYFUNCTION("""COMPUTED_VALUE"""),0.2429167760800156)</f>
        <v>0.2429167761</v>
      </c>
      <c r="G49" s="366">
        <f>IFERROR(__xludf.DUMMYFUNCTION("""COMPUTED_VALUE"""),0.22020447802516716)</f>
        <v>0.220204478</v>
      </c>
      <c r="H49" s="366">
        <f t="shared" ref="H49:J49" si="30">$G$49</f>
        <v>0.220204478</v>
      </c>
      <c r="I49" s="366">
        <f t="shared" si="30"/>
        <v>0.220204478</v>
      </c>
      <c r="J49" s="367">
        <f t="shared" si="30"/>
        <v>0.220204478</v>
      </c>
      <c r="K49" s="341"/>
      <c r="L49" s="342"/>
      <c r="M49" s="342"/>
      <c r="N49" s="304"/>
      <c r="O49" s="304"/>
      <c r="P49" s="304"/>
      <c r="Q49" s="304"/>
      <c r="R49" s="304"/>
      <c r="S49" s="304"/>
      <c r="T49" s="304"/>
      <c r="U49" s="304"/>
      <c r="V49" s="304"/>
      <c r="W49" s="304"/>
      <c r="X49" s="304"/>
      <c r="Y49" s="304"/>
      <c r="Z49" s="304"/>
    </row>
    <row r="50" ht="15.75" customHeight="1">
      <c r="A50" s="341"/>
      <c r="B50" s="341"/>
      <c r="C50" s="341"/>
      <c r="D50" s="341"/>
      <c r="E50" s="341"/>
      <c r="F50" s="341"/>
      <c r="G50" s="341"/>
      <c r="H50" s="341"/>
      <c r="I50" s="341"/>
      <c r="J50" s="341"/>
      <c r="K50" s="341"/>
      <c r="L50" s="342"/>
      <c r="M50" s="342"/>
      <c r="N50" s="304"/>
      <c r="O50" s="304"/>
      <c r="P50" s="304"/>
      <c r="Q50" s="304"/>
      <c r="R50" s="304"/>
      <c r="S50" s="304"/>
      <c r="T50" s="304"/>
      <c r="U50" s="304"/>
      <c r="V50" s="304"/>
      <c r="W50" s="304"/>
      <c r="X50" s="304"/>
      <c r="Y50" s="304"/>
      <c r="Z50" s="304"/>
    </row>
    <row r="51" ht="15.75" customHeight="1">
      <c r="A51" s="341"/>
      <c r="B51" s="341"/>
      <c r="C51" s="341"/>
      <c r="D51" s="341"/>
      <c r="E51" s="341"/>
      <c r="F51" s="341"/>
      <c r="G51" s="341"/>
      <c r="H51" s="341"/>
      <c r="I51" s="341"/>
      <c r="J51" s="341"/>
      <c r="K51" s="341"/>
      <c r="L51" s="342"/>
      <c r="M51" s="342"/>
      <c r="N51" s="304"/>
      <c r="O51" s="304"/>
      <c r="P51" s="304"/>
      <c r="Q51" s="304"/>
      <c r="R51" s="304"/>
      <c r="S51" s="304"/>
      <c r="T51" s="304"/>
      <c r="U51" s="304"/>
      <c r="V51" s="304"/>
      <c r="W51" s="304"/>
      <c r="X51" s="304"/>
      <c r="Y51" s="304"/>
      <c r="Z51" s="304"/>
    </row>
    <row r="52" ht="15.75" customHeight="1">
      <c r="A52" s="338" t="s">
        <v>89</v>
      </c>
      <c r="B52" s="341"/>
      <c r="C52" s="341"/>
      <c r="D52" s="341"/>
      <c r="E52" s="341"/>
      <c r="F52" s="341"/>
      <c r="G52" s="341"/>
      <c r="H52" s="341"/>
      <c r="I52" s="341"/>
      <c r="J52" s="341"/>
      <c r="K52" s="341"/>
      <c r="L52" s="342"/>
      <c r="M52" s="342"/>
      <c r="N52" s="304"/>
      <c r="O52" s="304"/>
      <c r="P52" s="304"/>
      <c r="Q52" s="304"/>
      <c r="R52" s="304"/>
      <c r="S52" s="304"/>
      <c r="T52" s="304"/>
      <c r="U52" s="304"/>
      <c r="V52" s="304"/>
      <c r="W52" s="304"/>
      <c r="X52" s="304"/>
      <c r="Y52" s="304"/>
      <c r="Z52" s="304"/>
    </row>
    <row r="53" ht="15.75" customHeight="1">
      <c r="A53" s="339" t="s">
        <v>218</v>
      </c>
      <c r="B53" s="28"/>
      <c r="C53" s="29"/>
      <c r="D53" s="340" t="s">
        <v>219</v>
      </c>
      <c r="E53" s="28"/>
      <c r="F53" s="28"/>
      <c r="G53" s="28"/>
      <c r="H53" s="28"/>
      <c r="I53" s="28"/>
      <c r="J53" s="29"/>
      <c r="K53" s="341"/>
      <c r="L53" s="342"/>
      <c r="M53" s="342"/>
      <c r="N53" s="304"/>
      <c r="O53" s="304"/>
      <c r="P53" s="304"/>
      <c r="Q53" s="304"/>
      <c r="R53" s="304"/>
      <c r="S53" s="304"/>
      <c r="T53" s="304"/>
      <c r="U53" s="304"/>
      <c r="V53" s="304"/>
      <c r="W53" s="304"/>
      <c r="X53" s="304"/>
      <c r="Y53" s="304"/>
      <c r="Z53" s="304"/>
    </row>
    <row r="54" ht="15.75" customHeight="1">
      <c r="A54" s="343" t="s">
        <v>220</v>
      </c>
      <c r="B54" s="344" t="s">
        <v>221</v>
      </c>
      <c r="C54" s="345" t="s">
        <v>17</v>
      </c>
      <c r="D54" s="344" t="s">
        <v>5</v>
      </c>
      <c r="E54" s="344" t="s">
        <v>174</v>
      </c>
      <c r="F54" s="344" t="s">
        <v>8</v>
      </c>
      <c r="G54" s="344" t="s">
        <v>222</v>
      </c>
      <c r="H54" s="344" t="s">
        <v>125</v>
      </c>
      <c r="I54" s="344" t="s">
        <v>130</v>
      </c>
      <c r="J54" s="345" t="s">
        <v>133</v>
      </c>
      <c r="K54" s="341"/>
      <c r="L54" s="342"/>
      <c r="M54" s="342"/>
      <c r="N54" s="304"/>
      <c r="O54" s="304"/>
      <c r="P54" s="304"/>
      <c r="Q54" s="304"/>
      <c r="R54" s="304"/>
      <c r="S54" s="304"/>
      <c r="T54" s="304"/>
      <c r="U54" s="304"/>
      <c r="V54" s="304"/>
      <c r="W54" s="304"/>
      <c r="X54" s="304"/>
      <c r="Y54" s="304"/>
      <c r="Z54" s="304"/>
    </row>
    <row r="55" ht="15.75" customHeight="1">
      <c r="A55" s="352" t="s">
        <v>254</v>
      </c>
      <c r="B55" s="341">
        <f>IFERROR(__xludf.DUMMYFUNCTION("IMPORTRANGE(""https://docs.google.com/spreadsheets/d/1fpr4iXJjYPIWfqLVGaDLSDFHokxxaVbtvYkSxFtDSHM/edit#gid=1391174979"", ""'CV Coop LLP Primary Alloc'!A65:B79"")"),3658.0)</f>
        <v>3658</v>
      </c>
      <c r="C55" s="353" t="str">
        <f>IFERROR(__xludf.DUMMYFUNCTION("""COMPUTED_VALUE"""),"OCEAN STORM")</f>
        <v>OCEAN STORM</v>
      </c>
      <c r="D55" s="355">
        <f>IFERROR(__xludf.DUMMYFUNCTION("IMPORTRANGE(""https://docs.google.com/spreadsheets/d/1fpr4iXJjYPIWfqLVGaDLSDFHokxxaVbtvYkSxFtDSHM/edit#gid=1391174979"", ""'CV Coop LLP Primary Alloc'!P65:R79"")"),0.005182594036006043)</f>
        <v>0.005182594036</v>
      </c>
      <c r="E55" s="355">
        <f>IFERROR(__xludf.DUMMYFUNCTION("""COMPUTED_VALUE"""),9.8723106690782E-5)</f>
        <v>0.00009872310669</v>
      </c>
      <c r="F55" s="355">
        <f>IFERROR(__xludf.DUMMYFUNCTION("""COMPUTED_VALUE"""),0.0037520332665161387)</f>
        <v>0.003752033267</v>
      </c>
      <c r="G55" s="355">
        <f>IFERROR(__xludf.DUMMYFUNCTION("IMPORTRANGE(""https://docs.google.com/spreadsheets/d/1fpr4iXJjYPIWfqLVGaDLSDFHokxxaVbtvYkSxFtDSHM/edit#gid=1392452204"", ""'CV Secondary &amp; PSC Alloc'!G72:G86"")"),0.0036069267697289016)</f>
        <v>0.00360692677</v>
      </c>
      <c r="H55" s="355">
        <f t="shared" ref="H55:J55" si="31">$G$55</f>
        <v>0.00360692677</v>
      </c>
      <c r="I55" s="355">
        <f t="shared" si="31"/>
        <v>0.00360692677</v>
      </c>
      <c r="J55" s="356">
        <f t="shared" si="31"/>
        <v>0.00360692677</v>
      </c>
      <c r="K55" s="341"/>
      <c r="L55" s="342"/>
      <c r="M55" s="342"/>
      <c r="N55" s="304"/>
      <c r="O55" s="304"/>
      <c r="P55" s="304"/>
      <c r="Q55" s="304"/>
      <c r="R55" s="304"/>
      <c r="S55" s="304"/>
      <c r="T55" s="304"/>
      <c r="U55" s="304"/>
      <c r="V55" s="304"/>
      <c r="W55" s="304"/>
      <c r="X55" s="304"/>
      <c r="Y55" s="304"/>
      <c r="Z55" s="304"/>
    </row>
    <row r="56" ht="15.75" customHeight="1">
      <c r="A56" s="352" t="s">
        <v>255</v>
      </c>
      <c r="B56" s="341">
        <f>IFERROR(__xludf.DUMMYFUNCTION("""COMPUTED_VALUE"""),2364.0)</f>
        <v>2364</v>
      </c>
      <c r="C56" s="353" t="str">
        <f>IFERROR(__xludf.DUMMYFUNCTION("""COMPUTED_VALUE"""),"ROSELLA")</f>
        <v>ROSELLA</v>
      </c>
      <c r="D56" s="355">
        <f>IFERROR(__xludf.DUMMYFUNCTION("""COMPUTED_VALUE"""),0.011348833776759175)</f>
        <v>0.01134883378</v>
      </c>
      <c r="E56" s="355">
        <f>IFERROR(__xludf.DUMMYFUNCTION("""COMPUTED_VALUE"""),0.010376843392797552)</f>
        <v>0.01037684339</v>
      </c>
      <c r="F56" s="355">
        <f>IFERROR(__xludf.DUMMYFUNCTION("""COMPUTED_VALUE"""),0.03064141684543572)</f>
        <v>0.03064141685</v>
      </c>
      <c r="G56" s="355">
        <f>IFERROR(__xludf.DUMMYFUNCTION("""COMPUTED_VALUE"""),0.014602882361666427)</f>
        <v>0.01460288236</v>
      </c>
      <c r="H56" s="355">
        <f t="shared" ref="H56:J56" si="32">$G$56</f>
        <v>0.01460288236</v>
      </c>
      <c r="I56" s="355">
        <f t="shared" si="32"/>
        <v>0.01460288236</v>
      </c>
      <c r="J56" s="356">
        <f t="shared" si="32"/>
        <v>0.01460288236</v>
      </c>
      <c r="K56" s="341"/>
      <c r="L56" s="342"/>
      <c r="M56" s="342"/>
      <c r="N56" s="304"/>
      <c r="O56" s="304"/>
      <c r="P56" s="304"/>
      <c r="Q56" s="304"/>
      <c r="R56" s="304"/>
      <c r="S56" s="304"/>
      <c r="T56" s="304"/>
      <c r="U56" s="304"/>
      <c r="V56" s="304"/>
      <c r="W56" s="304"/>
      <c r="X56" s="304"/>
      <c r="Y56" s="304"/>
      <c r="Z56" s="304"/>
    </row>
    <row r="57" ht="15.75" customHeight="1">
      <c r="A57" s="352" t="s">
        <v>256</v>
      </c>
      <c r="B57" s="341">
        <f>IFERROR(__xludf.DUMMYFUNCTION("""COMPUTED_VALUE"""),3521.0)</f>
        <v>3521</v>
      </c>
      <c r="C57" s="353" t="str">
        <f>IFERROR(__xludf.DUMMYFUNCTION("""COMPUTED_VALUE"""),"EXCALIBUR II")</f>
        <v>EXCALIBUR II</v>
      </c>
      <c r="D57" s="355">
        <f>IFERROR(__xludf.DUMMYFUNCTION("""COMPUTED_VALUE"""),0.03026758449821436)</f>
        <v>0.0302675845</v>
      </c>
      <c r="E57" s="355">
        <f>IFERROR(__xludf.DUMMYFUNCTION("""COMPUTED_VALUE"""),0.025772964093541368)</f>
        <v>0.02577296409</v>
      </c>
      <c r="F57" s="355">
        <f>IFERROR(__xludf.DUMMYFUNCTION("""COMPUTED_VALUE"""),0.0191022492955508)</f>
        <v>0.0191022493</v>
      </c>
      <c r="G57" s="355">
        <f>IFERROR(__xludf.DUMMYFUNCTION("""COMPUTED_VALUE"""),0.027075537799354402)</f>
        <v>0.0270755378</v>
      </c>
      <c r="H57" s="355">
        <f t="shared" ref="H57:J57" si="33">$G$57</f>
        <v>0.0270755378</v>
      </c>
      <c r="I57" s="355">
        <f t="shared" si="33"/>
        <v>0.0270755378</v>
      </c>
      <c r="J57" s="356">
        <f t="shared" si="33"/>
        <v>0.0270755378</v>
      </c>
      <c r="K57" s="341"/>
      <c r="L57" s="342"/>
      <c r="M57" s="342"/>
      <c r="N57" s="304"/>
      <c r="O57" s="304"/>
      <c r="P57" s="304"/>
      <c r="Q57" s="304"/>
      <c r="R57" s="304"/>
      <c r="S57" s="304"/>
      <c r="T57" s="304"/>
      <c r="U57" s="304"/>
      <c r="V57" s="304"/>
      <c r="W57" s="304"/>
      <c r="X57" s="304"/>
      <c r="Y57" s="304"/>
      <c r="Z57" s="304"/>
    </row>
    <row r="58" ht="15.75" customHeight="1">
      <c r="A58" s="352" t="s">
        <v>257</v>
      </c>
      <c r="B58" s="341">
        <f>IFERROR(__xludf.DUMMYFUNCTION("""COMPUTED_VALUE"""),2567.0)</f>
        <v>2567</v>
      </c>
      <c r="C58" s="353" t="str">
        <f>IFERROR(__xludf.DUMMYFUNCTION("""COMPUTED_VALUE"""),"ARCTIC RAM")</f>
        <v>ARCTIC RAM</v>
      </c>
      <c r="D58" s="355">
        <f>IFERROR(__xludf.DUMMYFUNCTION("""COMPUTED_VALUE"""),0.01228991300071323)</f>
        <v>0.012289913</v>
      </c>
      <c r="E58" s="355">
        <f>IFERROR(__xludf.DUMMYFUNCTION("""COMPUTED_VALUE"""),0.01715054560369792)</f>
        <v>0.0171505456</v>
      </c>
      <c r="F58" s="355">
        <f>IFERROR(__xludf.DUMMYFUNCTION("""COMPUTED_VALUE"""),0.0205075298022975)</f>
        <v>0.0205075298</v>
      </c>
      <c r="G58" s="355">
        <f>IFERROR(__xludf.DUMMYFUNCTION("""COMPUTED_VALUE"""),0.015041063012775963)</f>
        <v>0.01504106301</v>
      </c>
      <c r="H58" s="355">
        <f t="shared" ref="H58:J58" si="34">$G$58</f>
        <v>0.01504106301</v>
      </c>
      <c r="I58" s="355">
        <f t="shared" si="34"/>
        <v>0.01504106301</v>
      </c>
      <c r="J58" s="356">
        <f t="shared" si="34"/>
        <v>0.01504106301</v>
      </c>
      <c r="K58" s="341"/>
      <c r="L58" s="342"/>
      <c r="M58" s="342"/>
      <c r="N58" s="304"/>
      <c r="O58" s="304"/>
      <c r="P58" s="304"/>
      <c r="Q58" s="304"/>
      <c r="R58" s="304"/>
      <c r="S58" s="304"/>
      <c r="T58" s="304"/>
      <c r="U58" s="304"/>
      <c r="V58" s="304"/>
      <c r="W58" s="304"/>
      <c r="X58" s="304"/>
      <c r="Y58" s="304"/>
      <c r="Z58" s="304"/>
    </row>
    <row r="59" ht="15.75" customHeight="1">
      <c r="A59" s="352" t="s">
        <v>258</v>
      </c>
      <c r="B59" s="341">
        <f>IFERROR(__xludf.DUMMYFUNCTION("""COMPUTED_VALUE"""),2278.0)</f>
        <v>2278</v>
      </c>
      <c r="C59" s="353" t="str">
        <f>IFERROR(__xludf.DUMMYFUNCTION("""COMPUTED_VALUE"""),"MARCY J")</f>
        <v>MARCY J</v>
      </c>
      <c r="D59" s="355">
        <f>IFERROR(__xludf.DUMMYFUNCTION("""COMPUTED_VALUE"""),0.02379936274278269)</f>
        <v>0.02379936274</v>
      </c>
      <c r="E59" s="355">
        <f>IFERROR(__xludf.DUMMYFUNCTION("""COMPUTED_VALUE"""),0.03658908928078199)</f>
        <v>0.03658908928</v>
      </c>
      <c r="F59" s="355">
        <f>IFERROR(__xludf.DUMMYFUNCTION("""COMPUTED_VALUE"""),0.059937646065858614)</f>
        <v>0.05993764607</v>
      </c>
      <c r="G59" s="355">
        <f>IFERROR(__xludf.DUMMYFUNCTION("""COMPUTED_VALUE"""),0.03367597945628281)</f>
        <v>0.03367597946</v>
      </c>
      <c r="H59" s="355">
        <f t="shared" ref="H59:J59" si="35">$G$59</f>
        <v>0.03367597946</v>
      </c>
      <c r="I59" s="355">
        <f t="shared" si="35"/>
        <v>0.03367597946</v>
      </c>
      <c r="J59" s="356">
        <f t="shared" si="35"/>
        <v>0.03367597946</v>
      </c>
      <c r="K59" s="341"/>
      <c r="L59" s="342"/>
      <c r="M59" s="342"/>
      <c r="N59" s="304"/>
      <c r="O59" s="304"/>
      <c r="P59" s="304"/>
      <c r="Q59" s="304"/>
      <c r="R59" s="304"/>
      <c r="S59" s="304"/>
      <c r="T59" s="304"/>
      <c r="U59" s="304"/>
      <c r="V59" s="304"/>
      <c r="W59" s="304"/>
      <c r="X59" s="304"/>
      <c r="Y59" s="304"/>
      <c r="Z59" s="304"/>
    </row>
    <row r="60" ht="15.75" customHeight="1">
      <c r="A60" s="352" t="s">
        <v>259</v>
      </c>
      <c r="B60" s="341">
        <f>IFERROR(__xludf.DUMMYFUNCTION("""COMPUTED_VALUE"""),2636.0)</f>
        <v>2636</v>
      </c>
      <c r="C60" s="353" t="str">
        <f>IFERROR(__xludf.DUMMYFUNCTION("""COMPUTED_VALUE"""),"CAPE KIWANDA")</f>
        <v>CAPE KIWANDA</v>
      </c>
      <c r="D60" s="355">
        <f>IFERROR(__xludf.DUMMYFUNCTION("""COMPUTED_VALUE"""),0.020407260888294122)</f>
        <v>0.02040726089</v>
      </c>
      <c r="E60" s="355">
        <f>IFERROR(__xludf.DUMMYFUNCTION("""COMPUTED_VALUE"""),0.028322001914363543)</f>
        <v>0.02832200191</v>
      </c>
      <c r="F60" s="355">
        <f>IFERROR(__xludf.DUMMYFUNCTION("""COMPUTED_VALUE"""),0.025743923960489367)</f>
        <v>0.02574392396</v>
      </c>
      <c r="G60" s="355">
        <f>IFERROR(__xludf.DUMMYFUNCTION("""COMPUTED_VALUE"""),0.023425334734126377)</f>
        <v>0.02342533473</v>
      </c>
      <c r="H60" s="355">
        <f t="shared" ref="H60:J60" si="36">$G$60</f>
        <v>0.02342533473</v>
      </c>
      <c r="I60" s="355">
        <f t="shared" si="36"/>
        <v>0.02342533473</v>
      </c>
      <c r="J60" s="356">
        <f t="shared" si="36"/>
        <v>0.02342533473</v>
      </c>
      <c r="K60" s="341"/>
      <c r="L60" s="342"/>
      <c r="M60" s="342"/>
      <c r="N60" s="304"/>
      <c r="O60" s="304"/>
      <c r="P60" s="304"/>
      <c r="Q60" s="304"/>
      <c r="R60" s="304"/>
      <c r="S60" s="304"/>
      <c r="T60" s="304"/>
      <c r="U60" s="304"/>
      <c r="V60" s="304"/>
      <c r="W60" s="304"/>
      <c r="X60" s="304"/>
      <c r="Y60" s="304"/>
      <c r="Z60" s="304"/>
    </row>
    <row r="61" ht="15.75" customHeight="1">
      <c r="A61" s="352" t="s">
        <v>257</v>
      </c>
      <c r="B61" s="341">
        <f>IFERROR(__xludf.DUMMYFUNCTION("""COMPUTED_VALUE"""),3144.0)</f>
        <v>3144</v>
      </c>
      <c r="C61" s="353" t="str">
        <f>IFERROR(__xludf.DUMMYFUNCTION("""COMPUTED_VALUE"""),"PACIFIC RAM")</f>
        <v>PACIFIC RAM</v>
      </c>
      <c r="D61" s="355">
        <f>IFERROR(__xludf.DUMMYFUNCTION("""COMPUTED_VALUE"""),0.0036147842154422593)</f>
        <v>0.003614784215</v>
      </c>
      <c r="E61" s="355">
        <f>IFERROR(__xludf.DUMMYFUNCTION("""COMPUTED_VALUE"""),8.466046853698193E-4)</f>
        <v>0.0008466046854</v>
      </c>
      <c r="F61" s="355">
        <f>IFERROR(__xludf.DUMMYFUNCTION("""COMPUTED_VALUE"""),0.003335591135627684)</f>
        <v>0.003335591136</v>
      </c>
      <c r="G61" s="355">
        <f>IFERROR(__xludf.DUMMYFUNCTION("""COMPUTED_VALUE"""),0.0028476380574670597)</f>
        <v>0.002847638057</v>
      </c>
      <c r="H61" s="355">
        <f t="shared" ref="H61:J61" si="37">$G$61</f>
        <v>0.002847638057</v>
      </c>
      <c r="I61" s="355">
        <f t="shared" si="37"/>
        <v>0.002847638057</v>
      </c>
      <c r="J61" s="356">
        <f t="shared" si="37"/>
        <v>0.002847638057</v>
      </c>
      <c r="K61" s="341"/>
      <c r="L61" s="342"/>
      <c r="M61" s="342"/>
      <c r="N61" s="304"/>
      <c r="O61" s="304"/>
      <c r="P61" s="304"/>
      <c r="Q61" s="304"/>
      <c r="R61" s="304"/>
      <c r="S61" s="304"/>
      <c r="T61" s="304"/>
      <c r="U61" s="304"/>
      <c r="V61" s="304"/>
      <c r="W61" s="304"/>
      <c r="X61" s="304"/>
      <c r="Y61" s="304"/>
      <c r="Z61" s="304"/>
    </row>
    <row r="62" ht="15.75" customHeight="1">
      <c r="A62" s="352" t="s">
        <v>260</v>
      </c>
      <c r="B62" s="341">
        <f>IFERROR(__xludf.DUMMYFUNCTION("""COMPUTED_VALUE"""),3463.0)</f>
        <v>3463</v>
      </c>
      <c r="C62" s="353" t="str">
        <f>IFERROR(__xludf.DUMMYFUNCTION("""COMPUTED_VALUE"""),"TRAVELER")</f>
        <v>TRAVELER</v>
      </c>
      <c r="D62" s="355">
        <f>IFERROR(__xludf.DUMMYFUNCTION("""COMPUTED_VALUE"""),0.025463422143056642)</f>
        <v>0.02546342214</v>
      </c>
      <c r="E62" s="355">
        <f>IFERROR(__xludf.DUMMYFUNCTION("""COMPUTED_VALUE"""),0.002666136396276568)</f>
        <v>0.002666136396</v>
      </c>
      <c r="F62" s="355">
        <f>IFERROR(__xludf.DUMMYFUNCTION("""COMPUTED_VALUE"""),6.521950759656647E-4)</f>
        <v>0.000652195076</v>
      </c>
      <c r="G62" s="355">
        <f>IFERROR(__xludf.DUMMYFUNCTION("""COMPUTED_VALUE"""),0.015055022205700373)</f>
        <v>0.01505502221</v>
      </c>
      <c r="H62" s="355">
        <f t="shared" ref="H62:J62" si="38">$G$62</f>
        <v>0.01505502221</v>
      </c>
      <c r="I62" s="355">
        <f t="shared" si="38"/>
        <v>0.01505502221</v>
      </c>
      <c r="J62" s="356">
        <f t="shared" si="38"/>
        <v>0.01505502221</v>
      </c>
      <c r="K62" s="341"/>
      <c r="L62" s="342"/>
      <c r="M62" s="342"/>
      <c r="N62" s="304"/>
      <c r="O62" s="304"/>
      <c r="P62" s="304"/>
      <c r="Q62" s="304"/>
      <c r="R62" s="304"/>
      <c r="S62" s="304"/>
      <c r="T62" s="304"/>
      <c r="U62" s="304"/>
      <c r="V62" s="304"/>
      <c r="W62" s="304"/>
      <c r="X62" s="304"/>
      <c r="Y62" s="304"/>
      <c r="Z62" s="304"/>
    </row>
    <row r="63" ht="15.75" customHeight="1">
      <c r="A63" s="352" t="s">
        <v>261</v>
      </c>
      <c r="B63" s="341">
        <f>IFERROR(__xludf.DUMMYFUNCTION("""COMPUTED_VALUE"""),3594.0)</f>
        <v>3594</v>
      </c>
      <c r="C63" s="353" t="str">
        <f>IFERROR(__xludf.DUMMYFUNCTION("""COMPUTED_VALUE"""),"ARCTIC WIND")</f>
        <v>ARCTIC WIND</v>
      </c>
      <c r="D63" s="355">
        <f>IFERROR(__xludf.DUMMYFUNCTION("""COMPUTED_VALUE"""),0.06034333650076395)</f>
        <v>0.0603433365</v>
      </c>
      <c r="E63" s="355">
        <f>IFERROR(__xludf.DUMMYFUNCTION("""COMPUTED_VALUE"""),0.06872659514742062)</f>
        <v>0.06872659515</v>
      </c>
      <c r="F63" s="355">
        <f>IFERROR(__xludf.DUMMYFUNCTION("""COMPUTED_VALUE"""),0.051884532785028976)</f>
        <v>0.05188453279</v>
      </c>
      <c r="G63" s="355">
        <f>IFERROR(__xludf.DUMMYFUNCTION("""COMPUTED_VALUE"""),0.060975927367139464)</f>
        <v>0.06097592737</v>
      </c>
      <c r="H63" s="355">
        <f t="shared" ref="H63:J63" si="39">$G$63</f>
        <v>0.06097592737</v>
      </c>
      <c r="I63" s="355">
        <f t="shared" si="39"/>
        <v>0.06097592737</v>
      </c>
      <c r="J63" s="356">
        <f t="shared" si="39"/>
        <v>0.06097592737</v>
      </c>
      <c r="K63" s="341"/>
      <c r="L63" s="342"/>
      <c r="M63" s="342"/>
      <c r="N63" s="304"/>
      <c r="O63" s="304"/>
      <c r="P63" s="304"/>
      <c r="Q63" s="304"/>
      <c r="R63" s="304"/>
      <c r="S63" s="304"/>
      <c r="T63" s="304"/>
      <c r="U63" s="304"/>
      <c r="V63" s="304"/>
      <c r="W63" s="304"/>
      <c r="X63" s="304"/>
      <c r="Y63" s="304"/>
      <c r="Z63" s="304"/>
    </row>
    <row r="64" ht="15.75" customHeight="1">
      <c r="A64" s="352" t="s">
        <v>262</v>
      </c>
      <c r="B64" s="341">
        <f>IFERROR(__xludf.DUMMYFUNCTION("""COMPUTED_VALUE"""),2550.0)</f>
        <v>2550</v>
      </c>
      <c r="C64" s="353" t="str">
        <f>IFERROR(__xludf.DUMMYFUNCTION("""COMPUTED_VALUE"""),"MICHELLE RENEE")</f>
        <v>MICHELLE RENEE</v>
      </c>
      <c r="D64" s="355">
        <f>IFERROR(__xludf.DUMMYFUNCTION("""COMPUTED_VALUE"""),0.04396457468802386)</f>
        <v>0.04396457469</v>
      </c>
      <c r="E64" s="355">
        <f>IFERROR(__xludf.DUMMYFUNCTION("""COMPUTED_VALUE"""),0.1289076245008268)</f>
        <v>0.1289076245</v>
      </c>
      <c r="F64" s="355">
        <f>IFERROR(__xludf.DUMMYFUNCTION("""COMPUTED_VALUE"""),0.09333733131463673)</f>
        <v>0.09333733131</v>
      </c>
      <c r="G64" s="355">
        <f>IFERROR(__xludf.DUMMYFUNCTION("""COMPUTED_VALUE"""),0.07491952926244538)</f>
        <v>0.07491952926</v>
      </c>
      <c r="H64" s="355">
        <f t="shared" ref="H64:J64" si="40">$G$64</f>
        <v>0.07491952926</v>
      </c>
      <c r="I64" s="355">
        <f t="shared" si="40"/>
        <v>0.07491952926</v>
      </c>
      <c r="J64" s="356">
        <f t="shared" si="40"/>
        <v>0.07491952926</v>
      </c>
      <c r="K64" s="341"/>
      <c r="L64" s="342"/>
      <c r="M64" s="342"/>
      <c r="N64" s="304"/>
      <c r="O64" s="304"/>
      <c r="P64" s="304"/>
      <c r="Q64" s="304"/>
      <c r="R64" s="304"/>
      <c r="S64" s="304"/>
      <c r="T64" s="304"/>
      <c r="U64" s="304"/>
      <c r="V64" s="304"/>
      <c r="W64" s="304"/>
      <c r="X64" s="304"/>
      <c r="Y64" s="304"/>
      <c r="Z64" s="304"/>
    </row>
    <row r="65" ht="15.75" customHeight="1">
      <c r="A65" s="352" t="s">
        <v>263</v>
      </c>
      <c r="B65" s="341">
        <f>IFERROR(__xludf.DUMMYFUNCTION("""COMPUTED_VALUE"""),2882.0)</f>
        <v>2882</v>
      </c>
      <c r="C65" s="353" t="str">
        <f>IFERROR(__xludf.DUMMYFUNCTION("""COMPUTED_VALUE"""),"PACIFIC STORM")</f>
        <v>PACIFIC STORM</v>
      </c>
      <c r="D65" s="355">
        <f>IFERROR(__xludf.DUMMYFUNCTION("""COMPUTED_VALUE"""),1.6666593889206684E-6)</f>
        <v>0.000001666659389</v>
      </c>
      <c r="E65" s="355">
        <f>IFERROR(__xludf.DUMMYFUNCTION("""COMPUTED_VALUE"""),3.603033090904453E-6)</f>
        <v>0.000003603033091</v>
      </c>
      <c r="F65" s="355">
        <f>IFERROR(__xludf.DUMMYFUNCTION("""COMPUTED_VALUE"""),5.131757620313672E-6)</f>
        <v>0.00000513175762</v>
      </c>
      <c r="G65" s="355">
        <f>IFERROR(__xludf.DUMMYFUNCTION("""COMPUTED_VALUE"""),2.79743345178568E-6)</f>
        <v>0.000002797433452</v>
      </c>
      <c r="H65" s="355">
        <f t="shared" ref="H65:J65" si="41">$G$65</f>
        <v>0.000002797433452</v>
      </c>
      <c r="I65" s="355">
        <f t="shared" si="41"/>
        <v>0.000002797433452</v>
      </c>
      <c r="J65" s="356">
        <f t="shared" si="41"/>
        <v>0.000002797433452</v>
      </c>
      <c r="K65" s="341"/>
      <c r="L65" s="342"/>
      <c r="M65" s="342"/>
      <c r="N65" s="304"/>
      <c r="O65" s="304"/>
      <c r="P65" s="304"/>
      <c r="Q65" s="304"/>
      <c r="R65" s="304"/>
      <c r="S65" s="304"/>
      <c r="T65" s="304"/>
      <c r="U65" s="304"/>
      <c r="V65" s="304"/>
      <c r="W65" s="304"/>
      <c r="X65" s="304"/>
      <c r="Y65" s="304"/>
      <c r="Z65" s="304"/>
    </row>
    <row r="66" ht="15.75" customHeight="1">
      <c r="A66" s="341" t="s">
        <v>264</v>
      </c>
      <c r="B66" s="341">
        <f>IFERROR(__xludf.DUMMYFUNCTION("""COMPUTED_VALUE"""),1271.0)</f>
        <v>1271</v>
      </c>
      <c r="C66" s="353" t="str">
        <f>IFERROR(__xludf.DUMMYFUNCTION("""COMPUTED_VALUE"""),"WALTER N")</f>
        <v>WALTER N</v>
      </c>
      <c r="D66" s="355">
        <f>IFERROR(__xludf.DUMMYFUNCTION("""COMPUTED_VALUE"""),0.03695457196503575)</f>
        <v>0.03695457197</v>
      </c>
      <c r="E66" s="355">
        <f>IFERROR(__xludf.DUMMYFUNCTION("""COMPUTED_VALUE"""),0.010011279655394386)</f>
        <v>0.01001127966</v>
      </c>
      <c r="F66" s="355">
        <f>IFERROR(__xludf.DUMMYFUNCTION("""COMPUTED_VALUE"""),0.016909859805000396)</f>
        <v>0.01690985981</v>
      </c>
      <c r="G66" s="355">
        <f>IFERROR(__xludf.DUMMYFUNCTION("""COMPUTED_VALUE"""),0.02633928128917893)</f>
        <v>0.02633928129</v>
      </c>
      <c r="H66" s="355">
        <f t="shared" ref="H66:J66" si="42">G66</f>
        <v>0.02633928129</v>
      </c>
      <c r="I66" s="355">
        <f t="shared" si="42"/>
        <v>0.02633928129</v>
      </c>
      <c r="J66" s="356">
        <f t="shared" si="42"/>
        <v>0.02633928129</v>
      </c>
      <c r="K66" s="341"/>
      <c r="L66" s="342"/>
      <c r="M66" s="342"/>
      <c r="N66" s="304"/>
      <c r="O66" s="304"/>
      <c r="P66" s="304"/>
      <c r="Q66" s="304"/>
      <c r="R66" s="304"/>
      <c r="S66" s="304"/>
      <c r="T66" s="304"/>
      <c r="U66" s="304"/>
      <c r="V66" s="304"/>
      <c r="W66" s="304"/>
      <c r="X66" s="304"/>
      <c r="Y66" s="304"/>
      <c r="Z66" s="304"/>
    </row>
    <row r="67" ht="15.75" customHeight="1">
      <c r="A67" s="341" t="s">
        <v>264</v>
      </c>
      <c r="B67" s="341">
        <f>IFERROR(__xludf.DUMMYFUNCTION("""COMPUTED_VALUE"""),1273.0)</f>
        <v>1273</v>
      </c>
      <c r="C67" s="353" t="str">
        <f>IFERROR(__xludf.DUMMYFUNCTION("""COMPUTED_VALUE"""),"ELIZABETH F")</f>
        <v>ELIZABETH F</v>
      </c>
      <c r="D67" s="355">
        <f>IFERROR(__xludf.DUMMYFUNCTION("""COMPUTED_VALUE"""),0.02936628843387384)</f>
        <v>0.02936628843</v>
      </c>
      <c r="E67" s="355">
        <f>IFERROR(__xludf.DUMMYFUNCTION("""COMPUTED_VALUE"""),0.003039951079457905)</f>
        <v>0.003039951079</v>
      </c>
      <c r="F67" s="355">
        <f>IFERROR(__xludf.DUMMYFUNCTION("""COMPUTED_VALUE"""),0.012822876718606383)</f>
        <v>0.01282287672</v>
      </c>
      <c r="G67" s="355">
        <f>IFERROR(__xludf.DUMMYFUNCTION("""COMPUTED_VALUE"""),0.019546879748788985)</f>
        <v>0.01954687975</v>
      </c>
      <c r="H67" s="355">
        <f t="shared" ref="H67:J67" si="43">G67</f>
        <v>0.01954687975</v>
      </c>
      <c r="I67" s="355">
        <f t="shared" si="43"/>
        <v>0.01954687975</v>
      </c>
      <c r="J67" s="356">
        <f t="shared" si="43"/>
        <v>0.01954687975</v>
      </c>
      <c r="K67" s="341"/>
      <c r="L67" s="342"/>
      <c r="M67" s="342"/>
      <c r="N67" s="304"/>
      <c r="O67" s="304"/>
      <c r="P67" s="304"/>
      <c r="Q67" s="304"/>
      <c r="R67" s="304"/>
      <c r="S67" s="304"/>
      <c r="T67" s="304"/>
      <c r="U67" s="304"/>
      <c r="V67" s="304"/>
      <c r="W67" s="304"/>
      <c r="X67" s="304"/>
      <c r="Y67" s="304"/>
      <c r="Z67" s="304"/>
    </row>
    <row r="68" ht="15.75" customHeight="1">
      <c r="A68" s="341" t="s">
        <v>265</v>
      </c>
      <c r="B68" s="341">
        <f>IFERROR(__xludf.DUMMYFUNCTION("""COMPUTED_VALUE"""),3987.0)</f>
        <v>3987</v>
      </c>
      <c r="C68" s="353" t="str">
        <f>IFERROR(__xludf.DUMMYFUNCTION("""COMPUTED_VALUE"""),"GOLD RUSH")</f>
        <v>GOLD RUSH</v>
      </c>
      <c r="D68" s="355">
        <f>IFERROR(__xludf.DUMMYFUNCTION("""COMPUTED_VALUE"""),0.03765125225619848)</f>
        <v>0.03765125226</v>
      </c>
      <c r="E68" s="355">
        <f>IFERROR(__xludf.DUMMYFUNCTION("""COMPUTED_VALUE"""),0.030881092197509338)</f>
        <v>0.0308810922</v>
      </c>
      <c r="F68" s="355">
        <f>IFERROR(__xludf.DUMMYFUNCTION("""COMPUTED_VALUE"""),0.01866748678995783)</f>
        <v>0.01866748679</v>
      </c>
      <c r="G68" s="355">
        <f>IFERROR(__xludf.DUMMYFUNCTION("""COMPUTED_VALUE"""),0.03244962193013266)</f>
        <v>0.03244962193</v>
      </c>
      <c r="H68" s="355">
        <f t="shared" ref="H68:J68" si="44">G68</f>
        <v>0.03244962193</v>
      </c>
      <c r="I68" s="355">
        <f t="shared" si="44"/>
        <v>0.03244962193</v>
      </c>
      <c r="J68" s="356">
        <f t="shared" si="44"/>
        <v>0.03244962193</v>
      </c>
      <c r="K68" s="341"/>
      <c r="L68" s="342"/>
      <c r="M68" s="342"/>
      <c r="N68" s="304"/>
      <c r="O68" s="304"/>
      <c r="P68" s="304"/>
      <c r="Q68" s="304"/>
      <c r="R68" s="304"/>
      <c r="S68" s="304"/>
      <c r="T68" s="304"/>
      <c r="U68" s="304"/>
      <c r="V68" s="304"/>
      <c r="W68" s="304"/>
      <c r="X68" s="304"/>
      <c r="Y68" s="304"/>
      <c r="Z68" s="304"/>
    </row>
    <row r="69" ht="15.75" customHeight="1">
      <c r="A69" s="341" t="s">
        <v>266</v>
      </c>
      <c r="B69" s="341">
        <f>IFERROR(__xludf.DUMMYFUNCTION("""COMPUTED_VALUE"""),1523.0)</f>
        <v>1523</v>
      </c>
      <c r="C69" s="353" t="str">
        <f>IFERROR(__xludf.DUMMYFUNCTION("""COMPUTED_VALUE"""),"COLLIER BROTHERS")</f>
        <v>COLLIER BROTHERS</v>
      </c>
      <c r="D69" s="355">
        <f>IFERROR(__xludf.DUMMYFUNCTION("""COMPUTED_VALUE"""),0.018546235681437526)</f>
        <v>0.01854623568</v>
      </c>
      <c r="E69" s="355">
        <f>IFERROR(__xludf.DUMMYFUNCTION("""COMPUTED_VALUE"""),0.026764230557511003)</f>
        <v>0.02676423056</v>
      </c>
      <c r="F69" s="355">
        <f>IFERROR(__xludf.DUMMYFUNCTION("""COMPUTED_VALUE"""),0.015408050937415598)</f>
        <v>0.01540805094</v>
      </c>
      <c r="G69" s="355">
        <f>IFERROR(__xludf.DUMMYFUNCTION("""COMPUTED_VALUE"""),0.02010285099777504)</f>
        <v>0.020102851</v>
      </c>
      <c r="H69" s="355">
        <f t="shared" ref="H69:J69" si="45">G69</f>
        <v>0.020102851</v>
      </c>
      <c r="I69" s="355">
        <f t="shared" si="45"/>
        <v>0.020102851</v>
      </c>
      <c r="J69" s="356">
        <f t="shared" si="45"/>
        <v>0.020102851</v>
      </c>
      <c r="K69" s="341"/>
      <c r="L69" s="342"/>
      <c r="M69" s="342"/>
      <c r="N69" s="304"/>
      <c r="O69" s="304"/>
      <c r="P69" s="304"/>
      <c r="Q69" s="304"/>
      <c r="R69" s="304"/>
      <c r="S69" s="304"/>
      <c r="T69" s="304"/>
      <c r="U69" s="304"/>
      <c r="V69" s="304"/>
      <c r="W69" s="304"/>
      <c r="X69" s="304"/>
      <c r="Y69" s="304"/>
      <c r="Z69" s="304"/>
    </row>
    <row r="70" ht="15.75" customHeight="1">
      <c r="A70" s="362" t="s">
        <v>233</v>
      </c>
      <c r="B70" s="363">
        <v>15.0</v>
      </c>
      <c r="C70" s="364" t="s">
        <v>10</v>
      </c>
      <c r="D70" s="365">
        <f t="shared" ref="D70:J70" si="46">SUM(D55:D69)</f>
        <v>0.3592016815</v>
      </c>
      <c r="E70" s="365">
        <f t="shared" si="46"/>
        <v>0.3901572846</v>
      </c>
      <c r="F70" s="365">
        <f t="shared" si="46"/>
        <v>0.3727078556</v>
      </c>
      <c r="G70" s="365">
        <f t="shared" si="46"/>
        <v>0.3696672724</v>
      </c>
      <c r="H70" s="365">
        <f t="shared" si="46"/>
        <v>0.3696672724</v>
      </c>
      <c r="I70" s="365">
        <f t="shared" si="46"/>
        <v>0.3696672724</v>
      </c>
      <c r="J70" s="365">
        <f t="shared" si="46"/>
        <v>0.3696672724</v>
      </c>
      <c r="K70" s="341"/>
      <c r="L70" s="342"/>
      <c r="M70" s="342"/>
      <c r="N70" s="304"/>
      <c r="O70" s="304"/>
      <c r="P70" s="304"/>
      <c r="Q70" s="304"/>
      <c r="R70" s="304"/>
      <c r="S70" s="304"/>
      <c r="T70" s="304"/>
      <c r="U70" s="304"/>
      <c r="V70" s="304"/>
      <c r="W70" s="304"/>
      <c r="X70" s="304"/>
      <c r="Y70" s="304"/>
      <c r="Z70" s="304"/>
    </row>
    <row r="71" ht="15.75" customHeight="1">
      <c r="A71" s="341"/>
      <c r="B71" s="341"/>
      <c r="C71" s="341"/>
      <c r="D71" s="341"/>
      <c r="E71" s="341"/>
      <c r="F71" s="341"/>
      <c r="G71" s="341"/>
      <c r="H71" s="341"/>
      <c r="I71" s="341"/>
      <c r="J71" s="341"/>
      <c r="K71" s="341"/>
      <c r="L71" s="342"/>
      <c r="M71" s="342"/>
      <c r="N71" s="304"/>
      <c r="O71" s="304"/>
      <c r="P71" s="304"/>
      <c r="Q71" s="304"/>
      <c r="R71" s="304"/>
      <c r="S71" s="304"/>
      <c r="T71" s="304"/>
      <c r="U71" s="304"/>
      <c r="V71" s="304"/>
      <c r="W71" s="304"/>
      <c r="X71" s="304"/>
      <c r="Y71" s="304"/>
      <c r="Z71" s="304"/>
    </row>
    <row r="72" ht="15.75" customHeight="1">
      <c r="A72" s="341"/>
      <c r="B72" s="341"/>
      <c r="C72" s="341"/>
      <c r="D72" s="341"/>
      <c r="E72" s="341"/>
      <c r="F72" s="341"/>
      <c r="G72" s="341"/>
      <c r="H72" s="341"/>
      <c r="I72" s="341"/>
      <c r="J72" s="341"/>
      <c r="K72" s="341"/>
      <c r="L72" s="342"/>
      <c r="M72" s="342"/>
      <c r="N72" s="304"/>
      <c r="O72" s="304"/>
      <c r="P72" s="304"/>
      <c r="Q72" s="304"/>
      <c r="R72" s="304"/>
      <c r="S72" s="304"/>
      <c r="T72" s="304"/>
      <c r="U72" s="304"/>
      <c r="V72" s="304"/>
      <c r="W72" s="304"/>
      <c r="X72" s="304"/>
      <c r="Y72" s="304"/>
      <c r="Z72" s="304"/>
    </row>
    <row r="73" ht="15.75" customHeight="1">
      <c r="B73" s="341"/>
      <c r="C73" s="341"/>
      <c r="D73" s="341"/>
      <c r="E73" s="341"/>
      <c r="F73" s="341"/>
      <c r="G73" s="341"/>
      <c r="H73" s="341" t="str">
        <f t="shared" ref="H73:J73" si="47">$G$73</f>
        <v/>
      </c>
      <c r="I73" s="341" t="str">
        <f t="shared" si="47"/>
        <v/>
      </c>
      <c r="J73" s="341" t="str">
        <f t="shared" si="47"/>
        <v/>
      </c>
      <c r="K73" s="341"/>
      <c r="L73" s="342"/>
      <c r="M73" s="342"/>
      <c r="N73" s="304"/>
      <c r="O73" s="304"/>
      <c r="P73" s="304"/>
      <c r="Q73" s="304"/>
      <c r="R73" s="304"/>
      <c r="S73" s="304"/>
      <c r="T73" s="304"/>
      <c r="U73" s="304"/>
      <c r="V73" s="304"/>
      <c r="W73" s="304"/>
      <c r="X73" s="304"/>
      <c r="Y73" s="304"/>
      <c r="Z73" s="304"/>
    </row>
    <row r="74" ht="15.75" customHeight="1">
      <c r="B74" s="357"/>
      <c r="C74" s="373"/>
      <c r="D74" s="374"/>
      <c r="E74" s="374"/>
      <c r="F74" s="374"/>
      <c r="G74" s="374"/>
      <c r="H74" s="374" t="str">
        <f t="shared" ref="H74:J74" si="48">$G$74</f>
        <v/>
      </c>
      <c r="I74" s="374" t="str">
        <f t="shared" si="48"/>
        <v/>
      </c>
      <c r="J74" s="374" t="str">
        <f t="shared" si="48"/>
        <v/>
      </c>
      <c r="K74" s="341"/>
      <c r="L74" s="342"/>
      <c r="M74" s="342"/>
      <c r="N74" s="304"/>
      <c r="O74" s="304"/>
      <c r="P74" s="304"/>
      <c r="Q74" s="304"/>
      <c r="R74" s="304"/>
      <c r="S74" s="304"/>
      <c r="T74" s="304"/>
      <c r="U74" s="304"/>
      <c r="V74" s="304"/>
      <c r="W74" s="304"/>
      <c r="X74" s="304"/>
      <c r="Y74" s="304"/>
      <c r="Z74" s="304"/>
    </row>
    <row r="75" ht="15.75" customHeight="1">
      <c r="A75" s="341"/>
      <c r="B75" s="341"/>
      <c r="C75" s="341"/>
      <c r="D75" s="341"/>
      <c r="E75" s="341"/>
      <c r="F75" s="341"/>
      <c r="G75" s="341"/>
      <c r="H75" s="341"/>
      <c r="I75" s="341"/>
      <c r="J75" s="341"/>
      <c r="K75" s="341"/>
      <c r="L75" s="342"/>
      <c r="M75" s="342"/>
      <c r="N75" s="304"/>
      <c r="O75" s="304"/>
      <c r="P75" s="304"/>
      <c r="Q75" s="304"/>
      <c r="R75" s="304"/>
      <c r="S75" s="304"/>
      <c r="T75" s="304"/>
      <c r="U75" s="304"/>
      <c r="V75" s="304"/>
      <c r="W75" s="304"/>
      <c r="X75" s="304"/>
      <c r="Y75" s="304"/>
      <c r="Z75" s="304"/>
    </row>
    <row r="76" ht="15.75" customHeight="1">
      <c r="A76" s="341"/>
      <c r="B76" s="341"/>
      <c r="C76" s="341"/>
      <c r="D76" s="341"/>
      <c r="E76" s="341"/>
      <c r="F76" s="341"/>
      <c r="G76" s="341"/>
      <c r="H76" s="341"/>
      <c r="I76" s="341"/>
      <c r="J76" s="341"/>
      <c r="K76" s="341"/>
      <c r="L76" s="342"/>
      <c r="M76" s="342"/>
      <c r="N76" s="304"/>
      <c r="O76" s="304"/>
      <c r="P76" s="304"/>
      <c r="Q76" s="304"/>
      <c r="R76" s="304"/>
      <c r="S76" s="304"/>
      <c r="T76" s="304"/>
      <c r="U76" s="304"/>
      <c r="V76" s="304"/>
      <c r="W76" s="304"/>
      <c r="X76" s="304"/>
      <c r="Y76" s="304"/>
      <c r="Z76" s="304"/>
    </row>
    <row r="77" ht="15.75" customHeight="1">
      <c r="A77" s="341"/>
      <c r="B77" s="341"/>
      <c r="C77" s="341"/>
      <c r="D77" s="341"/>
      <c r="E77" s="341"/>
      <c r="F77" s="341"/>
      <c r="G77" s="341"/>
      <c r="H77" s="341"/>
      <c r="I77" s="341"/>
      <c r="J77" s="341"/>
      <c r="K77" s="341"/>
      <c r="L77" s="342"/>
      <c r="M77" s="342"/>
      <c r="N77" s="304"/>
      <c r="O77" s="304"/>
      <c r="P77" s="304"/>
      <c r="Q77" s="304"/>
      <c r="R77" s="304"/>
      <c r="S77" s="304"/>
      <c r="T77" s="304"/>
      <c r="U77" s="304"/>
      <c r="V77" s="304"/>
      <c r="W77" s="304"/>
      <c r="X77" s="304"/>
      <c r="Y77" s="304"/>
      <c r="Z77" s="304"/>
    </row>
    <row r="78" ht="15.75" customHeight="1">
      <c r="A78" s="341"/>
      <c r="B78" s="341"/>
      <c r="C78" s="341"/>
      <c r="D78" s="341"/>
      <c r="E78" s="341"/>
      <c r="F78" s="341"/>
      <c r="G78" s="341"/>
      <c r="H78" s="341"/>
      <c r="I78" s="341"/>
      <c r="J78" s="341"/>
      <c r="K78" s="341"/>
      <c r="L78" s="342"/>
      <c r="M78" s="342"/>
      <c r="N78" s="304"/>
      <c r="O78" s="304"/>
      <c r="P78" s="304"/>
      <c r="Q78" s="304"/>
      <c r="R78" s="304"/>
      <c r="S78" s="304"/>
      <c r="T78" s="304"/>
      <c r="U78" s="304"/>
      <c r="V78" s="304"/>
      <c r="W78" s="304"/>
      <c r="X78" s="304"/>
      <c r="Y78" s="304"/>
      <c r="Z78" s="304"/>
    </row>
    <row r="79" ht="15.75" customHeight="1">
      <c r="A79" s="341"/>
      <c r="B79" s="341"/>
      <c r="C79" s="341"/>
      <c r="D79" s="341"/>
      <c r="E79" s="341"/>
      <c r="F79" s="341"/>
      <c r="G79" s="341"/>
      <c r="H79" s="341"/>
      <c r="I79" s="341"/>
      <c r="J79" s="341"/>
      <c r="K79" s="341"/>
      <c r="L79" s="342"/>
      <c r="M79" s="342"/>
      <c r="N79" s="304"/>
      <c r="O79" s="304"/>
      <c r="P79" s="304"/>
      <c r="Q79" s="304"/>
      <c r="R79" s="304"/>
      <c r="S79" s="304"/>
      <c r="T79" s="304"/>
      <c r="U79" s="304"/>
      <c r="V79" s="304"/>
      <c r="W79" s="304"/>
      <c r="X79" s="304"/>
      <c r="Y79" s="304"/>
      <c r="Z79" s="304"/>
    </row>
    <row r="80" ht="15.75" customHeight="1">
      <c r="A80" s="341"/>
      <c r="B80" s="341"/>
      <c r="C80" s="341"/>
      <c r="D80" s="341"/>
      <c r="E80" s="341"/>
      <c r="F80" s="341"/>
      <c r="G80" s="341"/>
      <c r="H80" s="341"/>
      <c r="I80" s="341"/>
      <c r="J80" s="341"/>
      <c r="K80" s="341"/>
      <c r="L80" s="342"/>
      <c r="M80" s="342"/>
      <c r="N80" s="304"/>
      <c r="O80" s="304"/>
      <c r="P80" s="304"/>
      <c r="Q80" s="304"/>
      <c r="R80" s="304"/>
      <c r="S80" s="304"/>
      <c r="T80" s="304"/>
      <c r="U80" s="304"/>
      <c r="V80" s="304"/>
      <c r="W80" s="304"/>
      <c r="X80" s="304"/>
      <c r="Y80" s="304"/>
      <c r="Z80" s="304"/>
    </row>
    <row r="81" ht="15.75" customHeight="1">
      <c r="A81" s="341"/>
      <c r="B81" s="341"/>
      <c r="C81" s="341"/>
      <c r="D81" s="341"/>
      <c r="E81" s="341"/>
      <c r="F81" s="341"/>
      <c r="G81" s="341"/>
      <c r="H81" s="341"/>
      <c r="I81" s="341"/>
      <c r="J81" s="341"/>
      <c r="K81" s="341"/>
      <c r="L81" s="342"/>
      <c r="M81" s="342"/>
      <c r="N81" s="304"/>
      <c r="O81" s="304"/>
      <c r="P81" s="304"/>
      <c r="Q81" s="304"/>
      <c r="R81" s="304"/>
      <c r="S81" s="304"/>
      <c r="T81" s="304"/>
      <c r="U81" s="304"/>
      <c r="V81" s="304"/>
      <c r="W81" s="304"/>
      <c r="X81" s="304"/>
      <c r="Y81" s="304"/>
      <c r="Z81" s="304"/>
    </row>
    <row r="82" ht="15.75" customHeight="1">
      <c r="A82" s="341"/>
      <c r="B82" s="341"/>
      <c r="C82" s="341"/>
      <c r="D82" s="341"/>
      <c r="E82" s="341"/>
      <c r="F82" s="341"/>
      <c r="G82" s="341"/>
      <c r="H82" s="341"/>
      <c r="I82" s="341"/>
      <c r="J82" s="341"/>
      <c r="K82" s="341"/>
      <c r="L82" s="342"/>
      <c r="M82" s="342"/>
      <c r="N82" s="304"/>
      <c r="O82" s="304"/>
      <c r="P82" s="304"/>
      <c r="Q82" s="304"/>
      <c r="R82" s="304"/>
      <c r="S82" s="304"/>
      <c r="T82" s="304"/>
      <c r="U82" s="304"/>
      <c r="V82" s="304"/>
      <c r="W82" s="304"/>
      <c r="X82" s="304"/>
      <c r="Y82" s="304"/>
      <c r="Z82" s="304"/>
    </row>
    <row r="83" ht="15.75" customHeight="1">
      <c r="A83" s="341"/>
      <c r="B83" s="341"/>
      <c r="C83" s="341"/>
      <c r="D83" s="341"/>
      <c r="E83" s="341"/>
      <c r="F83" s="341"/>
      <c r="G83" s="341"/>
      <c r="H83" s="341"/>
      <c r="I83" s="341"/>
      <c r="J83" s="341"/>
      <c r="K83" s="341"/>
      <c r="L83" s="342"/>
      <c r="M83" s="342"/>
      <c r="N83" s="304"/>
      <c r="O83" s="304"/>
      <c r="P83" s="304"/>
      <c r="Q83" s="304"/>
      <c r="R83" s="304"/>
      <c r="S83" s="304"/>
      <c r="T83" s="304"/>
      <c r="U83" s="304"/>
      <c r="V83" s="304"/>
      <c r="W83" s="304"/>
      <c r="X83" s="304"/>
      <c r="Y83" s="304"/>
      <c r="Z83" s="304"/>
    </row>
    <row r="84" ht="15.75" customHeight="1">
      <c r="A84" s="341"/>
      <c r="B84" s="341"/>
      <c r="C84" s="341"/>
      <c r="D84" s="341"/>
      <c r="E84" s="341"/>
      <c r="F84" s="341"/>
      <c r="G84" s="341"/>
      <c r="H84" s="341"/>
      <c r="I84" s="341"/>
      <c r="J84" s="341"/>
      <c r="K84" s="341"/>
      <c r="L84" s="342"/>
      <c r="M84" s="342"/>
      <c r="N84" s="304"/>
      <c r="O84" s="304"/>
      <c r="P84" s="304"/>
      <c r="Q84" s="304"/>
      <c r="R84" s="304"/>
      <c r="S84" s="304"/>
      <c r="T84" s="304"/>
      <c r="U84" s="304"/>
      <c r="V84" s="304"/>
      <c r="W84" s="304"/>
      <c r="X84" s="304"/>
      <c r="Y84" s="304"/>
      <c r="Z84" s="304"/>
    </row>
    <row r="85" ht="15.75" customHeight="1">
      <c r="A85" s="341"/>
      <c r="B85" s="341"/>
      <c r="C85" s="341"/>
      <c r="D85" s="341"/>
      <c r="E85" s="341"/>
      <c r="F85" s="341"/>
      <c r="G85" s="341"/>
      <c r="H85" s="341"/>
      <c r="I85" s="341"/>
      <c r="J85" s="341"/>
      <c r="K85" s="341"/>
      <c r="L85" s="342"/>
      <c r="M85" s="342"/>
      <c r="N85" s="304"/>
      <c r="O85" s="304"/>
      <c r="P85" s="304"/>
      <c r="Q85" s="304"/>
      <c r="R85" s="304"/>
      <c r="S85" s="304"/>
      <c r="T85" s="304"/>
      <c r="U85" s="304"/>
      <c r="V85" s="304"/>
      <c r="W85" s="304"/>
      <c r="X85" s="304"/>
      <c r="Y85" s="304"/>
      <c r="Z85" s="304"/>
    </row>
    <row r="86" ht="15.75" customHeight="1">
      <c r="A86" s="341"/>
      <c r="B86" s="341"/>
      <c r="C86" s="341"/>
      <c r="D86" s="341"/>
      <c r="E86" s="341"/>
      <c r="F86" s="341"/>
      <c r="G86" s="341"/>
      <c r="H86" s="341"/>
      <c r="I86" s="341"/>
      <c r="J86" s="341"/>
      <c r="K86" s="341"/>
      <c r="L86" s="342"/>
      <c r="M86" s="342"/>
      <c r="N86" s="304"/>
      <c r="O86" s="304"/>
      <c r="P86" s="304"/>
      <c r="Q86" s="304"/>
      <c r="R86" s="304"/>
      <c r="S86" s="304"/>
      <c r="T86" s="304"/>
      <c r="U86" s="304"/>
      <c r="V86" s="304"/>
      <c r="W86" s="304"/>
      <c r="X86" s="304"/>
      <c r="Y86" s="304"/>
      <c r="Z86" s="304"/>
    </row>
    <row r="87" ht="15.75" customHeight="1">
      <c r="A87" s="341"/>
      <c r="B87" s="341"/>
      <c r="C87" s="341"/>
      <c r="D87" s="341"/>
      <c r="E87" s="341"/>
      <c r="F87" s="341"/>
      <c r="G87" s="341"/>
      <c r="H87" s="341"/>
      <c r="I87" s="341"/>
      <c r="J87" s="341"/>
      <c r="K87" s="341"/>
      <c r="L87" s="342"/>
      <c r="M87" s="342"/>
      <c r="N87" s="304"/>
      <c r="O87" s="304"/>
      <c r="P87" s="304"/>
      <c r="Q87" s="304"/>
      <c r="R87" s="304"/>
      <c r="S87" s="304"/>
      <c r="T87" s="304"/>
      <c r="U87" s="304"/>
      <c r="V87" s="304"/>
      <c r="W87" s="304"/>
      <c r="X87" s="304"/>
      <c r="Y87" s="304"/>
      <c r="Z87" s="304"/>
    </row>
    <row r="88" ht="15.75" customHeight="1">
      <c r="A88" s="341"/>
      <c r="B88" s="341"/>
      <c r="C88" s="341"/>
      <c r="D88" s="341"/>
      <c r="E88" s="341"/>
      <c r="F88" s="341"/>
      <c r="G88" s="341"/>
      <c r="H88" s="341"/>
      <c r="I88" s="341"/>
      <c r="J88" s="341"/>
      <c r="K88" s="341"/>
      <c r="L88" s="342"/>
      <c r="M88" s="342"/>
      <c r="N88" s="304"/>
      <c r="O88" s="304"/>
      <c r="P88" s="304"/>
      <c r="Q88" s="304"/>
      <c r="R88" s="304"/>
      <c r="S88" s="304"/>
      <c r="T88" s="304"/>
      <c r="U88" s="304"/>
      <c r="V88" s="304"/>
      <c r="W88" s="304"/>
      <c r="X88" s="304"/>
      <c r="Y88" s="304"/>
      <c r="Z88" s="304"/>
    </row>
    <row r="89" ht="15.75" customHeight="1">
      <c r="A89" s="341"/>
      <c r="B89" s="341"/>
      <c r="C89" s="341"/>
      <c r="D89" s="341"/>
      <c r="E89" s="341"/>
      <c r="F89" s="341"/>
      <c r="G89" s="341"/>
      <c r="H89" s="341"/>
      <c r="I89" s="341"/>
      <c r="J89" s="341"/>
      <c r="K89" s="341"/>
      <c r="L89" s="342"/>
      <c r="M89" s="342"/>
      <c r="N89" s="304"/>
      <c r="O89" s="304"/>
      <c r="P89" s="304"/>
      <c r="Q89" s="304"/>
      <c r="R89" s="304"/>
      <c r="S89" s="304"/>
      <c r="T89" s="304"/>
      <c r="U89" s="304"/>
      <c r="V89" s="304"/>
      <c r="W89" s="304"/>
      <c r="X89" s="304"/>
      <c r="Y89" s="304"/>
      <c r="Z89" s="304"/>
    </row>
    <row r="90" ht="15.75" customHeight="1">
      <c r="A90" s="341"/>
      <c r="B90" s="341"/>
      <c r="C90" s="341"/>
      <c r="D90" s="341"/>
      <c r="E90" s="341"/>
      <c r="F90" s="341"/>
      <c r="G90" s="341"/>
      <c r="H90" s="341"/>
      <c r="I90" s="341"/>
      <c r="J90" s="341"/>
      <c r="K90" s="341"/>
      <c r="L90" s="342"/>
      <c r="M90" s="342"/>
      <c r="N90" s="304"/>
      <c r="O90" s="304"/>
      <c r="P90" s="304"/>
      <c r="Q90" s="304"/>
      <c r="R90" s="304"/>
      <c r="S90" s="304"/>
      <c r="T90" s="304"/>
      <c r="U90" s="304"/>
      <c r="V90" s="304"/>
      <c r="W90" s="304"/>
      <c r="X90" s="304"/>
      <c r="Y90" s="304"/>
      <c r="Z90" s="304"/>
    </row>
    <row r="91" ht="15.75" customHeight="1">
      <c r="A91" s="341"/>
      <c r="B91" s="341"/>
      <c r="C91" s="341"/>
      <c r="D91" s="341"/>
      <c r="E91" s="341"/>
      <c r="F91" s="341"/>
      <c r="G91" s="341"/>
      <c r="H91" s="341"/>
      <c r="I91" s="341"/>
      <c r="J91" s="341"/>
      <c r="K91" s="341"/>
      <c r="L91" s="342"/>
      <c r="M91" s="342"/>
      <c r="N91" s="304"/>
      <c r="O91" s="304"/>
      <c r="P91" s="304"/>
      <c r="Q91" s="304"/>
      <c r="R91" s="304"/>
      <c r="S91" s="304"/>
      <c r="T91" s="304"/>
      <c r="U91" s="304"/>
      <c r="V91" s="304"/>
      <c r="W91" s="304"/>
      <c r="X91" s="304"/>
      <c r="Y91" s="304"/>
      <c r="Z91" s="304"/>
    </row>
    <row r="92" ht="15.75" customHeight="1">
      <c r="A92" s="341"/>
      <c r="B92" s="341"/>
      <c r="C92" s="341"/>
      <c r="D92" s="341"/>
      <c r="E92" s="341"/>
      <c r="F92" s="341"/>
      <c r="G92" s="341"/>
      <c r="H92" s="341"/>
      <c r="I92" s="341"/>
      <c r="J92" s="341"/>
      <c r="K92" s="341"/>
      <c r="L92" s="342"/>
      <c r="M92" s="342"/>
      <c r="N92" s="304"/>
      <c r="O92" s="304"/>
      <c r="P92" s="304"/>
      <c r="Q92" s="304"/>
      <c r="R92" s="304"/>
      <c r="S92" s="304"/>
      <c r="T92" s="304"/>
      <c r="U92" s="304"/>
      <c r="V92" s="304"/>
      <c r="W92" s="304"/>
      <c r="X92" s="304"/>
      <c r="Y92" s="304"/>
      <c r="Z92" s="304"/>
    </row>
    <row r="93" ht="15.75" customHeight="1">
      <c r="A93" s="341"/>
      <c r="B93" s="341"/>
      <c r="C93" s="341"/>
      <c r="D93" s="341"/>
      <c r="E93" s="341"/>
      <c r="F93" s="341"/>
      <c r="G93" s="341"/>
      <c r="H93" s="341"/>
      <c r="I93" s="341"/>
      <c r="J93" s="341"/>
      <c r="K93" s="341"/>
      <c r="L93" s="342"/>
      <c r="M93" s="342"/>
      <c r="N93" s="304"/>
      <c r="O93" s="304"/>
      <c r="P93" s="304"/>
      <c r="Q93" s="304"/>
      <c r="R93" s="304"/>
      <c r="S93" s="304"/>
      <c r="T93" s="304"/>
      <c r="U93" s="304"/>
      <c r="V93" s="304"/>
      <c r="W93" s="304"/>
      <c r="X93" s="304"/>
      <c r="Y93" s="304"/>
      <c r="Z93" s="304"/>
    </row>
    <row r="94" ht="15.75" customHeight="1">
      <c r="A94" s="341"/>
      <c r="B94" s="341"/>
      <c r="C94" s="341"/>
      <c r="D94" s="341"/>
      <c r="E94" s="341"/>
      <c r="F94" s="341"/>
      <c r="G94" s="341"/>
      <c r="H94" s="341"/>
      <c r="I94" s="341"/>
      <c r="J94" s="341"/>
      <c r="K94" s="341"/>
      <c r="L94" s="342"/>
      <c r="M94" s="342"/>
      <c r="N94" s="304"/>
      <c r="O94" s="304"/>
      <c r="P94" s="304"/>
      <c r="Q94" s="304"/>
      <c r="R94" s="304"/>
      <c r="S94" s="304"/>
      <c r="T94" s="304"/>
      <c r="U94" s="304"/>
      <c r="V94" s="304"/>
      <c r="W94" s="304"/>
      <c r="X94" s="304"/>
      <c r="Y94" s="304"/>
      <c r="Z94" s="304"/>
    </row>
    <row r="95" ht="15.75" customHeight="1">
      <c r="A95" s="341"/>
      <c r="B95" s="341"/>
      <c r="C95" s="341"/>
      <c r="D95" s="341"/>
      <c r="E95" s="341"/>
      <c r="F95" s="341"/>
      <c r="G95" s="341"/>
      <c r="H95" s="341"/>
      <c r="I95" s="341"/>
      <c r="J95" s="341"/>
      <c r="K95" s="341"/>
      <c r="L95" s="342"/>
      <c r="M95" s="342"/>
      <c r="N95" s="304"/>
      <c r="O95" s="304"/>
      <c r="P95" s="304"/>
      <c r="Q95" s="304"/>
      <c r="R95" s="304"/>
      <c r="S95" s="304"/>
      <c r="T95" s="304"/>
      <c r="U95" s="304"/>
      <c r="V95" s="304"/>
      <c r="W95" s="304"/>
      <c r="X95" s="304"/>
      <c r="Y95" s="304"/>
      <c r="Z95" s="304"/>
    </row>
    <row r="96" ht="15.75" customHeight="1">
      <c r="A96" s="341"/>
      <c r="B96" s="341"/>
      <c r="C96" s="341"/>
      <c r="D96" s="341"/>
      <c r="E96" s="341"/>
      <c r="F96" s="341"/>
      <c r="G96" s="341"/>
      <c r="H96" s="341"/>
      <c r="I96" s="341"/>
      <c r="J96" s="341"/>
      <c r="K96" s="341"/>
      <c r="L96" s="342"/>
      <c r="M96" s="342"/>
      <c r="N96" s="304"/>
      <c r="O96" s="304"/>
      <c r="P96" s="304"/>
      <c r="Q96" s="304"/>
      <c r="R96" s="304"/>
      <c r="S96" s="304"/>
      <c r="T96" s="304"/>
      <c r="U96" s="304"/>
      <c r="V96" s="304"/>
      <c r="W96" s="304"/>
      <c r="X96" s="304"/>
      <c r="Y96" s="304"/>
      <c r="Z96" s="304"/>
    </row>
    <row r="97" ht="15.75" customHeight="1">
      <c r="A97" s="341"/>
      <c r="B97" s="341"/>
      <c r="C97" s="341"/>
      <c r="D97" s="341"/>
      <c r="E97" s="341"/>
      <c r="F97" s="341"/>
      <c r="G97" s="341"/>
      <c r="H97" s="341"/>
      <c r="I97" s="341"/>
      <c r="J97" s="341"/>
      <c r="K97" s="341"/>
      <c r="L97" s="342"/>
      <c r="M97" s="342"/>
      <c r="N97" s="304"/>
      <c r="O97" s="304"/>
      <c r="P97" s="304"/>
      <c r="Q97" s="304"/>
      <c r="R97" s="304"/>
      <c r="S97" s="304"/>
      <c r="T97" s="304"/>
      <c r="U97" s="304"/>
      <c r="V97" s="304"/>
      <c r="W97" s="304"/>
      <c r="X97" s="304"/>
      <c r="Y97" s="304"/>
      <c r="Z97" s="304"/>
    </row>
    <row r="98" ht="15.75" customHeight="1">
      <c r="A98" s="341"/>
      <c r="B98" s="341"/>
      <c r="C98" s="341"/>
      <c r="D98" s="341"/>
      <c r="E98" s="341"/>
      <c r="F98" s="341"/>
      <c r="G98" s="341"/>
      <c r="H98" s="341"/>
      <c r="I98" s="341"/>
      <c r="J98" s="341"/>
      <c r="K98" s="341"/>
      <c r="L98" s="342"/>
      <c r="M98" s="342"/>
      <c r="N98" s="304"/>
      <c r="O98" s="304"/>
      <c r="P98" s="304"/>
      <c r="Q98" s="304"/>
      <c r="R98" s="304"/>
      <c r="S98" s="304"/>
      <c r="T98" s="304"/>
      <c r="U98" s="304"/>
      <c r="V98" s="304"/>
      <c r="W98" s="304"/>
      <c r="X98" s="304"/>
      <c r="Y98" s="304"/>
      <c r="Z98" s="304"/>
    </row>
    <row r="99" ht="15.75" customHeight="1">
      <c r="A99" s="341"/>
      <c r="B99" s="341"/>
      <c r="C99" s="341"/>
      <c r="D99" s="341"/>
      <c r="E99" s="341"/>
      <c r="F99" s="341"/>
      <c r="G99" s="341"/>
      <c r="H99" s="341"/>
      <c r="I99" s="341"/>
      <c r="J99" s="341"/>
      <c r="K99" s="341"/>
      <c r="L99" s="342"/>
      <c r="M99" s="342"/>
      <c r="N99" s="304"/>
      <c r="O99" s="304"/>
      <c r="P99" s="304"/>
      <c r="Q99" s="304"/>
      <c r="R99" s="304"/>
      <c r="S99" s="304"/>
      <c r="T99" s="304"/>
      <c r="U99" s="304"/>
      <c r="V99" s="304"/>
      <c r="W99" s="304"/>
      <c r="X99" s="304"/>
      <c r="Y99" s="304"/>
      <c r="Z99" s="304"/>
    </row>
    <row r="100" ht="15.75" customHeight="1">
      <c r="A100" s="341"/>
      <c r="B100" s="341"/>
      <c r="C100" s="341"/>
      <c r="D100" s="341"/>
      <c r="E100" s="341"/>
      <c r="F100" s="341"/>
      <c r="G100" s="341"/>
      <c r="H100" s="341"/>
      <c r="I100" s="341"/>
      <c r="J100" s="341"/>
      <c r="K100" s="341"/>
      <c r="L100" s="342"/>
      <c r="M100" s="342"/>
      <c r="N100" s="304"/>
      <c r="O100" s="304"/>
      <c r="P100" s="304"/>
      <c r="Q100" s="304"/>
      <c r="R100" s="304"/>
      <c r="S100" s="304"/>
      <c r="T100" s="304"/>
      <c r="U100" s="304"/>
      <c r="V100" s="304"/>
      <c r="W100" s="304"/>
      <c r="X100" s="304"/>
      <c r="Y100" s="304"/>
      <c r="Z100" s="304"/>
    </row>
    <row r="101" ht="15.75" customHeight="1">
      <c r="A101" s="341"/>
      <c r="B101" s="341"/>
      <c r="C101" s="341"/>
      <c r="D101" s="341"/>
      <c r="E101" s="341"/>
      <c r="F101" s="341"/>
      <c r="G101" s="341"/>
      <c r="H101" s="341"/>
      <c r="I101" s="341"/>
      <c r="J101" s="341"/>
      <c r="K101" s="341"/>
      <c r="L101" s="342"/>
      <c r="M101" s="342"/>
      <c r="N101" s="304"/>
      <c r="O101" s="304"/>
      <c r="P101" s="304"/>
      <c r="Q101" s="304"/>
      <c r="R101" s="304"/>
      <c r="S101" s="304"/>
      <c r="T101" s="304"/>
      <c r="U101" s="304"/>
      <c r="V101" s="304"/>
      <c r="W101" s="304"/>
      <c r="X101" s="304"/>
      <c r="Y101" s="304"/>
      <c r="Z101" s="304"/>
    </row>
    <row r="102" ht="15.75" customHeight="1">
      <c r="A102" s="341"/>
      <c r="B102" s="341"/>
      <c r="C102" s="341"/>
      <c r="D102" s="341"/>
      <c r="E102" s="341"/>
      <c r="F102" s="341"/>
      <c r="G102" s="341"/>
      <c r="H102" s="341"/>
      <c r="I102" s="341"/>
      <c r="J102" s="341"/>
      <c r="K102" s="341"/>
      <c r="L102" s="342"/>
      <c r="M102" s="342"/>
      <c r="N102" s="304"/>
      <c r="O102" s="304"/>
      <c r="P102" s="304"/>
      <c r="Q102" s="304"/>
      <c r="R102" s="304"/>
      <c r="S102" s="304"/>
      <c r="T102" s="304"/>
      <c r="U102" s="304"/>
      <c r="V102" s="304"/>
      <c r="W102" s="304"/>
      <c r="X102" s="304"/>
      <c r="Y102" s="304"/>
      <c r="Z102" s="304"/>
    </row>
    <row r="103" ht="15.75" customHeight="1">
      <c r="A103" s="341"/>
      <c r="B103" s="341"/>
      <c r="C103" s="341"/>
      <c r="D103" s="341"/>
      <c r="E103" s="341"/>
      <c r="F103" s="341"/>
      <c r="G103" s="341"/>
      <c r="H103" s="341"/>
      <c r="I103" s="341"/>
      <c r="J103" s="341"/>
      <c r="K103" s="341"/>
      <c r="L103" s="342"/>
      <c r="M103" s="342"/>
      <c r="N103" s="304"/>
      <c r="O103" s="304"/>
      <c r="P103" s="304"/>
      <c r="Q103" s="304"/>
      <c r="R103" s="304"/>
      <c r="S103" s="304"/>
      <c r="T103" s="304"/>
      <c r="U103" s="304"/>
      <c r="V103" s="304"/>
      <c r="W103" s="304"/>
      <c r="X103" s="304"/>
      <c r="Y103" s="304"/>
      <c r="Z103" s="304"/>
    </row>
    <row r="104" ht="15.75" customHeight="1">
      <c r="A104" s="341"/>
      <c r="B104" s="341"/>
      <c r="C104" s="341"/>
      <c r="D104" s="341"/>
      <c r="E104" s="341"/>
      <c r="F104" s="341"/>
      <c r="G104" s="341"/>
      <c r="H104" s="341"/>
      <c r="I104" s="341"/>
      <c r="J104" s="341"/>
      <c r="K104" s="341"/>
      <c r="L104" s="342"/>
      <c r="M104" s="342"/>
      <c r="N104" s="304"/>
      <c r="O104" s="304"/>
      <c r="P104" s="304"/>
      <c r="Q104" s="304"/>
      <c r="R104" s="304"/>
      <c r="S104" s="304"/>
      <c r="T104" s="304"/>
      <c r="U104" s="304"/>
      <c r="V104" s="304"/>
      <c r="W104" s="304"/>
      <c r="X104" s="304"/>
      <c r="Y104" s="304"/>
      <c r="Z104" s="304"/>
    </row>
    <row r="105" ht="15.75" customHeight="1">
      <c r="A105" s="341"/>
      <c r="B105" s="341"/>
      <c r="C105" s="341"/>
      <c r="D105" s="341"/>
      <c r="E105" s="341"/>
      <c r="F105" s="341"/>
      <c r="G105" s="341"/>
      <c r="H105" s="341"/>
      <c r="I105" s="341"/>
      <c r="J105" s="341"/>
      <c r="K105" s="341"/>
      <c r="L105" s="342"/>
      <c r="M105" s="342"/>
      <c r="N105" s="304"/>
      <c r="O105" s="304"/>
      <c r="P105" s="304"/>
      <c r="Q105" s="304"/>
      <c r="R105" s="304"/>
      <c r="S105" s="304"/>
      <c r="T105" s="304"/>
      <c r="U105" s="304"/>
      <c r="V105" s="304"/>
      <c r="W105" s="304"/>
      <c r="X105" s="304"/>
      <c r="Y105" s="304"/>
      <c r="Z105" s="304"/>
    </row>
    <row r="106" ht="15.75" customHeight="1">
      <c r="A106" s="341"/>
      <c r="B106" s="341"/>
      <c r="C106" s="341"/>
      <c r="D106" s="341"/>
      <c r="E106" s="341"/>
      <c r="F106" s="341"/>
      <c r="G106" s="341"/>
      <c r="H106" s="341"/>
      <c r="I106" s="341"/>
      <c r="J106" s="341"/>
      <c r="K106" s="341"/>
      <c r="L106" s="342"/>
      <c r="M106" s="342"/>
      <c r="N106" s="304"/>
      <c r="O106" s="304"/>
      <c r="P106" s="304"/>
      <c r="Q106" s="304"/>
      <c r="R106" s="304"/>
      <c r="S106" s="304"/>
      <c r="T106" s="304"/>
      <c r="U106" s="304"/>
      <c r="V106" s="304"/>
      <c r="W106" s="304"/>
      <c r="X106" s="304"/>
      <c r="Y106" s="304"/>
      <c r="Z106" s="304"/>
    </row>
    <row r="107" ht="15.75" customHeight="1">
      <c r="A107" s="341"/>
      <c r="B107" s="341"/>
      <c r="C107" s="341"/>
      <c r="D107" s="341"/>
      <c r="E107" s="341"/>
      <c r="F107" s="341"/>
      <c r="G107" s="341"/>
      <c r="H107" s="341"/>
      <c r="I107" s="341"/>
      <c r="J107" s="341"/>
      <c r="K107" s="341"/>
      <c r="L107" s="342"/>
      <c r="M107" s="342"/>
      <c r="N107" s="304"/>
      <c r="O107" s="304"/>
      <c r="P107" s="304"/>
      <c r="Q107" s="304"/>
      <c r="R107" s="304"/>
      <c r="S107" s="304"/>
      <c r="T107" s="304"/>
      <c r="U107" s="304"/>
      <c r="V107" s="304"/>
      <c r="W107" s="304"/>
      <c r="X107" s="304"/>
      <c r="Y107" s="304"/>
      <c r="Z107" s="304"/>
    </row>
    <row r="108" ht="15.75" customHeight="1">
      <c r="A108" s="341"/>
      <c r="B108" s="341"/>
      <c r="C108" s="341"/>
      <c r="D108" s="341"/>
      <c r="E108" s="341"/>
      <c r="F108" s="341"/>
      <c r="G108" s="341"/>
      <c r="H108" s="341"/>
      <c r="I108" s="341"/>
      <c r="J108" s="341"/>
      <c r="K108" s="341"/>
      <c r="L108" s="342"/>
      <c r="M108" s="342"/>
      <c r="N108" s="304"/>
      <c r="O108" s="304"/>
      <c r="P108" s="304"/>
      <c r="Q108" s="304"/>
      <c r="R108" s="304"/>
      <c r="S108" s="304"/>
      <c r="T108" s="304"/>
      <c r="U108" s="304"/>
      <c r="V108" s="304"/>
      <c r="W108" s="304"/>
      <c r="X108" s="304"/>
      <c r="Y108" s="304"/>
      <c r="Z108" s="304"/>
    </row>
    <row r="109" ht="15.75" customHeight="1">
      <c r="A109" s="341"/>
      <c r="B109" s="341"/>
      <c r="C109" s="341"/>
      <c r="D109" s="341"/>
      <c r="E109" s="341"/>
      <c r="F109" s="341"/>
      <c r="G109" s="341"/>
      <c r="H109" s="341"/>
      <c r="I109" s="341"/>
      <c r="J109" s="341"/>
      <c r="K109" s="341"/>
      <c r="L109" s="342"/>
      <c r="M109" s="342"/>
      <c r="N109" s="304"/>
      <c r="O109" s="304"/>
      <c r="P109" s="304"/>
      <c r="Q109" s="304"/>
      <c r="R109" s="304"/>
      <c r="S109" s="304"/>
      <c r="T109" s="304"/>
      <c r="U109" s="304"/>
      <c r="V109" s="304"/>
      <c r="W109" s="304"/>
      <c r="X109" s="304"/>
      <c r="Y109" s="304"/>
      <c r="Z109" s="304"/>
    </row>
    <row r="110" ht="15.75" customHeight="1">
      <c r="A110" s="341"/>
      <c r="B110" s="341"/>
      <c r="C110" s="341"/>
      <c r="D110" s="341"/>
      <c r="E110" s="341"/>
      <c r="F110" s="341"/>
      <c r="G110" s="341"/>
      <c r="H110" s="341"/>
      <c r="I110" s="341"/>
      <c r="J110" s="341"/>
      <c r="K110" s="341"/>
      <c r="L110" s="342"/>
      <c r="M110" s="342"/>
      <c r="N110" s="304"/>
      <c r="O110" s="304"/>
      <c r="P110" s="304"/>
      <c r="Q110" s="304"/>
      <c r="R110" s="304"/>
      <c r="S110" s="304"/>
      <c r="T110" s="304"/>
      <c r="U110" s="304"/>
      <c r="V110" s="304"/>
      <c r="W110" s="304"/>
      <c r="X110" s="304"/>
      <c r="Y110" s="304"/>
      <c r="Z110" s="304"/>
    </row>
    <row r="111" ht="15.75" customHeight="1">
      <c r="A111" s="341"/>
      <c r="B111" s="341"/>
      <c r="C111" s="341"/>
      <c r="D111" s="341"/>
      <c r="E111" s="341"/>
      <c r="F111" s="341"/>
      <c r="G111" s="341"/>
      <c r="H111" s="341"/>
      <c r="I111" s="341"/>
      <c r="J111" s="341"/>
      <c r="K111" s="341"/>
      <c r="L111" s="342"/>
      <c r="M111" s="342"/>
      <c r="N111" s="304"/>
      <c r="O111" s="304"/>
      <c r="P111" s="304"/>
      <c r="Q111" s="304"/>
      <c r="R111" s="304"/>
      <c r="S111" s="304"/>
      <c r="T111" s="304"/>
      <c r="U111" s="304"/>
      <c r="V111" s="304"/>
      <c r="W111" s="304"/>
      <c r="X111" s="304"/>
      <c r="Y111" s="304"/>
      <c r="Z111" s="304"/>
    </row>
    <row r="112" ht="15.75" customHeight="1">
      <c r="A112" s="341"/>
      <c r="B112" s="341"/>
      <c r="C112" s="341"/>
      <c r="D112" s="341"/>
      <c r="E112" s="341"/>
      <c r="F112" s="341"/>
      <c r="G112" s="341"/>
      <c r="H112" s="341"/>
      <c r="I112" s="341"/>
      <c r="J112" s="341"/>
      <c r="K112" s="341"/>
      <c r="L112" s="342"/>
      <c r="M112" s="342"/>
      <c r="N112" s="304"/>
      <c r="O112" s="304"/>
      <c r="P112" s="304"/>
      <c r="Q112" s="304"/>
      <c r="R112" s="304"/>
      <c r="S112" s="304"/>
      <c r="T112" s="304"/>
      <c r="U112" s="304"/>
      <c r="V112" s="304"/>
      <c r="W112" s="304"/>
      <c r="X112" s="304"/>
      <c r="Y112" s="304"/>
      <c r="Z112" s="304"/>
    </row>
    <row r="113" ht="15.75" customHeight="1">
      <c r="A113" s="341"/>
      <c r="B113" s="341"/>
      <c r="C113" s="341"/>
      <c r="D113" s="341"/>
      <c r="E113" s="341"/>
      <c r="F113" s="341"/>
      <c r="G113" s="341"/>
      <c r="H113" s="341"/>
      <c r="I113" s="341"/>
      <c r="J113" s="341"/>
      <c r="K113" s="341"/>
      <c r="L113" s="342"/>
      <c r="M113" s="342"/>
      <c r="N113" s="304"/>
      <c r="O113" s="304"/>
      <c r="P113" s="304"/>
      <c r="Q113" s="304"/>
      <c r="R113" s="304"/>
      <c r="S113" s="304"/>
      <c r="T113" s="304"/>
      <c r="U113" s="304"/>
      <c r="V113" s="304"/>
      <c r="W113" s="304"/>
      <c r="X113" s="304"/>
      <c r="Y113" s="304"/>
      <c r="Z113" s="304"/>
    </row>
    <row r="114" ht="15.75" customHeight="1">
      <c r="A114" s="341"/>
      <c r="B114" s="341"/>
      <c r="C114" s="341"/>
      <c r="D114" s="341"/>
      <c r="E114" s="341"/>
      <c r="F114" s="341"/>
      <c r="G114" s="341"/>
      <c r="H114" s="341"/>
      <c r="I114" s="341"/>
      <c r="J114" s="341"/>
      <c r="K114" s="341"/>
      <c r="L114" s="342"/>
      <c r="M114" s="342"/>
      <c r="N114" s="304"/>
      <c r="O114" s="304"/>
      <c r="P114" s="304"/>
      <c r="Q114" s="304"/>
      <c r="R114" s="304"/>
      <c r="S114" s="304"/>
      <c r="T114" s="304"/>
      <c r="U114" s="304"/>
      <c r="V114" s="304"/>
      <c r="W114" s="304"/>
      <c r="X114" s="304"/>
      <c r="Y114" s="304"/>
      <c r="Z114" s="304"/>
    </row>
    <row r="115" ht="15.75" customHeight="1">
      <c r="A115" s="341"/>
      <c r="B115" s="341"/>
      <c r="C115" s="341"/>
      <c r="D115" s="341"/>
      <c r="E115" s="341"/>
      <c r="F115" s="341"/>
      <c r="G115" s="341"/>
      <c r="H115" s="341"/>
      <c r="I115" s="341"/>
      <c r="J115" s="341"/>
      <c r="K115" s="341"/>
      <c r="L115" s="342"/>
      <c r="M115" s="342"/>
      <c r="N115" s="304"/>
      <c r="O115" s="304"/>
      <c r="P115" s="304"/>
      <c r="Q115" s="304"/>
      <c r="R115" s="304"/>
      <c r="S115" s="304"/>
      <c r="T115" s="304"/>
      <c r="U115" s="304"/>
      <c r="V115" s="304"/>
      <c r="W115" s="304"/>
      <c r="X115" s="304"/>
      <c r="Y115" s="304"/>
      <c r="Z115" s="304"/>
    </row>
    <row r="116" ht="15.75" customHeight="1">
      <c r="A116" s="341"/>
      <c r="B116" s="341"/>
      <c r="C116" s="341"/>
      <c r="D116" s="341"/>
      <c r="E116" s="341"/>
      <c r="F116" s="341"/>
      <c r="G116" s="341"/>
      <c r="H116" s="341"/>
      <c r="I116" s="341"/>
      <c r="J116" s="341"/>
      <c r="K116" s="341"/>
      <c r="L116" s="342"/>
      <c r="M116" s="342"/>
      <c r="N116" s="304"/>
      <c r="O116" s="304"/>
      <c r="P116" s="304"/>
      <c r="Q116" s="304"/>
      <c r="R116" s="304"/>
      <c r="S116" s="304"/>
      <c r="T116" s="304"/>
      <c r="U116" s="304"/>
      <c r="V116" s="304"/>
      <c r="W116" s="304"/>
      <c r="X116" s="304"/>
      <c r="Y116" s="304"/>
      <c r="Z116" s="304"/>
    </row>
    <row r="117" ht="15.75" customHeight="1">
      <c r="A117" s="341"/>
      <c r="B117" s="341"/>
      <c r="C117" s="341"/>
      <c r="D117" s="341"/>
      <c r="E117" s="341"/>
      <c r="F117" s="341"/>
      <c r="G117" s="341"/>
      <c r="H117" s="341"/>
      <c r="I117" s="341"/>
      <c r="J117" s="341"/>
      <c r="K117" s="341"/>
      <c r="L117" s="342"/>
      <c r="M117" s="342"/>
      <c r="N117" s="304"/>
      <c r="O117" s="304"/>
      <c r="P117" s="304"/>
      <c r="Q117" s="304"/>
      <c r="R117" s="304"/>
      <c r="S117" s="304"/>
      <c r="T117" s="304"/>
      <c r="U117" s="304"/>
      <c r="V117" s="304"/>
      <c r="W117" s="304"/>
      <c r="X117" s="304"/>
      <c r="Y117" s="304"/>
      <c r="Z117" s="304"/>
    </row>
    <row r="118" ht="15.75" customHeight="1">
      <c r="A118" s="341"/>
      <c r="B118" s="341"/>
      <c r="C118" s="341"/>
      <c r="D118" s="341"/>
      <c r="E118" s="341"/>
      <c r="F118" s="341"/>
      <c r="G118" s="341"/>
      <c r="H118" s="341"/>
      <c r="I118" s="341"/>
      <c r="J118" s="341"/>
      <c r="K118" s="341"/>
      <c r="L118" s="342"/>
      <c r="M118" s="342"/>
      <c r="N118" s="304"/>
      <c r="O118" s="304"/>
      <c r="P118" s="304"/>
      <c r="Q118" s="304"/>
      <c r="R118" s="304"/>
      <c r="S118" s="304"/>
      <c r="T118" s="304"/>
      <c r="U118" s="304"/>
      <c r="V118" s="304"/>
      <c r="W118" s="304"/>
      <c r="X118" s="304"/>
      <c r="Y118" s="304"/>
      <c r="Z118" s="304"/>
    </row>
    <row r="119" ht="15.75" customHeight="1">
      <c r="A119" s="341"/>
      <c r="B119" s="341"/>
      <c r="C119" s="341"/>
      <c r="D119" s="341"/>
      <c r="E119" s="341"/>
      <c r="F119" s="341"/>
      <c r="G119" s="341"/>
      <c r="H119" s="341"/>
      <c r="I119" s="341"/>
      <c r="J119" s="341"/>
      <c r="K119" s="341"/>
      <c r="L119" s="342"/>
      <c r="M119" s="342"/>
      <c r="N119" s="304"/>
      <c r="O119" s="304"/>
      <c r="P119" s="304"/>
      <c r="Q119" s="304"/>
      <c r="R119" s="304"/>
      <c r="S119" s="304"/>
      <c r="T119" s="304"/>
      <c r="U119" s="304"/>
      <c r="V119" s="304"/>
      <c r="W119" s="304"/>
      <c r="X119" s="304"/>
      <c r="Y119" s="304"/>
      <c r="Z119" s="304"/>
    </row>
    <row r="120" ht="15.75" customHeight="1">
      <c r="A120" s="341"/>
      <c r="B120" s="341"/>
      <c r="C120" s="341"/>
      <c r="D120" s="341"/>
      <c r="E120" s="341"/>
      <c r="F120" s="341"/>
      <c r="G120" s="341"/>
      <c r="H120" s="341"/>
      <c r="I120" s="341"/>
      <c r="J120" s="341"/>
      <c r="K120" s="341"/>
      <c r="L120" s="342"/>
      <c r="M120" s="342"/>
      <c r="N120" s="304"/>
      <c r="O120" s="304"/>
      <c r="P120" s="304"/>
      <c r="Q120" s="304"/>
      <c r="R120" s="304"/>
      <c r="S120" s="304"/>
      <c r="T120" s="304"/>
      <c r="U120" s="304"/>
      <c r="V120" s="304"/>
      <c r="W120" s="304"/>
      <c r="X120" s="304"/>
      <c r="Y120" s="304"/>
      <c r="Z120" s="304"/>
    </row>
    <row r="121" ht="15.75" customHeight="1">
      <c r="A121" s="341"/>
      <c r="B121" s="341"/>
      <c r="C121" s="341"/>
      <c r="D121" s="341"/>
      <c r="E121" s="341"/>
      <c r="F121" s="341"/>
      <c r="G121" s="341"/>
      <c r="H121" s="341"/>
      <c r="I121" s="341"/>
      <c r="J121" s="341"/>
      <c r="K121" s="341"/>
      <c r="L121" s="342"/>
      <c r="M121" s="342"/>
      <c r="N121" s="304"/>
      <c r="O121" s="304"/>
      <c r="P121" s="304"/>
      <c r="Q121" s="304"/>
      <c r="R121" s="304"/>
      <c r="S121" s="304"/>
      <c r="T121" s="304"/>
      <c r="U121" s="304"/>
      <c r="V121" s="304"/>
      <c r="W121" s="304"/>
      <c r="X121" s="304"/>
      <c r="Y121" s="304"/>
      <c r="Z121" s="304"/>
    </row>
    <row r="122" ht="15.75" customHeight="1">
      <c r="A122" s="341"/>
      <c r="B122" s="341"/>
      <c r="C122" s="341"/>
      <c r="D122" s="341"/>
      <c r="E122" s="341"/>
      <c r="F122" s="341"/>
      <c r="G122" s="341"/>
      <c r="H122" s="341"/>
      <c r="I122" s="341"/>
      <c r="J122" s="341"/>
      <c r="K122" s="341"/>
      <c r="L122" s="342"/>
      <c r="M122" s="342"/>
      <c r="N122" s="304"/>
      <c r="O122" s="304"/>
      <c r="P122" s="304"/>
      <c r="Q122" s="304"/>
      <c r="R122" s="304"/>
      <c r="S122" s="304"/>
      <c r="T122" s="304"/>
      <c r="U122" s="304"/>
      <c r="V122" s="304"/>
      <c r="W122" s="304"/>
      <c r="X122" s="304"/>
      <c r="Y122" s="304"/>
      <c r="Z122" s="304"/>
    </row>
    <row r="123" ht="15.75" customHeight="1">
      <c r="A123" s="341"/>
      <c r="B123" s="341"/>
      <c r="C123" s="341"/>
      <c r="D123" s="341"/>
      <c r="E123" s="341"/>
      <c r="F123" s="341"/>
      <c r="G123" s="341"/>
      <c r="H123" s="341"/>
      <c r="I123" s="341"/>
      <c r="J123" s="341"/>
      <c r="K123" s="341"/>
      <c r="L123" s="342"/>
      <c r="M123" s="342"/>
      <c r="N123" s="304"/>
      <c r="O123" s="304"/>
      <c r="P123" s="304"/>
      <c r="Q123" s="304"/>
      <c r="R123" s="304"/>
      <c r="S123" s="304"/>
      <c r="T123" s="304"/>
      <c r="U123" s="304"/>
      <c r="V123" s="304"/>
      <c r="W123" s="304"/>
      <c r="X123" s="304"/>
      <c r="Y123" s="304"/>
      <c r="Z123" s="304"/>
    </row>
    <row r="124" ht="15.75" customHeight="1">
      <c r="A124" s="341"/>
      <c r="B124" s="341"/>
      <c r="C124" s="341"/>
      <c r="D124" s="341"/>
      <c r="E124" s="341"/>
      <c r="F124" s="341"/>
      <c r="G124" s="341"/>
      <c r="H124" s="341"/>
      <c r="I124" s="341"/>
      <c r="J124" s="341"/>
      <c r="K124" s="341"/>
      <c r="L124" s="342"/>
      <c r="M124" s="342"/>
      <c r="N124" s="304"/>
      <c r="O124" s="304"/>
      <c r="P124" s="304"/>
      <c r="Q124" s="304"/>
      <c r="R124" s="304"/>
      <c r="S124" s="304"/>
      <c r="T124" s="304"/>
      <c r="U124" s="304"/>
      <c r="V124" s="304"/>
      <c r="W124" s="304"/>
      <c r="X124" s="304"/>
      <c r="Y124" s="304"/>
      <c r="Z124" s="304"/>
    </row>
    <row r="125" ht="15.75" customHeight="1">
      <c r="A125" s="341"/>
      <c r="B125" s="341"/>
      <c r="C125" s="341"/>
      <c r="D125" s="341"/>
      <c r="E125" s="341"/>
      <c r="F125" s="341"/>
      <c r="G125" s="341"/>
      <c r="H125" s="341"/>
      <c r="I125" s="341"/>
      <c r="J125" s="341"/>
      <c r="K125" s="341"/>
      <c r="L125" s="342"/>
      <c r="M125" s="342"/>
      <c r="N125" s="304"/>
      <c r="O125" s="304"/>
      <c r="P125" s="304"/>
      <c r="Q125" s="304"/>
      <c r="R125" s="304"/>
      <c r="S125" s="304"/>
      <c r="T125" s="304"/>
      <c r="U125" s="304"/>
      <c r="V125" s="304"/>
      <c r="W125" s="304"/>
      <c r="X125" s="304"/>
      <c r="Y125" s="304"/>
      <c r="Z125" s="304"/>
    </row>
    <row r="126" ht="15.75" customHeight="1">
      <c r="A126" s="341"/>
      <c r="B126" s="341"/>
      <c r="C126" s="341"/>
      <c r="D126" s="341"/>
      <c r="E126" s="341"/>
      <c r="F126" s="341"/>
      <c r="G126" s="341"/>
      <c r="H126" s="341"/>
      <c r="I126" s="341"/>
      <c r="J126" s="341"/>
      <c r="K126" s="341"/>
      <c r="L126" s="342"/>
      <c r="M126" s="342"/>
      <c r="N126" s="304"/>
      <c r="O126" s="304"/>
      <c r="P126" s="304"/>
      <c r="Q126" s="304"/>
      <c r="R126" s="304"/>
      <c r="S126" s="304"/>
      <c r="T126" s="304"/>
      <c r="U126" s="304"/>
      <c r="V126" s="304"/>
      <c r="W126" s="304"/>
      <c r="X126" s="304"/>
      <c r="Y126" s="304"/>
      <c r="Z126" s="304"/>
    </row>
    <row r="127" ht="15.75" customHeight="1">
      <c r="A127" s="341"/>
      <c r="B127" s="341"/>
      <c r="C127" s="341"/>
      <c r="D127" s="341"/>
      <c r="E127" s="341"/>
      <c r="F127" s="341"/>
      <c r="G127" s="341"/>
      <c r="H127" s="341"/>
      <c r="I127" s="341"/>
      <c r="J127" s="341"/>
      <c r="K127" s="341"/>
      <c r="L127" s="342"/>
      <c r="M127" s="342"/>
      <c r="N127" s="304"/>
      <c r="O127" s="304"/>
      <c r="P127" s="304"/>
      <c r="Q127" s="304"/>
      <c r="R127" s="304"/>
      <c r="S127" s="304"/>
      <c r="T127" s="304"/>
      <c r="U127" s="304"/>
      <c r="V127" s="304"/>
      <c r="W127" s="304"/>
      <c r="X127" s="304"/>
      <c r="Y127" s="304"/>
      <c r="Z127" s="304"/>
    </row>
    <row r="128" ht="15.75" customHeight="1">
      <c r="A128" s="341"/>
      <c r="B128" s="341"/>
      <c r="C128" s="341"/>
      <c r="D128" s="341"/>
      <c r="E128" s="341"/>
      <c r="F128" s="341"/>
      <c r="G128" s="341"/>
      <c r="H128" s="341"/>
      <c r="I128" s="341"/>
      <c r="J128" s="341"/>
      <c r="K128" s="341"/>
      <c r="L128" s="342"/>
      <c r="M128" s="342"/>
      <c r="N128" s="304"/>
      <c r="O128" s="304"/>
      <c r="P128" s="304"/>
      <c r="Q128" s="304"/>
      <c r="R128" s="304"/>
      <c r="S128" s="304"/>
      <c r="T128" s="304"/>
      <c r="U128" s="304"/>
      <c r="V128" s="304"/>
      <c r="W128" s="304"/>
      <c r="X128" s="304"/>
      <c r="Y128" s="304"/>
      <c r="Z128" s="304"/>
    </row>
    <row r="129" ht="15.75" customHeight="1">
      <c r="A129" s="341"/>
      <c r="B129" s="341"/>
      <c r="C129" s="341"/>
      <c r="D129" s="341"/>
      <c r="E129" s="341"/>
      <c r="F129" s="341"/>
      <c r="G129" s="341"/>
      <c r="H129" s="341"/>
      <c r="I129" s="341"/>
      <c r="J129" s="341"/>
      <c r="K129" s="341"/>
      <c r="L129" s="342"/>
      <c r="M129" s="342"/>
      <c r="N129" s="304"/>
      <c r="O129" s="304"/>
      <c r="P129" s="304"/>
      <c r="Q129" s="304"/>
      <c r="R129" s="304"/>
      <c r="S129" s="304"/>
      <c r="T129" s="304"/>
      <c r="U129" s="304"/>
      <c r="V129" s="304"/>
      <c r="W129" s="304"/>
      <c r="X129" s="304"/>
      <c r="Y129" s="304"/>
      <c r="Z129" s="304"/>
    </row>
    <row r="130" ht="15.75" customHeight="1">
      <c r="A130" s="341"/>
      <c r="B130" s="341"/>
      <c r="C130" s="341"/>
      <c r="D130" s="341"/>
      <c r="E130" s="341"/>
      <c r="F130" s="341"/>
      <c r="G130" s="341"/>
      <c r="H130" s="341"/>
      <c r="I130" s="341"/>
      <c r="J130" s="341"/>
      <c r="K130" s="341"/>
      <c r="L130" s="342"/>
      <c r="M130" s="342"/>
      <c r="N130" s="304"/>
      <c r="O130" s="304"/>
      <c r="P130" s="304"/>
      <c r="Q130" s="304"/>
      <c r="R130" s="304"/>
      <c r="S130" s="304"/>
      <c r="T130" s="304"/>
      <c r="U130" s="304"/>
      <c r="V130" s="304"/>
      <c r="W130" s="304"/>
      <c r="X130" s="304"/>
      <c r="Y130" s="304"/>
      <c r="Z130" s="304"/>
    </row>
    <row r="131" ht="15.75" customHeight="1">
      <c r="A131" s="341"/>
      <c r="B131" s="341"/>
      <c r="C131" s="341"/>
      <c r="D131" s="341"/>
      <c r="E131" s="341"/>
      <c r="F131" s="341"/>
      <c r="G131" s="341"/>
      <c r="H131" s="341"/>
      <c r="I131" s="341"/>
      <c r="J131" s="341"/>
      <c r="K131" s="341"/>
      <c r="L131" s="342"/>
      <c r="M131" s="342"/>
      <c r="N131" s="304"/>
      <c r="O131" s="304"/>
      <c r="P131" s="304"/>
      <c r="Q131" s="304"/>
      <c r="R131" s="304"/>
      <c r="S131" s="304"/>
      <c r="T131" s="304"/>
      <c r="U131" s="304"/>
      <c r="V131" s="304"/>
      <c r="W131" s="304"/>
      <c r="X131" s="304"/>
      <c r="Y131" s="304"/>
      <c r="Z131" s="304"/>
    </row>
    <row r="132" ht="15.75" customHeight="1">
      <c r="A132" s="302"/>
      <c r="B132" s="302"/>
      <c r="C132" s="302"/>
      <c r="D132" s="302"/>
      <c r="E132" s="302"/>
      <c r="F132" s="302"/>
      <c r="G132" s="302"/>
      <c r="H132" s="302"/>
      <c r="I132" s="302"/>
      <c r="J132" s="302"/>
      <c r="K132" s="341"/>
      <c r="L132" s="342"/>
      <c r="M132" s="342"/>
      <c r="N132" s="304"/>
      <c r="O132" s="304"/>
      <c r="P132" s="304"/>
      <c r="Q132" s="304"/>
      <c r="R132" s="304"/>
      <c r="S132" s="304"/>
      <c r="T132" s="304"/>
      <c r="U132" s="304"/>
      <c r="V132" s="304"/>
      <c r="W132" s="304"/>
      <c r="X132" s="304"/>
      <c r="Y132" s="304"/>
      <c r="Z132" s="304"/>
    </row>
    <row r="133" ht="15.75" customHeight="1">
      <c r="A133" s="302"/>
      <c r="B133" s="302"/>
      <c r="C133" s="302"/>
      <c r="D133" s="302"/>
      <c r="E133" s="302"/>
      <c r="F133" s="302"/>
      <c r="G133" s="302"/>
      <c r="H133" s="302"/>
      <c r="I133" s="302"/>
      <c r="J133" s="302"/>
      <c r="K133" s="341"/>
      <c r="L133" s="342"/>
      <c r="M133" s="342"/>
      <c r="N133" s="304"/>
      <c r="O133" s="304"/>
      <c r="P133" s="304"/>
      <c r="Q133" s="304"/>
      <c r="R133" s="304"/>
      <c r="S133" s="304"/>
      <c r="T133" s="304"/>
      <c r="U133" s="304"/>
      <c r="V133" s="304"/>
      <c r="W133" s="304"/>
      <c r="X133" s="304"/>
      <c r="Y133" s="304"/>
      <c r="Z133" s="304"/>
    </row>
    <row r="134" ht="15.75" customHeight="1">
      <c r="A134" s="302"/>
      <c r="B134" s="302"/>
      <c r="C134" s="302"/>
      <c r="D134" s="302"/>
      <c r="E134" s="302"/>
      <c r="F134" s="302"/>
      <c r="G134" s="302"/>
      <c r="H134" s="302"/>
      <c r="I134" s="302"/>
      <c r="J134" s="302"/>
      <c r="K134" s="341"/>
      <c r="L134" s="342"/>
      <c r="M134" s="342"/>
      <c r="N134" s="304"/>
      <c r="O134" s="304"/>
      <c r="P134" s="304"/>
      <c r="Q134" s="304"/>
      <c r="R134" s="304"/>
      <c r="S134" s="304"/>
      <c r="T134" s="304"/>
      <c r="U134" s="304"/>
      <c r="V134" s="304"/>
      <c r="W134" s="304"/>
      <c r="X134" s="304"/>
      <c r="Y134" s="304"/>
      <c r="Z134" s="304"/>
    </row>
    <row r="135" ht="15.75" customHeight="1">
      <c r="A135" s="302"/>
      <c r="B135" s="302"/>
      <c r="C135" s="302"/>
      <c r="D135" s="302"/>
      <c r="E135" s="302"/>
      <c r="F135" s="302"/>
      <c r="G135" s="302"/>
      <c r="H135" s="302"/>
      <c r="I135" s="302"/>
      <c r="J135" s="302"/>
      <c r="K135" s="341"/>
      <c r="L135" s="342"/>
      <c r="M135" s="342"/>
      <c r="N135" s="304"/>
      <c r="O135" s="304"/>
      <c r="P135" s="304"/>
      <c r="Q135" s="304"/>
      <c r="R135" s="304"/>
      <c r="S135" s="304"/>
      <c r="T135" s="304"/>
      <c r="U135" s="304"/>
      <c r="V135" s="304"/>
      <c r="W135" s="304"/>
      <c r="X135" s="304"/>
      <c r="Y135" s="304"/>
      <c r="Z135" s="304"/>
    </row>
    <row r="136" ht="15.75" customHeight="1">
      <c r="A136" s="302"/>
      <c r="B136" s="302"/>
      <c r="C136" s="302"/>
      <c r="D136" s="302"/>
      <c r="E136" s="302"/>
      <c r="F136" s="302"/>
      <c r="G136" s="302"/>
      <c r="H136" s="302"/>
      <c r="I136" s="302"/>
      <c r="J136" s="302"/>
      <c r="K136" s="341"/>
      <c r="L136" s="342"/>
      <c r="M136" s="342"/>
      <c r="N136" s="304"/>
      <c r="O136" s="304"/>
      <c r="P136" s="304"/>
      <c r="Q136" s="304"/>
      <c r="R136" s="304"/>
      <c r="S136" s="304"/>
      <c r="T136" s="304"/>
      <c r="U136" s="304"/>
      <c r="V136" s="304"/>
      <c r="W136" s="304"/>
      <c r="X136" s="304"/>
      <c r="Y136" s="304"/>
      <c r="Z136" s="304"/>
    </row>
    <row r="137" ht="15.75" customHeight="1">
      <c r="A137" s="302"/>
      <c r="B137" s="302"/>
      <c r="C137" s="302"/>
      <c r="D137" s="302"/>
      <c r="E137" s="302"/>
      <c r="F137" s="302"/>
      <c r="G137" s="302"/>
      <c r="H137" s="302"/>
      <c r="I137" s="302"/>
      <c r="J137" s="302"/>
      <c r="K137" s="341"/>
      <c r="L137" s="342"/>
      <c r="M137" s="342"/>
      <c r="N137" s="304"/>
      <c r="O137" s="304"/>
      <c r="P137" s="304"/>
      <c r="Q137" s="304"/>
      <c r="R137" s="304"/>
      <c r="S137" s="304"/>
      <c r="T137" s="304"/>
      <c r="U137" s="304"/>
      <c r="V137" s="304"/>
      <c r="W137" s="304"/>
      <c r="X137" s="304"/>
      <c r="Y137" s="304"/>
      <c r="Z137" s="304"/>
    </row>
    <row r="138" ht="15.75" customHeight="1">
      <c r="A138" s="302"/>
      <c r="B138" s="302"/>
      <c r="C138" s="302"/>
      <c r="D138" s="302"/>
      <c r="E138" s="302"/>
      <c r="F138" s="302"/>
      <c r="G138" s="302"/>
      <c r="H138" s="302"/>
      <c r="I138" s="302"/>
      <c r="J138" s="302"/>
      <c r="K138" s="341"/>
      <c r="L138" s="342"/>
      <c r="M138" s="342"/>
      <c r="N138" s="304"/>
      <c r="O138" s="304"/>
      <c r="P138" s="304"/>
      <c r="Q138" s="304"/>
      <c r="R138" s="304"/>
      <c r="S138" s="304"/>
      <c r="T138" s="304"/>
      <c r="U138" s="304"/>
      <c r="V138" s="304"/>
      <c r="W138" s="304"/>
      <c r="X138" s="304"/>
      <c r="Y138" s="304"/>
      <c r="Z138" s="304"/>
    </row>
    <row r="139" ht="15.75" customHeight="1">
      <c r="A139" s="302"/>
      <c r="B139" s="302"/>
      <c r="C139" s="302"/>
      <c r="D139" s="302"/>
      <c r="E139" s="302"/>
      <c r="F139" s="302"/>
      <c r="G139" s="302"/>
      <c r="H139" s="302"/>
      <c r="I139" s="302"/>
      <c r="J139" s="302"/>
      <c r="K139" s="341"/>
      <c r="L139" s="342"/>
      <c r="M139" s="342"/>
      <c r="N139" s="304"/>
      <c r="O139" s="304"/>
      <c r="P139" s="304"/>
      <c r="Q139" s="304"/>
      <c r="R139" s="304"/>
      <c r="S139" s="304"/>
      <c r="T139" s="304"/>
      <c r="U139" s="304"/>
      <c r="V139" s="304"/>
      <c r="W139" s="304"/>
      <c r="X139" s="304"/>
      <c r="Y139" s="304"/>
      <c r="Z139" s="304"/>
    </row>
    <row r="140" ht="15.75" customHeight="1">
      <c r="A140" s="302"/>
      <c r="B140" s="302"/>
      <c r="C140" s="302"/>
      <c r="D140" s="302"/>
      <c r="E140" s="302"/>
      <c r="F140" s="302"/>
      <c r="G140" s="302"/>
      <c r="H140" s="302"/>
      <c r="I140" s="302"/>
      <c r="J140" s="302"/>
      <c r="K140" s="302"/>
      <c r="L140" s="304"/>
      <c r="M140" s="304"/>
      <c r="N140" s="304"/>
      <c r="O140" s="304"/>
      <c r="P140" s="304"/>
      <c r="Q140" s="304"/>
      <c r="R140" s="304"/>
      <c r="S140" s="304"/>
      <c r="T140" s="304"/>
      <c r="U140" s="304"/>
      <c r="V140" s="304"/>
      <c r="W140" s="304"/>
      <c r="X140" s="304"/>
      <c r="Y140" s="304"/>
      <c r="Z140" s="304"/>
    </row>
    <row r="141" ht="15.75" customHeight="1">
      <c r="A141" s="302"/>
      <c r="B141" s="302"/>
      <c r="C141" s="302"/>
      <c r="D141" s="302"/>
      <c r="E141" s="302"/>
      <c r="F141" s="302"/>
      <c r="G141" s="302"/>
      <c r="H141" s="302"/>
      <c r="I141" s="302"/>
      <c r="J141" s="302"/>
      <c r="K141" s="302"/>
      <c r="L141" s="304"/>
      <c r="M141" s="304"/>
      <c r="N141" s="304"/>
      <c r="O141" s="304"/>
      <c r="P141" s="304"/>
      <c r="Q141" s="304"/>
      <c r="R141" s="304"/>
      <c r="S141" s="304"/>
      <c r="T141" s="304"/>
      <c r="U141" s="304"/>
      <c r="V141" s="304"/>
      <c r="W141" s="304"/>
      <c r="X141" s="304"/>
      <c r="Y141" s="304"/>
      <c r="Z141" s="304"/>
    </row>
    <row r="142" ht="15.75" customHeight="1">
      <c r="A142" s="302"/>
      <c r="B142" s="302"/>
      <c r="C142" s="302"/>
      <c r="D142" s="302"/>
      <c r="E142" s="302"/>
      <c r="F142" s="302"/>
      <c r="G142" s="302"/>
      <c r="H142" s="302"/>
      <c r="I142" s="302"/>
      <c r="J142" s="302"/>
      <c r="K142" s="302"/>
      <c r="L142" s="304"/>
      <c r="M142" s="304"/>
      <c r="N142" s="304"/>
      <c r="O142" s="304"/>
      <c r="P142" s="304"/>
      <c r="Q142" s="304"/>
      <c r="R142" s="304"/>
      <c r="S142" s="304"/>
      <c r="T142" s="304"/>
      <c r="U142" s="304"/>
      <c r="V142" s="304"/>
      <c r="W142" s="304"/>
      <c r="X142" s="304"/>
      <c r="Y142" s="304"/>
      <c r="Z142" s="304"/>
    </row>
    <row r="143" ht="15.75" customHeight="1">
      <c r="A143" s="302"/>
      <c r="B143" s="302"/>
      <c r="C143" s="302"/>
      <c r="D143" s="302"/>
      <c r="E143" s="302"/>
      <c r="F143" s="302"/>
      <c r="G143" s="302"/>
      <c r="H143" s="302"/>
      <c r="I143" s="302"/>
      <c r="J143" s="302"/>
      <c r="K143" s="302"/>
      <c r="L143" s="304"/>
      <c r="M143" s="304"/>
      <c r="N143" s="304"/>
      <c r="O143" s="304"/>
      <c r="P143" s="304"/>
      <c r="Q143" s="304"/>
      <c r="R143" s="304"/>
      <c r="S143" s="304"/>
      <c r="T143" s="304"/>
      <c r="U143" s="304"/>
      <c r="V143" s="304"/>
      <c r="W143" s="304"/>
      <c r="X143" s="304"/>
      <c r="Y143" s="304"/>
      <c r="Z143" s="304"/>
    </row>
    <row r="144" ht="15.75" customHeight="1">
      <c r="A144" s="302"/>
      <c r="B144" s="302"/>
      <c r="C144" s="302"/>
      <c r="D144" s="302"/>
      <c r="E144" s="302"/>
      <c r="F144" s="302"/>
      <c r="G144" s="302"/>
      <c r="H144" s="302"/>
      <c r="I144" s="302"/>
      <c r="J144" s="302"/>
      <c r="K144" s="302"/>
      <c r="L144" s="304"/>
      <c r="M144" s="304"/>
      <c r="N144" s="304"/>
      <c r="O144" s="304"/>
      <c r="P144" s="304"/>
      <c r="Q144" s="304"/>
      <c r="R144" s="304"/>
      <c r="S144" s="304"/>
      <c r="T144" s="304"/>
      <c r="U144" s="304"/>
      <c r="V144" s="304"/>
      <c r="W144" s="304"/>
      <c r="X144" s="304"/>
      <c r="Y144" s="304"/>
      <c r="Z144" s="304"/>
    </row>
    <row r="145" ht="15.75" customHeight="1">
      <c r="A145" s="302"/>
      <c r="B145" s="302"/>
      <c r="C145" s="302"/>
      <c r="D145" s="302"/>
      <c r="E145" s="302"/>
      <c r="F145" s="302"/>
      <c r="G145" s="302"/>
      <c r="H145" s="302"/>
      <c r="I145" s="302"/>
      <c r="J145" s="302"/>
      <c r="K145" s="302"/>
      <c r="L145" s="304"/>
      <c r="M145" s="304"/>
      <c r="N145" s="304"/>
      <c r="O145" s="304"/>
      <c r="P145" s="304"/>
      <c r="Q145" s="304"/>
      <c r="R145" s="304"/>
      <c r="S145" s="304"/>
      <c r="T145" s="304"/>
      <c r="U145" s="304"/>
      <c r="V145" s="304"/>
      <c r="W145" s="304"/>
      <c r="X145" s="304"/>
      <c r="Y145" s="304"/>
      <c r="Z145" s="304"/>
    </row>
    <row r="146" ht="15.75" customHeight="1">
      <c r="A146" s="302"/>
      <c r="B146" s="302"/>
      <c r="C146" s="302"/>
      <c r="D146" s="302"/>
      <c r="E146" s="302"/>
      <c r="F146" s="302"/>
      <c r="G146" s="302"/>
      <c r="H146" s="302"/>
      <c r="I146" s="302"/>
      <c r="J146" s="302"/>
      <c r="K146" s="302"/>
      <c r="L146" s="304"/>
      <c r="M146" s="304"/>
      <c r="N146" s="304"/>
      <c r="O146" s="304"/>
      <c r="P146" s="304"/>
      <c r="Q146" s="304"/>
      <c r="R146" s="304"/>
      <c r="S146" s="304"/>
      <c r="T146" s="304"/>
      <c r="U146" s="304"/>
      <c r="V146" s="304"/>
      <c r="W146" s="304"/>
      <c r="X146" s="304"/>
      <c r="Y146" s="304"/>
      <c r="Z146" s="304"/>
    </row>
    <row r="147" ht="15.75" customHeight="1">
      <c r="A147" s="302"/>
      <c r="B147" s="302"/>
      <c r="C147" s="302"/>
      <c r="D147" s="302"/>
      <c r="E147" s="302"/>
      <c r="F147" s="302"/>
      <c r="G147" s="302"/>
      <c r="H147" s="302"/>
      <c r="I147" s="302"/>
      <c r="J147" s="302"/>
      <c r="K147" s="302"/>
      <c r="L147" s="304"/>
      <c r="M147" s="304"/>
      <c r="N147" s="304"/>
      <c r="O147" s="304"/>
      <c r="P147" s="304"/>
      <c r="Q147" s="304"/>
      <c r="R147" s="304"/>
      <c r="S147" s="304"/>
      <c r="T147" s="304"/>
      <c r="U147" s="304"/>
      <c r="V147" s="304"/>
      <c r="W147" s="304"/>
      <c r="X147" s="304"/>
      <c r="Y147" s="304"/>
      <c r="Z147" s="304"/>
    </row>
    <row r="148" ht="15.75" customHeight="1">
      <c r="A148" s="302"/>
      <c r="B148" s="302"/>
      <c r="C148" s="302"/>
      <c r="D148" s="302"/>
      <c r="E148" s="302"/>
      <c r="F148" s="302"/>
      <c r="G148" s="302"/>
      <c r="H148" s="302"/>
      <c r="I148" s="302"/>
      <c r="J148" s="302"/>
      <c r="K148" s="302"/>
      <c r="L148" s="304"/>
      <c r="M148" s="304"/>
      <c r="N148" s="304"/>
      <c r="O148" s="304"/>
      <c r="P148" s="304"/>
      <c r="Q148" s="304"/>
      <c r="R148" s="304"/>
      <c r="S148" s="304"/>
      <c r="T148" s="304"/>
      <c r="U148" s="304"/>
      <c r="V148" s="304"/>
      <c r="W148" s="304"/>
      <c r="X148" s="304"/>
      <c r="Y148" s="304"/>
      <c r="Z148" s="304"/>
    </row>
    <row r="149" ht="15.75" customHeight="1">
      <c r="A149" s="302"/>
      <c r="B149" s="302"/>
      <c r="C149" s="302"/>
      <c r="D149" s="302"/>
      <c r="E149" s="302"/>
      <c r="F149" s="302"/>
      <c r="G149" s="302"/>
      <c r="H149" s="302"/>
      <c r="I149" s="302"/>
      <c r="J149" s="302"/>
      <c r="K149" s="302"/>
      <c r="L149" s="304"/>
      <c r="M149" s="304"/>
      <c r="N149" s="304"/>
      <c r="O149" s="304"/>
      <c r="P149" s="304"/>
      <c r="Q149" s="304"/>
      <c r="R149" s="304"/>
      <c r="S149" s="304"/>
      <c r="T149" s="304"/>
      <c r="U149" s="304"/>
      <c r="V149" s="304"/>
      <c r="W149" s="304"/>
      <c r="X149" s="304"/>
      <c r="Y149" s="304"/>
      <c r="Z149" s="304"/>
    </row>
    <row r="150" ht="15.75" customHeight="1">
      <c r="A150" s="302"/>
      <c r="B150" s="302"/>
      <c r="C150" s="302"/>
      <c r="D150" s="302"/>
      <c r="E150" s="302"/>
      <c r="F150" s="302"/>
      <c r="G150" s="302"/>
      <c r="H150" s="302"/>
      <c r="I150" s="302"/>
      <c r="J150" s="302"/>
      <c r="K150" s="302"/>
      <c r="L150" s="304"/>
      <c r="M150" s="304"/>
      <c r="N150" s="304"/>
      <c r="O150" s="304"/>
      <c r="P150" s="304"/>
      <c r="Q150" s="304"/>
      <c r="R150" s="304"/>
      <c r="S150" s="304"/>
      <c r="T150" s="304"/>
      <c r="U150" s="304"/>
      <c r="V150" s="304"/>
      <c r="W150" s="304"/>
      <c r="X150" s="304"/>
      <c r="Y150" s="304"/>
      <c r="Z150" s="304"/>
    </row>
    <row r="151" ht="15.75" customHeight="1">
      <c r="A151" s="302"/>
      <c r="B151" s="302"/>
      <c r="C151" s="302"/>
      <c r="D151" s="302"/>
      <c r="E151" s="302"/>
      <c r="F151" s="302"/>
      <c r="G151" s="302"/>
      <c r="H151" s="302"/>
      <c r="I151" s="302"/>
      <c r="J151" s="302"/>
      <c r="K151" s="302"/>
      <c r="L151" s="304"/>
      <c r="M151" s="304"/>
      <c r="N151" s="304"/>
      <c r="O151" s="304"/>
      <c r="P151" s="304"/>
      <c r="Q151" s="304"/>
      <c r="R151" s="304"/>
      <c r="S151" s="304"/>
      <c r="T151" s="304"/>
      <c r="U151" s="304"/>
      <c r="V151" s="304"/>
      <c r="W151" s="304"/>
      <c r="X151" s="304"/>
      <c r="Y151" s="304"/>
      <c r="Z151" s="304"/>
    </row>
    <row r="152" ht="15.75" customHeight="1">
      <c r="A152" s="302"/>
      <c r="B152" s="302"/>
      <c r="C152" s="302"/>
      <c r="D152" s="302"/>
      <c r="E152" s="302"/>
      <c r="F152" s="302"/>
      <c r="G152" s="302"/>
      <c r="H152" s="302"/>
      <c r="I152" s="302"/>
      <c r="J152" s="302"/>
      <c r="K152" s="302"/>
      <c r="L152" s="304"/>
      <c r="M152" s="304"/>
      <c r="N152" s="304"/>
      <c r="O152" s="304"/>
      <c r="P152" s="304"/>
      <c r="Q152" s="304"/>
      <c r="R152" s="304"/>
      <c r="S152" s="304"/>
      <c r="T152" s="304"/>
      <c r="U152" s="304"/>
      <c r="V152" s="304"/>
      <c r="W152" s="304"/>
      <c r="X152" s="304"/>
      <c r="Y152" s="304"/>
      <c r="Z152" s="304"/>
    </row>
    <row r="153" ht="15.75" customHeight="1">
      <c r="A153" s="302"/>
      <c r="B153" s="302"/>
      <c r="C153" s="302"/>
      <c r="D153" s="302"/>
      <c r="E153" s="302"/>
      <c r="F153" s="302"/>
      <c r="G153" s="302"/>
      <c r="H153" s="302"/>
      <c r="I153" s="302"/>
      <c r="J153" s="302"/>
      <c r="K153" s="302"/>
      <c r="L153" s="304"/>
      <c r="M153" s="304"/>
      <c r="N153" s="304"/>
      <c r="O153" s="304"/>
      <c r="P153" s="304"/>
      <c r="Q153" s="304"/>
      <c r="R153" s="304"/>
      <c r="S153" s="304"/>
      <c r="T153" s="304"/>
      <c r="U153" s="304"/>
      <c r="V153" s="304"/>
      <c r="W153" s="304"/>
      <c r="X153" s="304"/>
      <c r="Y153" s="304"/>
      <c r="Z153" s="304"/>
    </row>
    <row r="154" ht="15.75" customHeight="1">
      <c r="A154" s="302"/>
      <c r="B154" s="302"/>
      <c r="C154" s="302"/>
      <c r="D154" s="302"/>
      <c r="E154" s="302"/>
      <c r="F154" s="302"/>
      <c r="G154" s="302"/>
      <c r="H154" s="302"/>
      <c r="I154" s="302"/>
      <c r="J154" s="302"/>
      <c r="K154" s="302"/>
      <c r="L154" s="304"/>
      <c r="M154" s="304"/>
      <c r="N154" s="304"/>
      <c r="O154" s="304"/>
      <c r="P154" s="304"/>
      <c r="Q154" s="304"/>
      <c r="R154" s="304"/>
      <c r="S154" s="304"/>
      <c r="T154" s="304"/>
      <c r="U154" s="304"/>
      <c r="V154" s="304"/>
      <c r="W154" s="304"/>
      <c r="X154" s="304"/>
      <c r="Y154" s="304"/>
      <c r="Z154" s="304"/>
    </row>
    <row r="155" ht="15.75" customHeight="1">
      <c r="A155" s="302"/>
      <c r="B155" s="302"/>
      <c r="C155" s="302"/>
      <c r="D155" s="302"/>
      <c r="E155" s="302"/>
      <c r="F155" s="302"/>
      <c r="G155" s="302"/>
      <c r="H155" s="302"/>
      <c r="I155" s="302"/>
      <c r="J155" s="302"/>
      <c r="K155" s="302"/>
      <c r="L155" s="304"/>
      <c r="M155" s="304"/>
      <c r="N155" s="304"/>
      <c r="O155" s="304"/>
      <c r="P155" s="304"/>
      <c r="Q155" s="304"/>
      <c r="R155" s="304"/>
      <c r="S155" s="304"/>
      <c r="T155" s="304"/>
      <c r="U155" s="304"/>
      <c r="V155" s="304"/>
      <c r="W155" s="304"/>
      <c r="X155" s="304"/>
      <c r="Y155" s="304"/>
      <c r="Z155" s="304"/>
    </row>
    <row r="156" ht="15.75" customHeight="1">
      <c r="A156" s="302"/>
      <c r="B156" s="302"/>
      <c r="C156" s="302"/>
      <c r="D156" s="302"/>
      <c r="E156" s="302"/>
      <c r="F156" s="302"/>
      <c r="G156" s="302"/>
      <c r="H156" s="302"/>
      <c r="I156" s="302"/>
      <c r="J156" s="302"/>
      <c r="K156" s="302"/>
      <c r="L156" s="304"/>
      <c r="M156" s="304"/>
      <c r="N156" s="304"/>
      <c r="O156" s="304"/>
      <c r="P156" s="304"/>
      <c r="Q156" s="304"/>
      <c r="R156" s="304"/>
      <c r="S156" s="304"/>
      <c r="T156" s="304"/>
      <c r="U156" s="304"/>
      <c r="V156" s="304"/>
      <c r="W156" s="304"/>
      <c r="X156" s="304"/>
      <c r="Y156" s="304"/>
      <c r="Z156" s="304"/>
    </row>
    <row r="157" ht="15.75" customHeight="1">
      <c r="A157" s="302"/>
      <c r="B157" s="302"/>
      <c r="C157" s="302"/>
      <c r="D157" s="302"/>
      <c r="E157" s="302"/>
      <c r="F157" s="302"/>
      <c r="G157" s="302"/>
      <c r="H157" s="302"/>
      <c r="I157" s="302"/>
      <c r="J157" s="302"/>
      <c r="K157" s="302"/>
      <c r="L157" s="304"/>
      <c r="M157" s="304"/>
      <c r="N157" s="304"/>
      <c r="O157" s="304"/>
      <c r="P157" s="304"/>
      <c r="Q157" s="304"/>
      <c r="R157" s="304"/>
      <c r="S157" s="304"/>
      <c r="T157" s="304"/>
      <c r="U157" s="304"/>
      <c r="V157" s="304"/>
      <c r="W157" s="304"/>
      <c r="X157" s="304"/>
      <c r="Y157" s="304"/>
      <c r="Z157" s="304"/>
    </row>
    <row r="158" ht="15.75" customHeight="1">
      <c r="A158" s="302"/>
      <c r="B158" s="302"/>
      <c r="C158" s="302"/>
      <c r="D158" s="302"/>
      <c r="E158" s="302"/>
      <c r="F158" s="302"/>
      <c r="G158" s="302"/>
      <c r="H158" s="302"/>
      <c r="I158" s="302"/>
      <c r="J158" s="302"/>
      <c r="K158" s="302"/>
      <c r="L158" s="304"/>
      <c r="M158" s="304"/>
      <c r="N158" s="304"/>
      <c r="O158" s="304"/>
      <c r="P158" s="304"/>
      <c r="Q158" s="304"/>
      <c r="R158" s="304"/>
      <c r="S158" s="304"/>
      <c r="T158" s="304"/>
      <c r="U158" s="304"/>
      <c r="V158" s="304"/>
      <c r="W158" s="304"/>
      <c r="X158" s="304"/>
      <c r="Y158" s="304"/>
      <c r="Z158" s="304"/>
    </row>
    <row r="159" ht="15.75" customHeight="1">
      <c r="A159" s="302"/>
      <c r="B159" s="302"/>
      <c r="C159" s="302"/>
      <c r="D159" s="302"/>
      <c r="E159" s="302"/>
      <c r="F159" s="302"/>
      <c r="G159" s="302"/>
      <c r="H159" s="302"/>
      <c r="I159" s="302"/>
      <c r="J159" s="302"/>
      <c r="K159" s="302"/>
      <c r="L159" s="304"/>
      <c r="M159" s="304"/>
      <c r="N159" s="304"/>
      <c r="O159" s="304"/>
      <c r="P159" s="304"/>
      <c r="Q159" s="304"/>
      <c r="R159" s="304"/>
      <c r="S159" s="304"/>
      <c r="T159" s="304"/>
      <c r="U159" s="304"/>
      <c r="V159" s="304"/>
      <c r="W159" s="304"/>
      <c r="X159" s="304"/>
      <c r="Y159" s="304"/>
      <c r="Z159" s="304"/>
    </row>
    <row r="160" ht="15.75" customHeight="1">
      <c r="A160" s="302"/>
      <c r="B160" s="302"/>
      <c r="C160" s="302"/>
      <c r="D160" s="302"/>
      <c r="E160" s="302"/>
      <c r="F160" s="302"/>
      <c r="G160" s="302"/>
      <c r="H160" s="302"/>
      <c r="I160" s="302"/>
      <c r="J160" s="302"/>
      <c r="K160" s="302"/>
      <c r="L160" s="304"/>
      <c r="M160" s="304"/>
      <c r="N160" s="304"/>
      <c r="O160" s="304"/>
      <c r="P160" s="304"/>
      <c r="Q160" s="304"/>
      <c r="R160" s="304"/>
      <c r="S160" s="304"/>
      <c r="T160" s="304"/>
      <c r="U160" s="304"/>
      <c r="V160" s="304"/>
      <c r="W160" s="304"/>
      <c r="X160" s="304"/>
      <c r="Y160" s="304"/>
      <c r="Z160" s="304"/>
    </row>
    <row r="161" ht="15.75" customHeight="1">
      <c r="A161" s="302"/>
      <c r="B161" s="302"/>
      <c r="C161" s="302"/>
      <c r="D161" s="302"/>
      <c r="E161" s="302"/>
      <c r="F161" s="302"/>
      <c r="G161" s="302"/>
      <c r="H161" s="302"/>
      <c r="I161" s="302"/>
      <c r="J161" s="302"/>
      <c r="K161" s="302"/>
      <c r="L161" s="304"/>
      <c r="M161" s="304"/>
      <c r="N161" s="304"/>
      <c r="O161" s="304"/>
      <c r="P161" s="304"/>
      <c r="Q161" s="304"/>
      <c r="R161" s="304"/>
      <c r="S161" s="304"/>
      <c r="T161" s="304"/>
      <c r="U161" s="304"/>
      <c r="V161" s="304"/>
      <c r="W161" s="304"/>
      <c r="X161" s="304"/>
      <c r="Y161" s="304"/>
      <c r="Z161" s="304"/>
    </row>
    <row r="162" ht="15.75" customHeight="1">
      <c r="A162" s="302"/>
      <c r="B162" s="302"/>
      <c r="C162" s="302"/>
      <c r="D162" s="302"/>
      <c r="E162" s="302"/>
      <c r="F162" s="302"/>
      <c r="G162" s="302"/>
      <c r="H162" s="302"/>
      <c r="I162" s="302"/>
      <c r="J162" s="302"/>
      <c r="K162" s="302"/>
      <c r="L162" s="304"/>
      <c r="M162" s="304"/>
      <c r="N162" s="304"/>
      <c r="O162" s="304"/>
      <c r="P162" s="304"/>
      <c r="Q162" s="304"/>
      <c r="R162" s="304"/>
      <c r="S162" s="304"/>
      <c r="T162" s="304"/>
      <c r="U162" s="304"/>
      <c r="V162" s="304"/>
      <c r="W162" s="304"/>
      <c r="X162" s="304"/>
      <c r="Y162" s="304"/>
      <c r="Z162" s="304"/>
    </row>
    <row r="163" ht="15.75" customHeight="1">
      <c r="A163" s="302"/>
      <c r="B163" s="302"/>
      <c r="C163" s="302"/>
      <c r="D163" s="302"/>
      <c r="E163" s="302"/>
      <c r="F163" s="302"/>
      <c r="G163" s="302"/>
      <c r="H163" s="302"/>
      <c r="I163" s="302"/>
      <c r="J163" s="302"/>
      <c r="K163" s="302"/>
      <c r="L163" s="304"/>
      <c r="M163" s="304"/>
      <c r="N163" s="304"/>
      <c r="O163" s="304"/>
      <c r="P163" s="304"/>
      <c r="Q163" s="304"/>
      <c r="R163" s="304"/>
      <c r="S163" s="304"/>
      <c r="T163" s="304"/>
      <c r="U163" s="304"/>
      <c r="V163" s="304"/>
      <c r="W163" s="304"/>
      <c r="X163" s="304"/>
      <c r="Y163" s="304"/>
      <c r="Z163" s="304"/>
    </row>
    <row r="164" ht="15.75" customHeight="1">
      <c r="A164" s="302"/>
      <c r="B164" s="302"/>
      <c r="C164" s="302"/>
      <c r="D164" s="302"/>
      <c r="E164" s="302"/>
      <c r="F164" s="302"/>
      <c r="G164" s="302"/>
      <c r="H164" s="302"/>
      <c r="I164" s="302"/>
      <c r="J164" s="302"/>
      <c r="K164" s="302"/>
      <c r="L164" s="304"/>
      <c r="M164" s="304"/>
      <c r="N164" s="304"/>
      <c r="O164" s="304"/>
      <c r="P164" s="304"/>
      <c r="Q164" s="304"/>
      <c r="R164" s="304"/>
      <c r="S164" s="304"/>
      <c r="T164" s="304"/>
      <c r="U164" s="304"/>
      <c r="V164" s="304"/>
      <c r="W164" s="304"/>
      <c r="X164" s="304"/>
      <c r="Y164" s="304"/>
      <c r="Z164" s="304"/>
    </row>
    <row r="165" ht="15.75" customHeight="1">
      <c r="A165" s="302"/>
      <c r="B165" s="302"/>
      <c r="C165" s="302"/>
      <c r="D165" s="302"/>
      <c r="E165" s="302"/>
      <c r="F165" s="302"/>
      <c r="G165" s="302"/>
      <c r="H165" s="302"/>
      <c r="I165" s="302"/>
      <c r="J165" s="302"/>
      <c r="K165" s="302"/>
      <c r="L165" s="304"/>
      <c r="M165" s="304"/>
      <c r="N165" s="304"/>
      <c r="O165" s="304"/>
      <c r="P165" s="304"/>
      <c r="Q165" s="304"/>
      <c r="R165" s="304"/>
      <c r="S165" s="304"/>
      <c r="T165" s="304"/>
      <c r="U165" s="304"/>
      <c r="V165" s="304"/>
      <c r="W165" s="304"/>
      <c r="X165" s="304"/>
      <c r="Y165" s="304"/>
      <c r="Z165" s="304"/>
    </row>
    <row r="166" ht="15.75" customHeight="1">
      <c r="A166" s="302"/>
      <c r="B166" s="302"/>
      <c r="C166" s="302"/>
      <c r="D166" s="302"/>
      <c r="E166" s="302"/>
      <c r="F166" s="302"/>
      <c r="G166" s="302"/>
      <c r="H166" s="302"/>
      <c r="I166" s="302"/>
      <c r="J166" s="302"/>
      <c r="K166" s="302"/>
      <c r="L166" s="304"/>
      <c r="M166" s="304"/>
      <c r="N166" s="304"/>
      <c r="O166" s="304"/>
      <c r="P166" s="304"/>
      <c r="Q166" s="304"/>
      <c r="R166" s="304"/>
      <c r="S166" s="304"/>
      <c r="T166" s="304"/>
      <c r="U166" s="304"/>
      <c r="V166" s="304"/>
      <c r="W166" s="304"/>
      <c r="X166" s="304"/>
      <c r="Y166" s="304"/>
      <c r="Z166" s="304"/>
    </row>
    <row r="167" ht="15.75" customHeight="1">
      <c r="A167" s="302"/>
      <c r="B167" s="302"/>
      <c r="C167" s="302"/>
      <c r="D167" s="302"/>
      <c r="E167" s="302"/>
      <c r="F167" s="302"/>
      <c r="G167" s="302"/>
      <c r="H167" s="302"/>
      <c r="I167" s="302"/>
      <c r="J167" s="302"/>
      <c r="K167" s="302"/>
      <c r="L167" s="304"/>
      <c r="M167" s="304"/>
      <c r="N167" s="304"/>
      <c r="O167" s="304"/>
      <c r="P167" s="304"/>
      <c r="Q167" s="304"/>
      <c r="R167" s="304"/>
      <c r="S167" s="304"/>
      <c r="T167" s="304"/>
      <c r="U167" s="304"/>
      <c r="V167" s="304"/>
      <c r="W167" s="304"/>
      <c r="X167" s="304"/>
      <c r="Y167" s="304"/>
      <c r="Z167" s="304"/>
    </row>
    <row r="168" ht="15.75" customHeight="1">
      <c r="A168" s="302"/>
      <c r="B168" s="302"/>
      <c r="C168" s="302"/>
      <c r="D168" s="302"/>
      <c r="E168" s="302"/>
      <c r="F168" s="302"/>
      <c r="G168" s="302"/>
      <c r="H168" s="302"/>
      <c r="I168" s="302"/>
      <c r="J168" s="302"/>
      <c r="K168" s="302"/>
      <c r="L168" s="304"/>
      <c r="M168" s="304"/>
      <c r="N168" s="304"/>
      <c r="O168" s="304"/>
      <c r="P168" s="304"/>
      <c r="Q168" s="304"/>
      <c r="R168" s="304"/>
      <c r="S168" s="304"/>
      <c r="T168" s="304"/>
      <c r="U168" s="304"/>
      <c r="V168" s="304"/>
      <c r="W168" s="304"/>
      <c r="X168" s="304"/>
      <c r="Y168" s="304"/>
      <c r="Z168" s="304"/>
    </row>
    <row r="169" ht="15.75" customHeight="1">
      <c r="A169" s="302"/>
      <c r="B169" s="302"/>
      <c r="C169" s="302"/>
      <c r="D169" s="302"/>
      <c r="E169" s="302"/>
      <c r="F169" s="302"/>
      <c r="G169" s="302"/>
      <c r="H169" s="302"/>
      <c r="I169" s="302"/>
      <c r="J169" s="302"/>
      <c r="K169" s="302"/>
      <c r="L169" s="304"/>
      <c r="M169" s="304"/>
      <c r="N169" s="304"/>
      <c r="O169" s="304"/>
      <c r="P169" s="304"/>
      <c r="Q169" s="304"/>
      <c r="R169" s="304"/>
      <c r="S169" s="304"/>
      <c r="T169" s="304"/>
      <c r="U169" s="304"/>
      <c r="V169" s="304"/>
      <c r="W169" s="304"/>
      <c r="X169" s="304"/>
      <c r="Y169" s="304"/>
      <c r="Z169" s="304"/>
    </row>
    <row r="170" ht="15.75" customHeight="1">
      <c r="A170" s="302"/>
      <c r="B170" s="302"/>
      <c r="C170" s="302"/>
      <c r="D170" s="302"/>
      <c r="E170" s="302"/>
      <c r="F170" s="302"/>
      <c r="G170" s="302"/>
      <c r="H170" s="302"/>
      <c r="I170" s="302"/>
      <c r="J170" s="302"/>
      <c r="K170" s="302"/>
      <c r="L170" s="304"/>
      <c r="M170" s="304"/>
      <c r="N170" s="304"/>
      <c r="O170" s="304"/>
      <c r="P170" s="304"/>
      <c r="Q170" s="304"/>
      <c r="R170" s="304"/>
      <c r="S170" s="304"/>
      <c r="T170" s="304"/>
      <c r="U170" s="304"/>
      <c r="V170" s="304"/>
      <c r="W170" s="304"/>
      <c r="X170" s="304"/>
      <c r="Y170" s="304"/>
      <c r="Z170" s="304"/>
    </row>
    <row r="171" ht="15.75" customHeight="1">
      <c r="A171" s="302"/>
      <c r="B171" s="302"/>
      <c r="C171" s="302"/>
      <c r="D171" s="302"/>
      <c r="E171" s="302"/>
      <c r="F171" s="302"/>
      <c r="G171" s="302"/>
      <c r="H171" s="302"/>
      <c r="I171" s="302"/>
      <c r="J171" s="302"/>
      <c r="K171" s="302"/>
      <c r="L171" s="304"/>
      <c r="M171" s="304"/>
      <c r="N171" s="304"/>
      <c r="O171" s="304"/>
      <c r="P171" s="304"/>
      <c r="Q171" s="304"/>
      <c r="R171" s="304"/>
      <c r="S171" s="304"/>
      <c r="T171" s="304"/>
      <c r="U171" s="304"/>
      <c r="V171" s="304"/>
      <c r="W171" s="304"/>
      <c r="X171" s="304"/>
      <c r="Y171" s="304"/>
      <c r="Z171" s="304"/>
    </row>
    <row r="172" ht="15.75" customHeight="1">
      <c r="A172" s="302"/>
      <c r="B172" s="302"/>
      <c r="C172" s="302"/>
      <c r="D172" s="302"/>
      <c r="E172" s="302"/>
      <c r="F172" s="302"/>
      <c r="G172" s="302"/>
      <c r="H172" s="302"/>
      <c r="I172" s="302"/>
      <c r="J172" s="302"/>
      <c r="K172" s="302"/>
      <c r="L172" s="304"/>
      <c r="M172" s="304"/>
      <c r="N172" s="304"/>
      <c r="O172" s="304"/>
      <c r="P172" s="304"/>
      <c r="Q172" s="304"/>
      <c r="R172" s="304"/>
      <c r="S172" s="304"/>
      <c r="T172" s="304"/>
      <c r="U172" s="304"/>
      <c r="V172" s="304"/>
      <c r="W172" s="304"/>
      <c r="X172" s="304"/>
      <c r="Y172" s="304"/>
      <c r="Z172" s="304"/>
    </row>
    <row r="173" ht="15.75" customHeight="1">
      <c r="A173" s="302"/>
      <c r="B173" s="302"/>
      <c r="C173" s="302"/>
      <c r="D173" s="302"/>
      <c r="E173" s="302"/>
      <c r="F173" s="302"/>
      <c r="G173" s="302"/>
      <c r="H173" s="302"/>
      <c r="I173" s="302"/>
      <c r="J173" s="302"/>
      <c r="K173" s="302"/>
      <c r="L173" s="304"/>
      <c r="M173" s="304"/>
      <c r="N173" s="304"/>
      <c r="O173" s="304"/>
      <c r="P173" s="304"/>
      <c r="Q173" s="304"/>
      <c r="R173" s="304"/>
      <c r="S173" s="304"/>
      <c r="T173" s="304"/>
      <c r="U173" s="304"/>
      <c r="V173" s="304"/>
      <c r="W173" s="304"/>
      <c r="X173" s="304"/>
      <c r="Y173" s="304"/>
      <c r="Z173" s="304"/>
    </row>
    <row r="174" ht="15.75" customHeight="1">
      <c r="A174" s="302"/>
      <c r="B174" s="302"/>
      <c r="C174" s="302"/>
      <c r="D174" s="302"/>
      <c r="E174" s="302"/>
      <c r="F174" s="302"/>
      <c r="G174" s="302"/>
      <c r="H174" s="302"/>
      <c r="I174" s="302"/>
      <c r="J174" s="302"/>
      <c r="K174" s="302"/>
      <c r="L174" s="304"/>
      <c r="M174" s="304"/>
      <c r="N174" s="304"/>
      <c r="O174" s="304"/>
      <c r="P174" s="304"/>
      <c r="Q174" s="304"/>
      <c r="R174" s="304"/>
      <c r="S174" s="304"/>
      <c r="T174" s="304"/>
      <c r="U174" s="304"/>
      <c r="V174" s="304"/>
      <c r="W174" s="304"/>
      <c r="X174" s="304"/>
      <c r="Y174" s="304"/>
      <c r="Z174" s="304"/>
    </row>
    <row r="175" ht="15.75" customHeight="1">
      <c r="A175" s="302"/>
      <c r="B175" s="302"/>
      <c r="C175" s="302"/>
      <c r="D175" s="302"/>
      <c r="E175" s="302"/>
      <c r="F175" s="302"/>
      <c r="G175" s="302"/>
      <c r="H175" s="302"/>
      <c r="I175" s="302"/>
      <c r="J175" s="302"/>
      <c r="K175" s="302"/>
      <c r="L175" s="304"/>
      <c r="M175" s="304"/>
      <c r="N175" s="304"/>
      <c r="O175" s="304"/>
      <c r="P175" s="304"/>
      <c r="Q175" s="304"/>
      <c r="R175" s="304"/>
      <c r="S175" s="304"/>
      <c r="T175" s="304"/>
      <c r="U175" s="304"/>
      <c r="V175" s="304"/>
      <c r="W175" s="304"/>
      <c r="X175" s="304"/>
      <c r="Y175" s="304"/>
      <c r="Z175" s="304"/>
    </row>
    <row r="176" ht="15.75" customHeight="1">
      <c r="A176" s="302"/>
      <c r="B176" s="302"/>
      <c r="C176" s="302"/>
      <c r="D176" s="302"/>
      <c r="E176" s="302"/>
      <c r="F176" s="302"/>
      <c r="G176" s="302"/>
      <c r="H176" s="302"/>
      <c r="I176" s="302"/>
      <c r="J176" s="302"/>
      <c r="K176" s="302"/>
      <c r="L176" s="304"/>
      <c r="M176" s="304"/>
      <c r="N176" s="304"/>
      <c r="O176" s="304"/>
      <c r="P176" s="304"/>
      <c r="Q176" s="304"/>
      <c r="R176" s="304"/>
      <c r="S176" s="304"/>
      <c r="T176" s="304"/>
      <c r="U176" s="304"/>
      <c r="V176" s="304"/>
      <c r="W176" s="304"/>
      <c r="X176" s="304"/>
      <c r="Y176" s="304"/>
      <c r="Z176" s="304"/>
    </row>
    <row r="177" ht="15.75" customHeight="1">
      <c r="A177" s="302"/>
      <c r="B177" s="302"/>
      <c r="C177" s="302"/>
      <c r="D177" s="302"/>
      <c r="E177" s="302"/>
      <c r="F177" s="302"/>
      <c r="G177" s="302"/>
      <c r="H177" s="302"/>
      <c r="I177" s="302"/>
      <c r="J177" s="302"/>
      <c r="K177" s="302"/>
      <c r="L177" s="304"/>
      <c r="M177" s="304"/>
      <c r="N177" s="304"/>
      <c r="O177" s="304"/>
      <c r="P177" s="304"/>
      <c r="Q177" s="304"/>
      <c r="R177" s="304"/>
      <c r="S177" s="304"/>
      <c r="T177" s="304"/>
      <c r="U177" s="304"/>
      <c r="V177" s="304"/>
      <c r="W177" s="304"/>
      <c r="X177" s="304"/>
      <c r="Y177" s="304"/>
      <c r="Z177" s="304"/>
    </row>
    <row r="178" ht="15.75" customHeight="1">
      <c r="A178" s="302"/>
      <c r="B178" s="302"/>
      <c r="C178" s="302"/>
      <c r="D178" s="302"/>
      <c r="E178" s="302"/>
      <c r="F178" s="302"/>
      <c r="G178" s="302"/>
      <c r="H178" s="302"/>
      <c r="I178" s="302"/>
      <c r="J178" s="302"/>
      <c r="K178" s="302"/>
      <c r="L178" s="304"/>
      <c r="M178" s="304"/>
      <c r="N178" s="304"/>
      <c r="O178" s="304"/>
      <c r="P178" s="304"/>
      <c r="Q178" s="304"/>
      <c r="R178" s="304"/>
      <c r="S178" s="304"/>
      <c r="T178" s="304"/>
      <c r="U178" s="304"/>
      <c r="V178" s="304"/>
      <c r="W178" s="304"/>
      <c r="X178" s="304"/>
      <c r="Y178" s="304"/>
      <c r="Z178" s="304"/>
    </row>
    <row r="179" ht="15.75" customHeight="1">
      <c r="A179" s="302"/>
      <c r="B179" s="302"/>
      <c r="C179" s="302"/>
      <c r="D179" s="302"/>
      <c r="E179" s="302"/>
      <c r="F179" s="302"/>
      <c r="G179" s="302"/>
      <c r="H179" s="302"/>
      <c r="I179" s="302"/>
      <c r="J179" s="302"/>
      <c r="K179" s="302"/>
      <c r="L179" s="304"/>
      <c r="M179" s="304"/>
      <c r="N179" s="304"/>
      <c r="O179" s="304"/>
      <c r="P179" s="304"/>
      <c r="Q179" s="304"/>
      <c r="R179" s="304"/>
      <c r="S179" s="304"/>
      <c r="T179" s="304"/>
      <c r="U179" s="304"/>
      <c r="V179" s="304"/>
      <c r="W179" s="304"/>
      <c r="X179" s="304"/>
      <c r="Y179" s="304"/>
      <c r="Z179" s="304"/>
    </row>
    <row r="180" ht="15.75" customHeight="1">
      <c r="A180" s="302"/>
      <c r="B180" s="302"/>
      <c r="C180" s="302"/>
      <c r="D180" s="302"/>
      <c r="E180" s="302"/>
      <c r="F180" s="302"/>
      <c r="G180" s="302"/>
      <c r="H180" s="302"/>
      <c r="I180" s="302"/>
      <c r="J180" s="302"/>
      <c r="K180" s="302"/>
      <c r="L180" s="304"/>
      <c r="M180" s="304"/>
      <c r="N180" s="304"/>
      <c r="O180" s="304"/>
      <c r="P180" s="304"/>
      <c r="Q180" s="304"/>
      <c r="R180" s="304"/>
      <c r="S180" s="304"/>
      <c r="T180" s="304"/>
      <c r="U180" s="304"/>
      <c r="V180" s="304"/>
      <c r="W180" s="304"/>
      <c r="X180" s="304"/>
      <c r="Y180" s="304"/>
      <c r="Z180" s="304"/>
    </row>
    <row r="181" ht="15.75" customHeight="1">
      <c r="A181" s="302"/>
      <c r="B181" s="302"/>
      <c r="C181" s="302"/>
      <c r="D181" s="302"/>
      <c r="E181" s="302"/>
      <c r="F181" s="302"/>
      <c r="G181" s="302"/>
      <c r="H181" s="302"/>
      <c r="I181" s="302"/>
      <c r="J181" s="302"/>
      <c r="K181" s="302"/>
      <c r="L181" s="304"/>
      <c r="M181" s="304"/>
      <c r="N181" s="304"/>
      <c r="O181" s="304"/>
      <c r="P181" s="304"/>
      <c r="Q181" s="304"/>
      <c r="R181" s="304"/>
      <c r="S181" s="304"/>
      <c r="T181" s="304"/>
      <c r="U181" s="304"/>
      <c r="V181" s="304"/>
      <c r="W181" s="304"/>
      <c r="X181" s="304"/>
      <c r="Y181" s="304"/>
      <c r="Z181" s="304"/>
    </row>
    <row r="182" ht="15.75" customHeight="1">
      <c r="A182" s="302"/>
      <c r="B182" s="302"/>
      <c r="C182" s="302"/>
      <c r="D182" s="302"/>
      <c r="E182" s="302"/>
      <c r="F182" s="302"/>
      <c r="G182" s="302"/>
      <c r="H182" s="302"/>
      <c r="I182" s="302"/>
      <c r="J182" s="302"/>
      <c r="K182" s="302"/>
      <c r="L182" s="304"/>
      <c r="M182" s="304"/>
      <c r="N182" s="304"/>
      <c r="O182" s="304"/>
      <c r="P182" s="304"/>
      <c r="Q182" s="304"/>
      <c r="R182" s="304"/>
      <c r="S182" s="304"/>
      <c r="T182" s="304"/>
      <c r="U182" s="304"/>
      <c r="V182" s="304"/>
      <c r="W182" s="304"/>
      <c r="X182" s="304"/>
      <c r="Y182" s="304"/>
      <c r="Z182" s="304"/>
    </row>
    <row r="183" ht="15.75" customHeight="1">
      <c r="A183" s="302"/>
      <c r="B183" s="302"/>
      <c r="C183" s="302"/>
      <c r="D183" s="302"/>
      <c r="E183" s="302"/>
      <c r="F183" s="302"/>
      <c r="G183" s="302"/>
      <c r="H183" s="302"/>
      <c r="I183" s="302"/>
      <c r="J183" s="302"/>
      <c r="K183" s="302"/>
      <c r="L183" s="304"/>
      <c r="M183" s="304"/>
      <c r="N183" s="304"/>
      <c r="O183" s="304"/>
      <c r="P183" s="304"/>
      <c r="Q183" s="304"/>
      <c r="R183" s="304"/>
      <c r="S183" s="304"/>
      <c r="T183" s="304"/>
      <c r="U183" s="304"/>
      <c r="V183" s="304"/>
      <c r="W183" s="304"/>
      <c r="X183" s="304"/>
      <c r="Y183" s="304"/>
      <c r="Z183" s="304"/>
    </row>
    <row r="184" ht="15.75" customHeight="1">
      <c r="A184" s="302"/>
      <c r="B184" s="302"/>
      <c r="C184" s="302"/>
      <c r="D184" s="302"/>
      <c r="E184" s="302"/>
      <c r="F184" s="302"/>
      <c r="G184" s="302"/>
      <c r="H184" s="302"/>
      <c r="I184" s="302"/>
      <c r="J184" s="302"/>
      <c r="K184" s="302"/>
      <c r="L184" s="304"/>
      <c r="M184" s="304"/>
      <c r="N184" s="304"/>
      <c r="O184" s="304"/>
      <c r="P184" s="304"/>
      <c r="Q184" s="304"/>
      <c r="R184" s="304"/>
      <c r="S184" s="304"/>
      <c r="T184" s="304"/>
      <c r="U184" s="304"/>
      <c r="V184" s="304"/>
      <c r="W184" s="304"/>
      <c r="X184" s="304"/>
      <c r="Y184" s="304"/>
      <c r="Z184" s="304"/>
    </row>
    <row r="185" ht="15.75" customHeight="1">
      <c r="A185" s="302"/>
      <c r="B185" s="302"/>
      <c r="C185" s="302"/>
      <c r="D185" s="302"/>
      <c r="E185" s="302"/>
      <c r="F185" s="302"/>
      <c r="G185" s="302"/>
      <c r="H185" s="302"/>
      <c r="I185" s="302"/>
      <c r="J185" s="302"/>
      <c r="K185" s="302"/>
      <c r="L185" s="304"/>
      <c r="M185" s="304"/>
      <c r="N185" s="304"/>
      <c r="O185" s="304"/>
      <c r="P185" s="304"/>
      <c r="Q185" s="304"/>
      <c r="R185" s="304"/>
      <c r="S185" s="304"/>
      <c r="T185" s="304"/>
      <c r="U185" s="304"/>
      <c r="V185" s="304"/>
      <c r="W185" s="304"/>
      <c r="X185" s="304"/>
      <c r="Y185" s="304"/>
      <c r="Z185" s="304"/>
    </row>
    <row r="186" ht="15.75" customHeight="1">
      <c r="A186" s="302"/>
      <c r="B186" s="302"/>
      <c r="C186" s="302"/>
      <c r="D186" s="302"/>
      <c r="E186" s="302"/>
      <c r="F186" s="302"/>
      <c r="G186" s="302"/>
      <c r="H186" s="302"/>
      <c r="I186" s="302"/>
      <c r="J186" s="302"/>
      <c r="K186" s="302"/>
      <c r="L186" s="304"/>
      <c r="M186" s="304"/>
      <c r="N186" s="304"/>
      <c r="O186" s="304"/>
      <c r="P186" s="304"/>
      <c r="Q186" s="304"/>
      <c r="R186" s="304"/>
      <c r="S186" s="304"/>
      <c r="T186" s="304"/>
      <c r="U186" s="304"/>
      <c r="V186" s="304"/>
      <c r="W186" s="304"/>
      <c r="X186" s="304"/>
      <c r="Y186" s="304"/>
      <c r="Z186" s="304"/>
    </row>
    <row r="187" ht="15.75" customHeight="1">
      <c r="A187" s="302"/>
      <c r="B187" s="302"/>
      <c r="C187" s="302"/>
      <c r="D187" s="302"/>
      <c r="E187" s="302"/>
      <c r="F187" s="302"/>
      <c r="G187" s="302"/>
      <c r="H187" s="302"/>
      <c r="I187" s="302"/>
      <c r="J187" s="302"/>
      <c r="K187" s="302"/>
      <c r="L187" s="304"/>
      <c r="M187" s="304"/>
      <c r="N187" s="304"/>
      <c r="O187" s="304"/>
      <c r="P187" s="304"/>
      <c r="Q187" s="304"/>
      <c r="R187" s="304"/>
      <c r="S187" s="304"/>
      <c r="T187" s="304"/>
      <c r="U187" s="304"/>
      <c r="V187" s="304"/>
      <c r="W187" s="304"/>
      <c r="X187" s="304"/>
      <c r="Y187" s="304"/>
      <c r="Z187" s="304"/>
    </row>
    <row r="188" ht="15.75" customHeight="1">
      <c r="A188" s="302"/>
      <c r="B188" s="302"/>
      <c r="C188" s="302"/>
      <c r="D188" s="302"/>
      <c r="E188" s="302"/>
      <c r="F188" s="302"/>
      <c r="G188" s="302"/>
      <c r="H188" s="302"/>
      <c r="I188" s="302"/>
      <c r="J188" s="302"/>
      <c r="K188" s="302"/>
      <c r="L188" s="304"/>
      <c r="M188" s="304"/>
      <c r="N188" s="304"/>
      <c r="O188" s="304"/>
      <c r="P188" s="304"/>
      <c r="Q188" s="304"/>
      <c r="R188" s="304"/>
      <c r="S188" s="304"/>
      <c r="T188" s="304"/>
      <c r="U188" s="304"/>
      <c r="V188" s="304"/>
      <c r="W188" s="304"/>
      <c r="X188" s="304"/>
      <c r="Y188" s="304"/>
      <c r="Z188" s="304"/>
    </row>
    <row r="189" ht="15.75" customHeight="1">
      <c r="A189" s="302"/>
      <c r="B189" s="302"/>
      <c r="C189" s="302"/>
      <c r="D189" s="302"/>
      <c r="E189" s="302"/>
      <c r="F189" s="302"/>
      <c r="G189" s="302"/>
      <c r="H189" s="302"/>
      <c r="I189" s="302"/>
      <c r="J189" s="302"/>
      <c r="K189" s="302"/>
      <c r="L189" s="304"/>
      <c r="M189" s="304"/>
      <c r="N189" s="304"/>
      <c r="O189" s="304"/>
      <c r="P189" s="304"/>
      <c r="Q189" s="304"/>
      <c r="R189" s="304"/>
      <c r="S189" s="304"/>
      <c r="T189" s="304"/>
      <c r="U189" s="304"/>
      <c r="V189" s="304"/>
      <c r="W189" s="304"/>
      <c r="X189" s="304"/>
      <c r="Y189" s="304"/>
      <c r="Z189" s="304"/>
    </row>
    <row r="190" ht="15.75" customHeight="1">
      <c r="A190" s="302"/>
      <c r="B190" s="302"/>
      <c r="C190" s="302"/>
      <c r="D190" s="302"/>
      <c r="E190" s="302"/>
      <c r="F190" s="302"/>
      <c r="G190" s="302"/>
      <c r="H190" s="302"/>
      <c r="I190" s="302"/>
      <c r="J190" s="302"/>
      <c r="K190" s="302"/>
      <c r="L190" s="304"/>
      <c r="M190" s="304"/>
      <c r="N190" s="304"/>
      <c r="O190" s="304"/>
      <c r="P190" s="304"/>
      <c r="Q190" s="304"/>
      <c r="R190" s="304"/>
      <c r="S190" s="304"/>
      <c r="T190" s="304"/>
      <c r="U190" s="304"/>
      <c r="V190" s="304"/>
      <c r="W190" s="304"/>
      <c r="X190" s="304"/>
      <c r="Y190" s="304"/>
      <c r="Z190" s="304"/>
    </row>
    <row r="191" ht="15.75" customHeight="1">
      <c r="A191" s="302"/>
      <c r="B191" s="302"/>
      <c r="C191" s="302"/>
      <c r="D191" s="302"/>
      <c r="E191" s="302"/>
      <c r="F191" s="302"/>
      <c r="G191" s="302"/>
      <c r="H191" s="302"/>
      <c r="I191" s="302"/>
      <c r="J191" s="302"/>
      <c r="K191" s="302"/>
      <c r="L191" s="304"/>
      <c r="M191" s="304"/>
      <c r="N191" s="304"/>
      <c r="O191" s="304"/>
      <c r="P191" s="304"/>
      <c r="Q191" s="304"/>
      <c r="R191" s="304"/>
      <c r="S191" s="304"/>
      <c r="T191" s="304"/>
      <c r="U191" s="304"/>
      <c r="V191" s="304"/>
      <c r="W191" s="304"/>
      <c r="X191" s="304"/>
      <c r="Y191" s="304"/>
      <c r="Z191" s="304"/>
    </row>
    <row r="192" ht="15.75" customHeight="1">
      <c r="A192" s="302"/>
      <c r="B192" s="302"/>
      <c r="C192" s="302"/>
      <c r="D192" s="302"/>
      <c r="E192" s="302"/>
      <c r="F192" s="302"/>
      <c r="G192" s="302"/>
      <c r="H192" s="302"/>
      <c r="I192" s="302"/>
      <c r="J192" s="302"/>
      <c r="K192" s="302"/>
      <c r="L192" s="304"/>
      <c r="M192" s="304"/>
      <c r="N192" s="304"/>
      <c r="O192" s="304"/>
      <c r="P192" s="304"/>
      <c r="Q192" s="304"/>
      <c r="R192" s="304"/>
      <c r="S192" s="304"/>
      <c r="T192" s="304"/>
      <c r="U192" s="304"/>
      <c r="V192" s="304"/>
      <c r="W192" s="304"/>
      <c r="X192" s="304"/>
      <c r="Y192" s="304"/>
      <c r="Z192" s="304"/>
    </row>
    <row r="193" ht="15.75" customHeight="1">
      <c r="A193" s="302"/>
      <c r="B193" s="302"/>
      <c r="C193" s="302"/>
      <c r="D193" s="302"/>
      <c r="E193" s="302"/>
      <c r="F193" s="302"/>
      <c r="G193" s="302"/>
      <c r="H193" s="302"/>
      <c r="I193" s="302"/>
      <c r="J193" s="302"/>
      <c r="K193" s="302"/>
      <c r="L193" s="304"/>
      <c r="M193" s="304"/>
      <c r="N193" s="304"/>
      <c r="O193" s="304"/>
      <c r="P193" s="304"/>
      <c r="Q193" s="304"/>
      <c r="R193" s="304"/>
      <c r="S193" s="304"/>
      <c r="T193" s="304"/>
      <c r="U193" s="304"/>
      <c r="V193" s="304"/>
      <c r="W193" s="304"/>
      <c r="X193" s="304"/>
      <c r="Y193" s="304"/>
      <c r="Z193" s="304"/>
    </row>
    <row r="194" ht="15.75" customHeight="1">
      <c r="A194" s="302"/>
      <c r="B194" s="302"/>
      <c r="C194" s="302"/>
      <c r="D194" s="302"/>
      <c r="E194" s="302"/>
      <c r="F194" s="302"/>
      <c r="G194" s="302"/>
      <c r="H194" s="302"/>
      <c r="I194" s="302"/>
      <c r="J194" s="302"/>
      <c r="K194" s="302"/>
      <c r="L194" s="304"/>
      <c r="M194" s="304"/>
      <c r="N194" s="304"/>
      <c r="O194" s="304"/>
      <c r="P194" s="304"/>
      <c r="Q194" s="304"/>
      <c r="R194" s="304"/>
      <c r="S194" s="304"/>
      <c r="T194" s="304"/>
      <c r="U194" s="304"/>
      <c r="V194" s="304"/>
      <c r="W194" s="304"/>
      <c r="X194" s="304"/>
      <c r="Y194" s="304"/>
      <c r="Z194" s="304"/>
    </row>
    <row r="195" ht="15.75" customHeight="1">
      <c r="A195" s="302"/>
      <c r="B195" s="302"/>
      <c r="C195" s="302"/>
      <c r="D195" s="302"/>
      <c r="E195" s="302"/>
      <c r="F195" s="302"/>
      <c r="G195" s="302"/>
      <c r="H195" s="302"/>
      <c r="I195" s="302"/>
      <c r="J195" s="302"/>
      <c r="K195" s="302"/>
      <c r="L195" s="304"/>
      <c r="M195" s="304"/>
      <c r="N195" s="304"/>
      <c r="O195" s="304"/>
      <c r="P195" s="304"/>
      <c r="Q195" s="304"/>
      <c r="R195" s="304"/>
      <c r="S195" s="304"/>
      <c r="T195" s="304"/>
      <c r="U195" s="304"/>
      <c r="V195" s="304"/>
      <c r="W195" s="304"/>
      <c r="X195" s="304"/>
      <c r="Y195" s="304"/>
      <c r="Z195" s="304"/>
    </row>
    <row r="196" ht="15.75" customHeight="1">
      <c r="A196" s="302"/>
      <c r="B196" s="302"/>
      <c r="C196" s="302"/>
      <c r="D196" s="302"/>
      <c r="E196" s="302"/>
      <c r="F196" s="302"/>
      <c r="G196" s="302"/>
      <c r="H196" s="302"/>
      <c r="I196" s="302"/>
      <c r="J196" s="302"/>
      <c r="K196" s="302"/>
      <c r="L196" s="304"/>
      <c r="M196" s="304"/>
      <c r="N196" s="304"/>
      <c r="O196" s="304"/>
      <c r="P196" s="304"/>
      <c r="Q196" s="304"/>
      <c r="R196" s="304"/>
      <c r="S196" s="304"/>
      <c r="T196" s="304"/>
      <c r="U196" s="304"/>
      <c r="V196" s="304"/>
      <c r="W196" s="304"/>
      <c r="X196" s="304"/>
      <c r="Y196" s="304"/>
      <c r="Z196" s="304"/>
    </row>
    <row r="197" ht="15.75" customHeight="1">
      <c r="A197" s="302"/>
      <c r="B197" s="302"/>
      <c r="C197" s="302"/>
      <c r="D197" s="302"/>
      <c r="E197" s="302"/>
      <c r="F197" s="302"/>
      <c r="G197" s="302"/>
      <c r="H197" s="302"/>
      <c r="I197" s="302"/>
      <c r="J197" s="302"/>
      <c r="K197" s="302"/>
      <c r="L197" s="304"/>
      <c r="M197" s="304"/>
      <c r="N197" s="304"/>
      <c r="O197" s="304"/>
      <c r="P197" s="304"/>
      <c r="Q197" s="304"/>
      <c r="R197" s="304"/>
      <c r="S197" s="304"/>
      <c r="T197" s="304"/>
      <c r="U197" s="304"/>
      <c r="V197" s="304"/>
      <c r="W197" s="304"/>
      <c r="X197" s="304"/>
      <c r="Y197" s="304"/>
      <c r="Z197" s="304"/>
    </row>
    <row r="198" ht="15.75" customHeight="1">
      <c r="A198" s="302"/>
      <c r="B198" s="302"/>
      <c r="C198" s="302"/>
      <c r="D198" s="302"/>
      <c r="E198" s="302"/>
      <c r="F198" s="302"/>
      <c r="G198" s="302"/>
      <c r="H198" s="302"/>
      <c r="I198" s="302"/>
      <c r="J198" s="302"/>
      <c r="K198" s="302"/>
      <c r="L198" s="304"/>
      <c r="M198" s="304"/>
      <c r="N198" s="304"/>
      <c r="O198" s="304"/>
      <c r="P198" s="304"/>
      <c r="Q198" s="304"/>
      <c r="R198" s="304"/>
      <c r="S198" s="304"/>
      <c r="T198" s="304"/>
      <c r="U198" s="304"/>
      <c r="V198" s="304"/>
      <c r="W198" s="304"/>
      <c r="X198" s="304"/>
      <c r="Y198" s="304"/>
      <c r="Z198" s="304"/>
    </row>
    <row r="199" ht="15.75" customHeight="1">
      <c r="A199" s="302"/>
      <c r="B199" s="302"/>
      <c r="C199" s="302"/>
      <c r="D199" s="302"/>
      <c r="E199" s="302"/>
      <c r="F199" s="302"/>
      <c r="G199" s="302"/>
      <c r="H199" s="302"/>
      <c r="I199" s="302"/>
      <c r="J199" s="302"/>
      <c r="K199" s="302"/>
      <c r="L199" s="304"/>
      <c r="M199" s="304"/>
      <c r="N199" s="304"/>
      <c r="O199" s="304"/>
      <c r="P199" s="304"/>
      <c r="Q199" s="304"/>
      <c r="R199" s="304"/>
      <c r="S199" s="304"/>
      <c r="T199" s="304"/>
      <c r="U199" s="304"/>
      <c r="V199" s="304"/>
      <c r="W199" s="304"/>
      <c r="X199" s="304"/>
      <c r="Y199" s="304"/>
      <c r="Z199" s="304"/>
    </row>
    <row r="200" ht="15.75" customHeight="1">
      <c r="A200" s="302"/>
      <c r="B200" s="302"/>
      <c r="C200" s="302"/>
      <c r="D200" s="302"/>
      <c r="E200" s="302"/>
      <c r="F200" s="302"/>
      <c r="G200" s="302"/>
      <c r="H200" s="302"/>
      <c r="I200" s="302"/>
      <c r="J200" s="302"/>
      <c r="K200" s="302"/>
      <c r="L200" s="304"/>
      <c r="M200" s="304"/>
      <c r="N200" s="304"/>
      <c r="O200" s="304"/>
      <c r="P200" s="304"/>
      <c r="Q200" s="304"/>
      <c r="R200" s="304"/>
      <c r="S200" s="304"/>
      <c r="T200" s="304"/>
      <c r="U200" s="304"/>
      <c r="V200" s="304"/>
      <c r="W200" s="304"/>
      <c r="X200" s="304"/>
      <c r="Y200" s="304"/>
      <c r="Z200" s="304"/>
    </row>
    <row r="201" ht="15.75" customHeight="1">
      <c r="A201" s="302"/>
      <c r="B201" s="302"/>
      <c r="C201" s="302"/>
      <c r="D201" s="302"/>
      <c r="E201" s="302"/>
      <c r="F201" s="302"/>
      <c r="G201" s="302"/>
      <c r="H201" s="302"/>
      <c r="I201" s="302"/>
      <c r="J201" s="302"/>
      <c r="K201" s="302"/>
      <c r="L201" s="304"/>
      <c r="M201" s="304"/>
      <c r="N201" s="304"/>
      <c r="O201" s="304"/>
      <c r="P201" s="304"/>
      <c r="Q201" s="304"/>
      <c r="R201" s="304"/>
      <c r="S201" s="304"/>
      <c r="T201" s="304"/>
      <c r="U201" s="304"/>
      <c r="V201" s="304"/>
      <c r="W201" s="304"/>
      <c r="X201" s="304"/>
      <c r="Y201" s="304"/>
      <c r="Z201" s="304"/>
    </row>
    <row r="202" ht="15.75" customHeight="1">
      <c r="A202" s="302"/>
      <c r="B202" s="302"/>
      <c r="C202" s="302"/>
      <c r="D202" s="302"/>
      <c r="E202" s="302"/>
      <c r="F202" s="302"/>
      <c r="G202" s="302"/>
      <c r="H202" s="302"/>
      <c r="I202" s="302"/>
      <c r="J202" s="302"/>
      <c r="K202" s="302"/>
      <c r="L202" s="304"/>
      <c r="M202" s="304"/>
      <c r="N202" s="304"/>
      <c r="O202" s="304"/>
      <c r="P202" s="304"/>
      <c r="Q202" s="304"/>
      <c r="R202" s="304"/>
      <c r="S202" s="304"/>
      <c r="T202" s="304"/>
      <c r="U202" s="304"/>
      <c r="V202" s="304"/>
      <c r="W202" s="304"/>
      <c r="X202" s="304"/>
      <c r="Y202" s="304"/>
      <c r="Z202" s="304"/>
    </row>
    <row r="203" ht="15.75" customHeight="1">
      <c r="A203" s="302"/>
      <c r="B203" s="302"/>
      <c r="C203" s="302"/>
      <c r="D203" s="302"/>
      <c r="E203" s="302"/>
      <c r="F203" s="302"/>
      <c r="G203" s="302"/>
      <c r="H203" s="302"/>
      <c r="I203" s="302"/>
      <c r="J203" s="302"/>
      <c r="K203" s="302"/>
      <c r="L203" s="304"/>
      <c r="M203" s="304"/>
      <c r="N203" s="304"/>
      <c r="O203" s="304"/>
      <c r="P203" s="304"/>
      <c r="Q203" s="304"/>
      <c r="R203" s="304"/>
      <c r="S203" s="304"/>
      <c r="T203" s="304"/>
      <c r="U203" s="304"/>
      <c r="V203" s="304"/>
      <c r="W203" s="304"/>
      <c r="X203" s="304"/>
      <c r="Y203" s="304"/>
      <c r="Z203" s="304"/>
    </row>
    <row r="204" ht="15.75" customHeight="1">
      <c r="A204" s="302"/>
      <c r="B204" s="302"/>
      <c r="C204" s="302"/>
      <c r="D204" s="302"/>
      <c r="E204" s="302"/>
      <c r="F204" s="302"/>
      <c r="G204" s="302"/>
      <c r="H204" s="302"/>
      <c r="I204" s="302"/>
      <c r="J204" s="302"/>
      <c r="K204" s="302"/>
      <c r="L204" s="304"/>
      <c r="M204" s="304"/>
      <c r="N204" s="304"/>
      <c r="O204" s="304"/>
      <c r="P204" s="304"/>
      <c r="Q204" s="304"/>
      <c r="R204" s="304"/>
      <c r="S204" s="304"/>
      <c r="T204" s="304"/>
      <c r="U204" s="304"/>
      <c r="V204" s="304"/>
      <c r="W204" s="304"/>
      <c r="X204" s="304"/>
      <c r="Y204" s="304"/>
      <c r="Z204" s="304"/>
    </row>
    <row r="205" ht="15.75" customHeight="1">
      <c r="A205" s="302"/>
      <c r="B205" s="302"/>
      <c r="C205" s="302"/>
      <c r="D205" s="302"/>
      <c r="E205" s="302"/>
      <c r="F205" s="302"/>
      <c r="G205" s="302"/>
      <c r="H205" s="302"/>
      <c r="I205" s="302"/>
      <c r="J205" s="302"/>
      <c r="K205" s="302"/>
      <c r="L205" s="304"/>
      <c r="M205" s="304"/>
      <c r="N205" s="304"/>
      <c r="O205" s="304"/>
      <c r="P205" s="304"/>
      <c r="Q205" s="304"/>
      <c r="R205" s="304"/>
      <c r="S205" s="304"/>
      <c r="T205" s="304"/>
      <c r="U205" s="304"/>
      <c r="V205" s="304"/>
      <c r="W205" s="304"/>
      <c r="X205" s="304"/>
      <c r="Y205" s="304"/>
      <c r="Z205" s="304"/>
    </row>
    <row r="206" ht="15.75" customHeight="1">
      <c r="A206" s="302"/>
      <c r="B206" s="302"/>
      <c r="C206" s="302"/>
      <c r="D206" s="302"/>
      <c r="E206" s="302"/>
      <c r="F206" s="302"/>
      <c r="G206" s="302"/>
      <c r="H206" s="302"/>
      <c r="I206" s="302"/>
      <c r="J206" s="302"/>
      <c r="K206" s="302"/>
      <c r="L206" s="304"/>
      <c r="M206" s="304"/>
      <c r="N206" s="304"/>
      <c r="O206" s="304"/>
      <c r="P206" s="304"/>
      <c r="Q206" s="304"/>
      <c r="R206" s="304"/>
      <c r="S206" s="304"/>
      <c r="T206" s="304"/>
      <c r="U206" s="304"/>
      <c r="V206" s="304"/>
      <c r="W206" s="304"/>
      <c r="X206" s="304"/>
      <c r="Y206" s="304"/>
      <c r="Z206" s="304"/>
    </row>
    <row r="207" ht="15.75" customHeight="1">
      <c r="A207" s="302"/>
      <c r="B207" s="302"/>
      <c r="C207" s="302"/>
      <c r="D207" s="302"/>
      <c r="E207" s="302"/>
      <c r="F207" s="302"/>
      <c r="G207" s="302"/>
      <c r="H207" s="302"/>
      <c r="I207" s="302"/>
      <c r="J207" s="302"/>
      <c r="K207" s="302"/>
      <c r="L207" s="304"/>
      <c r="M207" s="304"/>
      <c r="N207" s="304"/>
      <c r="O207" s="304"/>
      <c r="P207" s="304"/>
      <c r="Q207" s="304"/>
      <c r="R207" s="304"/>
      <c r="S207" s="304"/>
      <c r="T207" s="304"/>
      <c r="U207" s="304"/>
      <c r="V207" s="304"/>
      <c r="W207" s="304"/>
      <c r="X207" s="304"/>
      <c r="Y207" s="304"/>
      <c r="Z207" s="304"/>
    </row>
    <row r="208" ht="15.75" customHeight="1">
      <c r="A208" s="302"/>
      <c r="B208" s="302"/>
      <c r="C208" s="302"/>
      <c r="D208" s="302"/>
      <c r="E208" s="302"/>
      <c r="F208" s="302"/>
      <c r="G208" s="302"/>
      <c r="H208" s="302"/>
      <c r="I208" s="302"/>
      <c r="J208" s="302"/>
      <c r="K208" s="302"/>
      <c r="L208" s="304"/>
      <c r="M208" s="304"/>
      <c r="N208" s="304"/>
      <c r="O208" s="304"/>
      <c r="P208" s="304"/>
      <c r="Q208" s="304"/>
      <c r="R208" s="304"/>
      <c r="S208" s="304"/>
      <c r="T208" s="304"/>
      <c r="U208" s="304"/>
      <c r="V208" s="304"/>
      <c r="W208" s="304"/>
      <c r="X208" s="304"/>
      <c r="Y208" s="304"/>
      <c r="Z208" s="304"/>
    </row>
    <row r="209" ht="15.75" customHeight="1">
      <c r="A209" s="302"/>
      <c r="B209" s="302"/>
      <c r="C209" s="302"/>
      <c r="D209" s="302"/>
      <c r="E209" s="302"/>
      <c r="F209" s="302"/>
      <c r="G209" s="302"/>
      <c r="H209" s="302"/>
      <c r="I209" s="302"/>
      <c r="J209" s="302"/>
      <c r="K209" s="302"/>
      <c r="L209" s="304"/>
      <c r="M209" s="304"/>
      <c r="N209" s="304"/>
      <c r="O209" s="304"/>
      <c r="P209" s="304"/>
      <c r="Q209" s="304"/>
      <c r="R209" s="304"/>
      <c r="S209" s="304"/>
      <c r="T209" s="304"/>
      <c r="U209" s="304"/>
      <c r="V209" s="304"/>
      <c r="W209" s="304"/>
      <c r="X209" s="304"/>
      <c r="Y209" s="304"/>
      <c r="Z209" s="304"/>
    </row>
    <row r="210" ht="15.75" customHeight="1">
      <c r="A210" s="302"/>
      <c r="B210" s="302"/>
      <c r="C210" s="302"/>
      <c r="D210" s="302"/>
      <c r="E210" s="302"/>
      <c r="F210" s="302"/>
      <c r="G210" s="302"/>
      <c r="H210" s="302"/>
      <c r="I210" s="302"/>
      <c r="J210" s="302"/>
      <c r="K210" s="302"/>
      <c r="L210" s="304"/>
      <c r="M210" s="304"/>
      <c r="N210" s="304"/>
      <c r="O210" s="304"/>
      <c r="P210" s="304"/>
      <c r="Q210" s="304"/>
      <c r="R210" s="304"/>
      <c r="S210" s="304"/>
      <c r="T210" s="304"/>
      <c r="U210" s="304"/>
      <c r="V210" s="304"/>
      <c r="W210" s="304"/>
      <c r="X210" s="304"/>
      <c r="Y210" s="304"/>
      <c r="Z210" s="304"/>
    </row>
    <row r="211" ht="15.75" customHeight="1">
      <c r="A211" s="302"/>
      <c r="B211" s="302"/>
      <c r="C211" s="302"/>
      <c r="D211" s="302"/>
      <c r="E211" s="302"/>
      <c r="F211" s="302"/>
      <c r="G211" s="302"/>
      <c r="H211" s="302"/>
      <c r="I211" s="302"/>
      <c r="J211" s="302"/>
      <c r="K211" s="302"/>
      <c r="L211" s="304"/>
      <c r="M211" s="304"/>
      <c r="N211" s="304"/>
      <c r="O211" s="304"/>
      <c r="P211" s="304"/>
      <c r="Q211" s="304"/>
      <c r="R211" s="304"/>
      <c r="S211" s="304"/>
      <c r="T211" s="304"/>
      <c r="U211" s="304"/>
      <c r="V211" s="304"/>
      <c r="W211" s="304"/>
      <c r="X211" s="304"/>
      <c r="Y211" s="304"/>
      <c r="Z211" s="304"/>
    </row>
    <row r="212" ht="15.75" customHeight="1">
      <c r="A212" s="302"/>
      <c r="B212" s="302"/>
      <c r="C212" s="302"/>
      <c r="D212" s="302"/>
      <c r="E212" s="302"/>
      <c r="F212" s="302"/>
      <c r="G212" s="302"/>
      <c r="H212" s="302"/>
      <c r="I212" s="302"/>
      <c r="J212" s="302"/>
      <c r="K212" s="302"/>
      <c r="L212" s="304"/>
      <c r="M212" s="304"/>
      <c r="N212" s="304"/>
      <c r="O212" s="304"/>
      <c r="P212" s="304"/>
      <c r="Q212" s="304"/>
      <c r="R212" s="304"/>
      <c r="S212" s="304"/>
      <c r="T212" s="304"/>
      <c r="U212" s="304"/>
      <c r="V212" s="304"/>
      <c r="W212" s="304"/>
      <c r="X212" s="304"/>
      <c r="Y212" s="304"/>
      <c r="Z212" s="304"/>
    </row>
    <row r="213" ht="15.75" customHeight="1">
      <c r="A213" s="302"/>
      <c r="B213" s="302"/>
      <c r="C213" s="302"/>
      <c r="D213" s="302"/>
      <c r="E213" s="302"/>
      <c r="F213" s="302"/>
      <c r="G213" s="302"/>
      <c r="H213" s="302"/>
      <c r="I213" s="302"/>
      <c r="J213" s="302"/>
      <c r="K213" s="302"/>
      <c r="L213" s="304"/>
      <c r="M213" s="304"/>
      <c r="N213" s="304"/>
      <c r="O213" s="304"/>
      <c r="P213" s="304"/>
      <c r="Q213" s="304"/>
      <c r="R213" s="304"/>
      <c r="S213" s="304"/>
      <c r="T213" s="304"/>
      <c r="U213" s="304"/>
      <c r="V213" s="304"/>
      <c r="W213" s="304"/>
      <c r="X213" s="304"/>
      <c r="Y213" s="304"/>
      <c r="Z213" s="304"/>
    </row>
    <row r="214" ht="15.75" customHeight="1">
      <c r="A214" s="302"/>
      <c r="B214" s="302"/>
      <c r="C214" s="302"/>
      <c r="D214" s="302"/>
      <c r="E214" s="302"/>
      <c r="F214" s="302"/>
      <c r="G214" s="302"/>
      <c r="H214" s="302"/>
      <c r="I214" s="302"/>
      <c r="J214" s="302"/>
      <c r="K214" s="302"/>
      <c r="L214" s="304"/>
      <c r="M214" s="304"/>
      <c r="N214" s="304"/>
      <c r="O214" s="304"/>
      <c r="P214" s="304"/>
      <c r="Q214" s="304"/>
      <c r="R214" s="304"/>
      <c r="S214" s="304"/>
      <c r="T214" s="304"/>
      <c r="U214" s="304"/>
      <c r="V214" s="304"/>
      <c r="W214" s="304"/>
      <c r="X214" s="304"/>
      <c r="Y214" s="304"/>
      <c r="Z214" s="304"/>
    </row>
    <row r="215" ht="15.75" customHeight="1">
      <c r="A215" s="302"/>
      <c r="B215" s="302"/>
      <c r="C215" s="302"/>
      <c r="D215" s="302"/>
      <c r="E215" s="302"/>
      <c r="F215" s="302"/>
      <c r="G215" s="302"/>
      <c r="H215" s="302"/>
      <c r="I215" s="302"/>
      <c r="J215" s="302"/>
      <c r="K215" s="302"/>
      <c r="L215" s="304"/>
      <c r="M215" s="304"/>
      <c r="N215" s="304"/>
      <c r="O215" s="304"/>
      <c r="P215" s="304"/>
      <c r="Q215" s="304"/>
      <c r="R215" s="304"/>
      <c r="S215" s="304"/>
      <c r="T215" s="304"/>
      <c r="U215" s="304"/>
      <c r="V215" s="304"/>
      <c r="W215" s="304"/>
      <c r="X215" s="304"/>
      <c r="Y215" s="304"/>
      <c r="Z215" s="304"/>
    </row>
    <row r="216" ht="15.75" customHeight="1">
      <c r="A216" s="302"/>
      <c r="B216" s="302"/>
      <c r="C216" s="302"/>
      <c r="D216" s="302"/>
      <c r="E216" s="302"/>
      <c r="F216" s="302"/>
      <c r="G216" s="302"/>
      <c r="H216" s="302"/>
      <c r="I216" s="302"/>
      <c r="J216" s="302"/>
      <c r="K216" s="302"/>
      <c r="L216" s="304"/>
      <c r="M216" s="304"/>
      <c r="N216" s="304"/>
      <c r="O216" s="304"/>
      <c r="P216" s="304"/>
      <c r="Q216" s="304"/>
      <c r="R216" s="304"/>
      <c r="S216" s="304"/>
      <c r="T216" s="304"/>
      <c r="U216" s="304"/>
      <c r="V216" s="304"/>
      <c r="W216" s="304"/>
      <c r="X216" s="304"/>
      <c r="Y216" s="304"/>
      <c r="Z216" s="304"/>
    </row>
    <row r="217" ht="15.75" customHeight="1">
      <c r="A217" s="302"/>
      <c r="B217" s="302"/>
      <c r="C217" s="302"/>
      <c r="D217" s="302"/>
      <c r="E217" s="302"/>
      <c r="F217" s="302"/>
      <c r="G217" s="302"/>
      <c r="H217" s="302"/>
      <c r="I217" s="302"/>
      <c r="J217" s="302"/>
      <c r="K217" s="302"/>
      <c r="L217" s="304"/>
      <c r="M217" s="304"/>
      <c r="N217" s="304"/>
      <c r="O217" s="304"/>
      <c r="P217" s="304"/>
      <c r="Q217" s="304"/>
      <c r="R217" s="304"/>
      <c r="S217" s="304"/>
      <c r="T217" s="304"/>
      <c r="U217" s="304"/>
      <c r="V217" s="304"/>
      <c r="W217" s="304"/>
      <c r="X217" s="304"/>
      <c r="Y217" s="304"/>
      <c r="Z217" s="304"/>
    </row>
    <row r="218" ht="15.75" customHeight="1">
      <c r="A218" s="302"/>
      <c r="B218" s="302"/>
      <c r="C218" s="302"/>
      <c r="D218" s="302"/>
      <c r="E218" s="302"/>
      <c r="F218" s="302"/>
      <c r="G218" s="302"/>
      <c r="H218" s="302"/>
      <c r="I218" s="302"/>
      <c r="J218" s="302"/>
      <c r="K218" s="302"/>
      <c r="L218" s="304"/>
      <c r="M218" s="304"/>
      <c r="N218" s="304"/>
      <c r="O218" s="304"/>
      <c r="P218" s="304"/>
      <c r="Q218" s="304"/>
      <c r="R218" s="304"/>
      <c r="S218" s="304"/>
      <c r="T218" s="304"/>
      <c r="U218" s="304"/>
      <c r="V218" s="304"/>
      <c r="W218" s="304"/>
      <c r="X218" s="304"/>
      <c r="Y218" s="304"/>
      <c r="Z218" s="304"/>
    </row>
    <row r="219" ht="15.75" customHeight="1">
      <c r="A219" s="302"/>
      <c r="B219" s="302"/>
      <c r="C219" s="302"/>
      <c r="D219" s="302"/>
      <c r="E219" s="302"/>
      <c r="F219" s="302"/>
      <c r="G219" s="302"/>
      <c r="H219" s="302"/>
      <c r="I219" s="302"/>
      <c r="J219" s="302"/>
      <c r="K219" s="302"/>
      <c r="L219" s="304"/>
      <c r="M219" s="304"/>
      <c r="N219" s="304"/>
      <c r="O219" s="304"/>
      <c r="P219" s="304"/>
      <c r="Q219" s="304"/>
      <c r="R219" s="304"/>
      <c r="S219" s="304"/>
      <c r="T219" s="304"/>
      <c r="U219" s="304"/>
      <c r="V219" s="304"/>
      <c r="W219" s="304"/>
      <c r="X219" s="304"/>
      <c r="Y219" s="304"/>
      <c r="Z219" s="304"/>
    </row>
    <row r="220" ht="15.75" customHeight="1">
      <c r="A220" s="302"/>
      <c r="B220" s="302"/>
      <c r="C220" s="302"/>
      <c r="D220" s="302"/>
      <c r="E220" s="302"/>
      <c r="F220" s="302"/>
      <c r="G220" s="302"/>
      <c r="H220" s="302"/>
      <c r="I220" s="302"/>
      <c r="J220" s="302"/>
      <c r="K220" s="302"/>
      <c r="L220" s="304"/>
      <c r="M220" s="304"/>
      <c r="N220" s="304"/>
      <c r="O220" s="304"/>
      <c r="P220" s="304"/>
      <c r="Q220" s="304"/>
      <c r="R220" s="304"/>
      <c r="S220" s="304"/>
      <c r="T220" s="304"/>
      <c r="U220" s="304"/>
      <c r="V220" s="304"/>
      <c r="W220" s="304"/>
      <c r="X220" s="304"/>
      <c r="Y220" s="304"/>
      <c r="Z220" s="304"/>
    </row>
    <row r="221" ht="15.75" customHeight="1">
      <c r="A221" s="302"/>
      <c r="B221" s="302"/>
      <c r="C221" s="302"/>
      <c r="D221" s="302"/>
      <c r="E221" s="302"/>
      <c r="F221" s="302"/>
      <c r="G221" s="302"/>
      <c r="H221" s="302"/>
      <c r="I221" s="302"/>
      <c r="J221" s="302"/>
      <c r="K221" s="302"/>
      <c r="L221" s="304"/>
      <c r="M221" s="304"/>
      <c r="N221" s="304"/>
      <c r="O221" s="304"/>
      <c r="P221" s="304"/>
      <c r="Q221" s="304"/>
      <c r="R221" s="304"/>
      <c r="S221" s="304"/>
      <c r="T221" s="304"/>
      <c r="U221" s="304"/>
      <c r="V221" s="304"/>
      <c r="W221" s="304"/>
      <c r="X221" s="304"/>
      <c r="Y221" s="304"/>
      <c r="Z221" s="304"/>
    </row>
    <row r="222" ht="15.75" customHeight="1">
      <c r="A222" s="302"/>
      <c r="B222" s="302"/>
      <c r="C222" s="302"/>
      <c r="D222" s="302"/>
      <c r="E222" s="302"/>
      <c r="F222" s="302"/>
      <c r="G222" s="302"/>
      <c r="H222" s="302"/>
      <c r="I222" s="302"/>
      <c r="J222" s="302"/>
      <c r="K222" s="302"/>
      <c r="L222" s="304"/>
      <c r="M222" s="304"/>
      <c r="N222" s="304"/>
      <c r="O222" s="304"/>
      <c r="P222" s="304"/>
      <c r="Q222" s="304"/>
      <c r="R222" s="304"/>
      <c r="S222" s="304"/>
      <c r="T222" s="304"/>
      <c r="U222" s="304"/>
      <c r="V222" s="304"/>
      <c r="W222" s="304"/>
      <c r="X222" s="304"/>
      <c r="Y222" s="304"/>
      <c r="Z222" s="304"/>
    </row>
    <row r="223" ht="15.75" customHeight="1">
      <c r="A223" s="302"/>
      <c r="B223" s="302"/>
      <c r="C223" s="302"/>
      <c r="D223" s="302"/>
      <c r="E223" s="302"/>
      <c r="F223" s="302"/>
      <c r="G223" s="302"/>
      <c r="H223" s="302"/>
      <c r="I223" s="302"/>
      <c r="J223" s="302"/>
      <c r="K223" s="302"/>
      <c r="L223" s="304"/>
      <c r="M223" s="304"/>
      <c r="N223" s="304"/>
      <c r="O223" s="304"/>
      <c r="P223" s="304"/>
      <c r="Q223" s="304"/>
      <c r="R223" s="304"/>
      <c r="S223" s="304"/>
      <c r="T223" s="304"/>
      <c r="U223" s="304"/>
      <c r="V223" s="304"/>
      <c r="W223" s="304"/>
      <c r="X223" s="304"/>
      <c r="Y223" s="304"/>
      <c r="Z223" s="304"/>
    </row>
    <row r="224" ht="15.75" customHeight="1">
      <c r="A224" s="302"/>
      <c r="B224" s="302"/>
      <c r="C224" s="302"/>
      <c r="D224" s="302"/>
      <c r="E224" s="302"/>
      <c r="F224" s="302"/>
      <c r="G224" s="302"/>
      <c r="H224" s="302"/>
      <c r="I224" s="302"/>
      <c r="J224" s="302"/>
      <c r="K224" s="302"/>
      <c r="L224" s="304"/>
      <c r="M224" s="304"/>
      <c r="N224" s="304"/>
      <c r="O224" s="304"/>
      <c r="P224" s="304"/>
      <c r="Q224" s="304"/>
      <c r="R224" s="304"/>
      <c r="S224" s="304"/>
      <c r="T224" s="304"/>
      <c r="U224" s="304"/>
      <c r="V224" s="304"/>
      <c r="W224" s="304"/>
      <c r="X224" s="304"/>
      <c r="Y224" s="304"/>
      <c r="Z224" s="304"/>
    </row>
    <row r="225" ht="15.75" customHeight="1">
      <c r="A225" s="302"/>
      <c r="B225" s="302"/>
      <c r="C225" s="302"/>
      <c r="D225" s="302"/>
      <c r="E225" s="302"/>
      <c r="F225" s="302"/>
      <c r="G225" s="302"/>
      <c r="H225" s="302"/>
      <c r="I225" s="302"/>
      <c r="J225" s="302"/>
      <c r="K225" s="302"/>
      <c r="L225" s="304"/>
      <c r="M225" s="304"/>
      <c r="N225" s="304"/>
      <c r="O225" s="304"/>
      <c r="P225" s="304"/>
      <c r="Q225" s="304"/>
      <c r="R225" s="304"/>
      <c r="S225" s="304"/>
      <c r="T225" s="304"/>
      <c r="U225" s="304"/>
      <c r="V225" s="304"/>
      <c r="W225" s="304"/>
      <c r="X225" s="304"/>
      <c r="Y225" s="304"/>
      <c r="Z225" s="304"/>
    </row>
    <row r="226" ht="15.75" customHeight="1">
      <c r="A226" s="302"/>
      <c r="B226" s="302"/>
      <c r="C226" s="302"/>
      <c r="D226" s="302"/>
      <c r="E226" s="302"/>
      <c r="F226" s="302"/>
      <c r="G226" s="302"/>
      <c r="H226" s="302"/>
      <c r="I226" s="302"/>
      <c r="J226" s="302"/>
      <c r="K226" s="302"/>
      <c r="L226" s="304"/>
      <c r="M226" s="304"/>
      <c r="N226" s="304"/>
      <c r="O226" s="304"/>
      <c r="P226" s="304"/>
      <c r="Q226" s="304"/>
      <c r="R226" s="304"/>
      <c r="S226" s="304"/>
      <c r="T226" s="304"/>
      <c r="U226" s="304"/>
      <c r="V226" s="304"/>
      <c r="W226" s="304"/>
      <c r="X226" s="304"/>
      <c r="Y226" s="304"/>
      <c r="Z226" s="304"/>
    </row>
    <row r="227" ht="15.75" customHeight="1">
      <c r="A227" s="302"/>
      <c r="B227" s="302"/>
      <c r="C227" s="302"/>
      <c r="D227" s="302"/>
      <c r="E227" s="302"/>
      <c r="F227" s="302"/>
      <c r="G227" s="302"/>
      <c r="H227" s="302"/>
      <c r="I227" s="302"/>
      <c r="J227" s="302"/>
      <c r="K227" s="302"/>
      <c r="L227" s="304"/>
      <c r="M227" s="304"/>
      <c r="N227" s="304"/>
      <c r="O227" s="304"/>
      <c r="P227" s="304"/>
      <c r="Q227" s="304"/>
      <c r="R227" s="304"/>
      <c r="S227" s="304"/>
      <c r="T227" s="304"/>
      <c r="U227" s="304"/>
      <c r="V227" s="304"/>
      <c r="W227" s="304"/>
      <c r="X227" s="304"/>
      <c r="Y227" s="304"/>
      <c r="Z227" s="304"/>
    </row>
    <row r="228" ht="15.75" customHeight="1">
      <c r="A228" s="302"/>
      <c r="B228" s="302"/>
      <c r="C228" s="302"/>
      <c r="D228" s="302"/>
      <c r="E228" s="302"/>
      <c r="F228" s="302"/>
      <c r="G228" s="302"/>
      <c r="H228" s="302"/>
      <c r="I228" s="302"/>
      <c r="J228" s="302"/>
      <c r="K228" s="302"/>
      <c r="L228" s="304"/>
      <c r="M228" s="304"/>
      <c r="N228" s="304"/>
      <c r="O228" s="304"/>
      <c r="P228" s="304"/>
      <c r="Q228" s="304"/>
      <c r="R228" s="304"/>
      <c r="S228" s="304"/>
      <c r="T228" s="304"/>
      <c r="U228" s="304"/>
      <c r="V228" s="304"/>
      <c r="W228" s="304"/>
      <c r="X228" s="304"/>
      <c r="Y228" s="304"/>
      <c r="Z228" s="304"/>
    </row>
    <row r="229" ht="15.75" customHeight="1">
      <c r="A229" s="302"/>
      <c r="B229" s="302"/>
      <c r="C229" s="302"/>
      <c r="D229" s="302"/>
      <c r="E229" s="302"/>
      <c r="F229" s="302"/>
      <c r="G229" s="302"/>
      <c r="H229" s="302"/>
      <c r="I229" s="302"/>
      <c r="J229" s="302"/>
      <c r="K229" s="302"/>
      <c r="L229" s="304"/>
      <c r="M229" s="304"/>
      <c r="N229" s="304"/>
      <c r="O229" s="304"/>
      <c r="P229" s="304"/>
      <c r="Q229" s="304"/>
      <c r="R229" s="304"/>
      <c r="S229" s="304"/>
      <c r="T229" s="304"/>
      <c r="U229" s="304"/>
      <c r="V229" s="304"/>
      <c r="W229" s="304"/>
      <c r="X229" s="304"/>
      <c r="Y229" s="304"/>
      <c r="Z229" s="304"/>
    </row>
    <row r="230" ht="15.75" customHeight="1">
      <c r="A230" s="302"/>
      <c r="B230" s="302"/>
      <c r="C230" s="302"/>
      <c r="D230" s="302"/>
      <c r="E230" s="302"/>
      <c r="F230" s="302"/>
      <c r="G230" s="302"/>
      <c r="H230" s="302"/>
      <c r="I230" s="302"/>
      <c r="J230" s="302"/>
      <c r="K230" s="302"/>
      <c r="L230" s="304"/>
      <c r="M230" s="304"/>
      <c r="N230" s="304"/>
      <c r="O230" s="304"/>
      <c r="P230" s="304"/>
      <c r="Q230" s="304"/>
      <c r="R230" s="304"/>
      <c r="S230" s="304"/>
      <c r="T230" s="304"/>
      <c r="U230" s="304"/>
      <c r="V230" s="304"/>
      <c r="W230" s="304"/>
      <c r="X230" s="304"/>
      <c r="Y230" s="304"/>
      <c r="Z230" s="304"/>
    </row>
    <row r="231" ht="15.75" customHeight="1">
      <c r="A231" s="302"/>
      <c r="B231" s="302"/>
      <c r="C231" s="302"/>
      <c r="D231" s="302"/>
      <c r="E231" s="302"/>
      <c r="F231" s="302"/>
      <c r="G231" s="302"/>
      <c r="H231" s="302"/>
      <c r="I231" s="302"/>
      <c r="J231" s="302"/>
      <c r="K231" s="302"/>
      <c r="L231" s="304"/>
      <c r="M231" s="304"/>
      <c r="N231" s="304"/>
      <c r="O231" s="304"/>
      <c r="P231" s="304"/>
      <c r="Q231" s="304"/>
      <c r="R231" s="304"/>
      <c r="S231" s="304"/>
      <c r="T231" s="304"/>
      <c r="U231" s="304"/>
      <c r="V231" s="304"/>
      <c r="W231" s="304"/>
      <c r="X231" s="304"/>
      <c r="Y231" s="304"/>
      <c r="Z231" s="304"/>
    </row>
    <row r="232" ht="15.75" customHeight="1">
      <c r="A232" s="302"/>
      <c r="B232" s="302"/>
      <c r="C232" s="302"/>
      <c r="D232" s="302"/>
      <c r="E232" s="302"/>
      <c r="F232" s="302"/>
      <c r="G232" s="302"/>
      <c r="H232" s="302"/>
      <c r="I232" s="302"/>
      <c r="J232" s="302"/>
      <c r="K232" s="302"/>
      <c r="L232" s="304"/>
      <c r="M232" s="304"/>
      <c r="N232" s="304"/>
      <c r="O232" s="304"/>
      <c r="P232" s="304"/>
      <c r="Q232" s="304"/>
      <c r="R232" s="304"/>
      <c r="S232" s="304"/>
      <c r="T232" s="304"/>
      <c r="U232" s="304"/>
      <c r="V232" s="304"/>
      <c r="W232" s="304"/>
      <c r="X232" s="304"/>
      <c r="Y232" s="304"/>
      <c r="Z232" s="304"/>
    </row>
    <row r="233" ht="15.75" customHeight="1">
      <c r="A233" s="302"/>
      <c r="B233" s="302"/>
      <c r="C233" s="302"/>
      <c r="D233" s="302"/>
      <c r="E233" s="302"/>
      <c r="F233" s="302"/>
      <c r="G233" s="302"/>
      <c r="H233" s="302"/>
      <c r="I233" s="302"/>
      <c r="J233" s="302"/>
      <c r="K233" s="302"/>
      <c r="L233" s="304"/>
      <c r="M233" s="304"/>
      <c r="N233" s="304"/>
      <c r="O233" s="304"/>
      <c r="P233" s="304"/>
      <c r="Q233" s="304"/>
      <c r="R233" s="304"/>
      <c r="S233" s="304"/>
      <c r="T233" s="304"/>
      <c r="U233" s="304"/>
      <c r="V233" s="304"/>
      <c r="W233" s="304"/>
      <c r="X233" s="304"/>
      <c r="Y233" s="304"/>
      <c r="Z233" s="304"/>
    </row>
    <row r="234" ht="15.75" customHeight="1">
      <c r="A234" s="302"/>
      <c r="B234" s="302"/>
      <c r="C234" s="302"/>
      <c r="D234" s="302"/>
      <c r="E234" s="302"/>
      <c r="F234" s="302"/>
      <c r="G234" s="302"/>
      <c r="H234" s="302"/>
      <c r="I234" s="302"/>
      <c r="J234" s="302"/>
      <c r="K234" s="302"/>
      <c r="L234" s="304"/>
      <c r="M234" s="304"/>
      <c r="N234" s="304"/>
      <c r="O234" s="304"/>
      <c r="P234" s="304"/>
      <c r="Q234" s="304"/>
      <c r="R234" s="304"/>
      <c r="S234" s="304"/>
      <c r="T234" s="304"/>
      <c r="U234" s="304"/>
      <c r="V234" s="304"/>
      <c r="W234" s="304"/>
      <c r="X234" s="304"/>
      <c r="Y234" s="304"/>
      <c r="Z234" s="304"/>
    </row>
    <row r="235" ht="15.75" customHeight="1">
      <c r="A235" s="302"/>
      <c r="B235" s="302"/>
      <c r="C235" s="302"/>
      <c r="D235" s="302"/>
      <c r="E235" s="302"/>
      <c r="F235" s="302"/>
      <c r="G235" s="302"/>
      <c r="H235" s="302"/>
      <c r="I235" s="302"/>
      <c r="J235" s="302"/>
      <c r="K235" s="302"/>
      <c r="L235" s="304"/>
      <c r="M235" s="304"/>
      <c r="N235" s="304"/>
      <c r="O235" s="304"/>
      <c r="P235" s="304"/>
      <c r="Q235" s="304"/>
      <c r="R235" s="304"/>
      <c r="S235" s="304"/>
      <c r="T235" s="304"/>
      <c r="U235" s="304"/>
      <c r="V235" s="304"/>
      <c r="W235" s="304"/>
      <c r="X235" s="304"/>
      <c r="Y235" s="304"/>
      <c r="Z235" s="304"/>
    </row>
    <row r="236" ht="15.75" customHeight="1">
      <c r="A236" s="302"/>
      <c r="B236" s="302"/>
      <c r="C236" s="302"/>
      <c r="D236" s="302"/>
      <c r="E236" s="302"/>
      <c r="F236" s="302"/>
      <c r="G236" s="302"/>
      <c r="H236" s="302"/>
      <c r="I236" s="302"/>
      <c r="J236" s="302"/>
      <c r="K236" s="302"/>
      <c r="L236" s="304"/>
      <c r="M236" s="304"/>
      <c r="N236" s="304"/>
      <c r="O236" s="304"/>
      <c r="P236" s="304"/>
      <c r="Q236" s="304"/>
      <c r="R236" s="304"/>
      <c r="S236" s="304"/>
      <c r="T236" s="304"/>
      <c r="U236" s="304"/>
      <c r="V236" s="304"/>
      <c r="W236" s="304"/>
      <c r="X236" s="304"/>
      <c r="Y236" s="304"/>
      <c r="Z236" s="304"/>
    </row>
    <row r="237" ht="15.75" customHeight="1">
      <c r="A237" s="302"/>
      <c r="B237" s="302"/>
      <c r="C237" s="302"/>
      <c r="D237" s="302"/>
      <c r="E237" s="302"/>
      <c r="F237" s="302"/>
      <c r="G237" s="302"/>
      <c r="H237" s="302"/>
      <c r="I237" s="302"/>
      <c r="J237" s="302"/>
      <c r="K237" s="302"/>
      <c r="L237" s="304"/>
      <c r="M237" s="304"/>
      <c r="N237" s="304"/>
      <c r="O237" s="304"/>
      <c r="P237" s="304"/>
      <c r="Q237" s="304"/>
      <c r="R237" s="304"/>
      <c r="S237" s="304"/>
      <c r="T237" s="304"/>
      <c r="U237" s="304"/>
      <c r="V237" s="304"/>
      <c r="W237" s="304"/>
      <c r="X237" s="304"/>
      <c r="Y237" s="304"/>
      <c r="Z237" s="304"/>
    </row>
    <row r="238" ht="15.75" customHeight="1">
      <c r="A238" s="302"/>
      <c r="B238" s="302"/>
      <c r="C238" s="302"/>
      <c r="D238" s="302"/>
      <c r="E238" s="302"/>
      <c r="F238" s="302"/>
      <c r="G238" s="302"/>
      <c r="H238" s="302"/>
      <c r="I238" s="302"/>
      <c r="J238" s="302"/>
      <c r="K238" s="302"/>
      <c r="L238" s="304"/>
      <c r="M238" s="304"/>
      <c r="N238" s="304"/>
      <c r="O238" s="304"/>
      <c r="P238" s="304"/>
      <c r="Q238" s="304"/>
      <c r="R238" s="304"/>
      <c r="S238" s="304"/>
      <c r="T238" s="304"/>
      <c r="U238" s="304"/>
      <c r="V238" s="304"/>
      <c r="W238" s="304"/>
      <c r="X238" s="304"/>
      <c r="Y238" s="304"/>
      <c r="Z238" s="304"/>
    </row>
    <row r="239" ht="15.75" customHeight="1">
      <c r="A239" s="302"/>
      <c r="B239" s="302"/>
      <c r="C239" s="302"/>
      <c r="D239" s="302"/>
      <c r="E239" s="302"/>
      <c r="F239" s="302"/>
      <c r="G239" s="302"/>
      <c r="H239" s="302"/>
      <c r="I239" s="302"/>
      <c r="J239" s="302"/>
      <c r="K239" s="302"/>
      <c r="L239" s="304"/>
      <c r="M239" s="304"/>
      <c r="N239" s="304"/>
      <c r="O239" s="304"/>
      <c r="P239" s="304"/>
      <c r="Q239" s="304"/>
      <c r="R239" s="304"/>
      <c r="S239" s="304"/>
      <c r="T239" s="304"/>
      <c r="U239" s="304"/>
      <c r="V239" s="304"/>
      <c r="W239" s="304"/>
      <c r="X239" s="304"/>
      <c r="Y239" s="304"/>
      <c r="Z239" s="304"/>
    </row>
    <row r="240" ht="15.75" customHeight="1">
      <c r="A240" s="302"/>
      <c r="B240" s="302"/>
      <c r="C240" s="302"/>
      <c r="D240" s="302"/>
      <c r="E240" s="302"/>
      <c r="F240" s="302"/>
      <c r="G240" s="302"/>
      <c r="H240" s="302"/>
      <c r="I240" s="302"/>
      <c r="J240" s="302"/>
      <c r="K240" s="302"/>
      <c r="L240" s="304"/>
      <c r="M240" s="304"/>
      <c r="N240" s="304"/>
      <c r="O240" s="304"/>
      <c r="P240" s="304"/>
      <c r="Q240" s="304"/>
      <c r="R240" s="304"/>
      <c r="S240" s="304"/>
      <c r="T240" s="304"/>
      <c r="U240" s="304"/>
      <c r="V240" s="304"/>
      <c r="W240" s="304"/>
      <c r="X240" s="304"/>
      <c r="Y240" s="304"/>
      <c r="Z240" s="304"/>
    </row>
    <row r="241" ht="15.75" customHeight="1">
      <c r="A241" s="302"/>
      <c r="B241" s="302"/>
      <c r="C241" s="302"/>
      <c r="D241" s="302"/>
      <c r="E241" s="302"/>
      <c r="F241" s="302"/>
      <c r="G241" s="302"/>
      <c r="H241" s="302"/>
      <c r="I241" s="302"/>
      <c r="J241" s="302"/>
      <c r="K241" s="302"/>
      <c r="L241" s="304"/>
      <c r="M241" s="304"/>
      <c r="N241" s="304"/>
      <c r="O241" s="304"/>
      <c r="P241" s="304"/>
      <c r="Q241" s="304"/>
      <c r="R241" s="304"/>
      <c r="S241" s="304"/>
      <c r="T241" s="304"/>
      <c r="U241" s="304"/>
      <c r="V241" s="304"/>
      <c r="W241" s="304"/>
      <c r="X241" s="304"/>
      <c r="Y241" s="304"/>
      <c r="Z241" s="304"/>
    </row>
    <row r="242" ht="15.75" customHeight="1">
      <c r="A242" s="302"/>
      <c r="B242" s="302"/>
      <c r="C242" s="302"/>
      <c r="D242" s="302"/>
      <c r="E242" s="302"/>
      <c r="F242" s="302"/>
      <c r="G242" s="302"/>
      <c r="H242" s="302"/>
      <c r="I242" s="302"/>
      <c r="J242" s="302"/>
      <c r="K242" s="302"/>
      <c r="L242" s="304"/>
      <c r="M242" s="304"/>
      <c r="N242" s="304"/>
      <c r="O242" s="304"/>
      <c r="P242" s="304"/>
      <c r="Q242" s="304"/>
      <c r="R242" s="304"/>
      <c r="S242" s="304"/>
      <c r="T242" s="304"/>
      <c r="U242" s="304"/>
      <c r="V242" s="304"/>
      <c r="W242" s="304"/>
      <c r="X242" s="304"/>
      <c r="Y242" s="304"/>
      <c r="Z242" s="304"/>
    </row>
    <row r="243" ht="15.75" customHeight="1">
      <c r="A243" s="302"/>
      <c r="B243" s="302"/>
      <c r="C243" s="302"/>
      <c r="D243" s="302"/>
      <c r="E243" s="302"/>
      <c r="F243" s="302"/>
      <c r="G243" s="302"/>
      <c r="H243" s="302"/>
      <c r="I243" s="302"/>
      <c r="J243" s="302"/>
      <c r="K243" s="302"/>
      <c r="L243" s="304"/>
      <c r="M243" s="304"/>
      <c r="N243" s="304"/>
      <c r="O243" s="304"/>
      <c r="P243" s="304"/>
      <c r="Q243" s="304"/>
      <c r="R243" s="304"/>
      <c r="S243" s="304"/>
      <c r="T243" s="304"/>
      <c r="U243" s="304"/>
      <c r="V243" s="304"/>
      <c r="W243" s="304"/>
      <c r="X243" s="304"/>
      <c r="Y243" s="304"/>
      <c r="Z243" s="304"/>
    </row>
    <row r="244" ht="15.75" customHeight="1">
      <c r="A244" s="302"/>
      <c r="B244" s="302"/>
      <c r="C244" s="302"/>
      <c r="D244" s="302"/>
      <c r="E244" s="302"/>
      <c r="F244" s="302"/>
      <c r="G244" s="302"/>
      <c r="H244" s="302"/>
      <c r="I244" s="302"/>
      <c r="J244" s="302"/>
      <c r="K244" s="302"/>
      <c r="L244" s="304"/>
      <c r="M244" s="304"/>
      <c r="N244" s="304"/>
      <c r="O244" s="304"/>
      <c r="P244" s="304"/>
      <c r="Q244" s="304"/>
      <c r="R244" s="304"/>
      <c r="S244" s="304"/>
      <c r="T244" s="304"/>
      <c r="U244" s="304"/>
      <c r="V244" s="304"/>
      <c r="W244" s="304"/>
      <c r="X244" s="304"/>
      <c r="Y244" s="304"/>
      <c r="Z244" s="304"/>
    </row>
    <row r="245" ht="15.75" customHeight="1">
      <c r="A245" s="302"/>
      <c r="B245" s="302"/>
      <c r="C245" s="302"/>
      <c r="D245" s="302"/>
      <c r="E245" s="302"/>
      <c r="F245" s="302"/>
      <c r="G245" s="302"/>
      <c r="H245" s="302"/>
      <c r="I245" s="302"/>
      <c r="J245" s="302"/>
      <c r="K245" s="302"/>
      <c r="L245" s="304"/>
      <c r="M245" s="304"/>
      <c r="N245" s="304"/>
      <c r="O245" s="304"/>
      <c r="P245" s="304"/>
      <c r="Q245" s="304"/>
      <c r="R245" s="304"/>
      <c r="S245" s="304"/>
      <c r="T245" s="304"/>
      <c r="U245" s="304"/>
      <c r="V245" s="304"/>
      <c r="W245" s="304"/>
      <c r="X245" s="304"/>
      <c r="Y245" s="304"/>
      <c r="Z245" s="304"/>
    </row>
    <row r="246" ht="15.75" customHeight="1">
      <c r="A246" s="302"/>
      <c r="B246" s="302"/>
      <c r="C246" s="302"/>
      <c r="D246" s="302"/>
      <c r="E246" s="302"/>
      <c r="F246" s="302"/>
      <c r="G246" s="302"/>
      <c r="H246" s="302"/>
      <c r="I246" s="302"/>
      <c r="J246" s="302"/>
      <c r="K246" s="302"/>
      <c r="L246" s="304"/>
      <c r="M246" s="304"/>
      <c r="N246" s="304"/>
      <c r="O246" s="304"/>
      <c r="P246" s="304"/>
      <c r="Q246" s="304"/>
      <c r="R246" s="304"/>
      <c r="S246" s="304"/>
      <c r="T246" s="304"/>
      <c r="U246" s="304"/>
      <c r="V246" s="304"/>
      <c r="W246" s="304"/>
      <c r="X246" s="304"/>
      <c r="Y246" s="304"/>
      <c r="Z246" s="304"/>
    </row>
    <row r="247" ht="15.75" customHeight="1">
      <c r="A247" s="302"/>
      <c r="B247" s="302"/>
      <c r="C247" s="302"/>
      <c r="D247" s="302"/>
      <c r="E247" s="302"/>
      <c r="F247" s="302"/>
      <c r="G247" s="302"/>
      <c r="H247" s="302"/>
      <c r="I247" s="302"/>
      <c r="J247" s="302"/>
      <c r="K247" s="302"/>
      <c r="L247" s="304"/>
      <c r="M247" s="304"/>
      <c r="N247" s="304"/>
      <c r="O247" s="304"/>
      <c r="P247" s="304"/>
      <c r="Q247" s="304"/>
      <c r="R247" s="304"/>
      <c r="S247" s="304"/>
      <c r="T247" s="304"/>
      <c r="U247" s="304"/>
      <c r="V247" s="304"/>
      <c r="W247" s="304"/>
      <c r="X247" s="304"/>
      <c r="Y247" s="304"/>
      <c r="Z247" s="304"/>
    </row>
    <row r="248" ht="15.75" customHeight="1">
      <c r="A248" s="302"/>
      <c r="B248" s="302"/>
      <c r="C248" s="302"/>
      <c r="D248" s="302"/>
      <c r="E248" s="302"/>
      <c r="F248" s="302"/>
      <c r="G248" s="302"/>
      <c r="H248" s="302"/>
      <c r="I248" s="302"/>
      <c r="J248" s="302"/>
      <c r="K248" s="302"/>
      <c r="L248" s="304"/>
      <c r="M248" s="304"/>
      <c r="N248" s="304"/>
      <c r="O248" s="304"/>
      <c r="P248" s="304"/>
      <c r="Q248" s="304"/>
      <c r="R248" s="304"/>
      <c r="S248" s="304"/>
      <c r="T248" s="304"/>
      <c r="U248" s="304"/>
      <c r="V248" s="304"/>
      <c r="W248" s="304"/>
      <c r="X248" s="304"/>
      <c r="Y248" s="304"/>
      <c r="Z248" s="304"/>
    </row>
    <row r="249" ht="15.75" customHeight="1">
      <c r="A249" s="302"/>
      <c r="B249" s="302"/>
      <c r="C249" s="302"/>
      <c r="D249" s="302"/>
      <c r="E249" s="302"/>
      <c r="F249" s="302"/>
      <c r="G249" s="302"/>
      <c r="H249" s="302"/>
      <c r="I249" s="302"/>
      <c r="J249" s="302"/>
      <c r="K249" s="302"/>
      <c r="L249" s="304"/>
      <c r="M249" s="304"/>
      <c r="N249" s="304"/>
      <c r="O249" s="304"/>
      <c r="P249" s="304"/>
      <c r="Q249" s="304"/>
      <c r="R249" s="304"/>
      <c r="S249" s="304"/>
      <c r="T249" s="304"/>
      <c r="U249" s="304"/>
      <c r="V249" s="304"/>
      <c r="W249" s="304"/>
      <c r="X249" s="304"/>
      <c r="Y249" s="304"/>
      <c r="Z249" s="304"/>
    </row>
    <row r="250" ht="15.75" customHeight="1">
      <c r="A250" s="302"/>
      <c r="B250" s="302"/>
      <c r="C250" s="302"/>
      <c r="D250" s="302"/>
      <c r="E250" s="302"/>
      <c r="F250" s="302"/>
      <c r="G250" s="302"/>
      <c r="H250" s="302"/>
      <c r="I250" s="302"/>
      <c r="J250" s="302"/>
      <c r="K250" s="302"/>
      <c r="L250" s="304"/>
      <c r="M250" s="304"/>
      <c r="N250" s="304"/>
      <c r="O250" s="304"/>
      <c r="P250" s="304"/>
      <c r="Q250" s="304"/>
      <c r="R250" s="304"/>
      <c r="S250" s="304"/>
      <c r="T250" s="304"/>
      <c r="U250" s="304"/>
      <c r="V250" s="304"/>
      <c r="W250" s="304"/>
      <c r="X250" s="304"/>
      <c r="Y250" s="304"/>
      <c r="Z250" s="304"/>
    </row>
    <row r="251" ht="15.75" customHeight="1">
      <c r="A251" s="302"/>
      <c r="B251" s="302"/>
      <c r="C251" s="302"/>
      <c r="D251" s="302"/>
      <c r="E251" s="302"/>
      <c r="F251" s="302"/>
      <c r="G251" s="302"/>
      <c r="H251" s="302"/>
      <c r="I251" s="302"/>
      <c r="J251" s="302"/>
      <c r="K251" s="302"/>
      <c r="L251" s="304"/>
      <c r="M251" s="304"/>
      <c r="N251" s="304"/>
      <c r="O251" s="304"/>
      <c r="P251" s="304"/>
      <c r="Q251" s="304"/>
      <c r="R251" s="304"/>
      <c r="S251" s="304"/>
      <c r="T251" s="304"/>
      <c r="U251" s="304"/>
      <c r="V251" s="304"/>
      <c r="W251" s="304"/>
      <c r="X251" s="304"/>
      <c r="Y251" s="304"/>
      <c r="Z251" s="304"/>
    </row>
    <row r="252" ht="15.75" customHeight="1">
      <c r="A252" s="302"/>
      <c r="B252" s="302"/>
      <c r="C252" s="302"/>
      <c r="D252" s="302"/>
      <c r="E252" s="302"/>
      <c r="F252" s="302"/>
      <c r="G252" s="302"/>
      <c r="H252" s="302"/>
      <c r="I252" s="302"/>
      <c r="J252" s="302"/>
      <c r="K252" s="302"/>
      <c r="L252" s="304"/>
      <c r="M252" s="304"/>
      <c r="N252" s="304"/>
      <c r="O252" s="304"/>
      <c r="P252" s="304"/>
      <c r="Q252" s="304"/>
      <c r="R252" s="304"/>
      <c r="S252" s="304"/>
      <c r="T252" s="304"/>
      <c r="U252" s="304"/>
      <c r="V252" s="304"/>
      <c r="W252" s="304"/>
      <c r="X252" s="304"/>
      <c r="Y252" s="304"/>
      <c r="Z252" s="304"/>
    </row>
    <row r="253" ht="15.75" customHeight="1">
      <c r="A253" s="302"/>
      <c r="B253" s="302"/>
      <c r="C253" s="302"/>
      <c r="D253" s="302"/>
      <c r="E253" s="302"/>
      <c r="F253" s="302"/>
      <c r="G253" s="302"/>
      <c r="H253" s="302"/>
      <c r="I253" s="302"/>
      <c r="J253" s="302"/>
      <c r="K253" s="302"/>
      <c r="L253" s="304"/>
      <c r="M253" s="304"/>
      <c r="N253" s="304"/>
      <c r="O253" s="304"/>
      <c r="P253" s="304"/>
      <c r="Q253" s="304"/>
      <c r="R253" s="304"/>
      <c r="S253" s="304"/>
      <c r="T253" s="304"/>
      <c r="U253" s="304"/>
      <c r="V253" s="304"/>
      <c r="W253" s="304"/>
      <c r="X253" s="304"/>
      <c r="Y253" s="304"/>
      <c r="Z253" s="304"/>
    </row>
    <row r="254" ht="15.75" customHeight="1">
      <c r="A254" s="302"/>
      <c r="B254" s="302"/>
      <c r="C254" s="302"/>
      <c r="D254" s="302"/>
      <c r="E254" s="302"/>
      <c r="F254" s="302"/>
      <c r="G254" s="302"/>
      <c r="H254" s="302"/>
      <c r="I254" s="302"/>
      <c r="J254" s="302"/>
      <c r="K254" s="302"/>
      <c r="L254" s="304"/>
      <c r="M254" s="304"/>
      <c r="N254" s="304"/>
      <c r="O254" s="304"/>
      <c r="P254" s="304"/>
      <c r="Q254" s="304"/>
      <c r="R254" s="304"/>
      <c r="S254" s="304"/>
      <c r="T254" s="304"/>
      <c r="U254" s="304"/>
      <c r="V254" s="304"/>
      <c r="W254" s="304"/>
      <c r="X254" s="304"/>
      <c r="Y254" s="304"/>
      <c r="Z254" s="304"/>
    </row>
    <row r="255" ht="15.75" customHeight="1">
      <c r="A255" s="302"/>
      <c r="B255" s="302"/>
      <c r="C255" s="302"/>
      <c r="D255" s="302"/>
      <c r="E255" s="302"/>
      <c r="F255" s="302"/>
      <c r="G255" s="302"/>
      <c r="H255" s="302"/>
      <c r="I255" s="302"/>
      <c r="J255" s="302"/>
      <c r="K255" s="302"/>
      <c r="L255" s="304"/>
      <c r="M255" s="304"/>
      <c r="N255" s="304"/>
      <c r="O255" s="304"/>
      <c r="P255" s="304"/>
      <c r="Q255" s="304"/>
      <c r="R255" s="304"/>
      <c r="S255" s="304"/>
      <c r="T255" s="304"/>
      <c r="U255" s="304"/>
      <c r="V255" s="304"/>
      <c r="W255" s="304"/>
      <c r="X255" s="304"/>
      <c r="Y255" s="304"/>
      <c r="Z255" s="304"/>
    </row>
    <row r="256" ht="15.75" customHeight="1">
      <c r="A256" s="302"/>
      <c r="B256" s="302"/>
      <c r="C256" s="302"/>
      <c r="D256" s="302"/>
      <c r="E256" s="302"/>
      <c r="F256" s="302"/>
      <c r="G256" s="302"/>
      <c r="H256" s="302"/>
      <c r="I256" s="302"/>
      <c r="J256" s="302"/>
      <c r="K256" s="302"/>
      <c r="L256" s="304"/>
      <c r="M256" s="304"/>
      <c r="N256" s="304"/>
      <c r="O256" s="304"/>
      <c r="P256" s="304"/>
      <c r="Q256" s="304"/>
      <c r="R256" s="304"/>
      <c r="S256" s="304"/>
      <c r="T256" s="304"/>
      <c r="U256" s="304"/>
      <c r="V256" s="304"/>
      <c r="W256" s="304"/>
      <c r="X256" s="304"/>
      <c r="Y256" s="304"/>
      <c r="Z256" s="304"/>
    </row>
    <row r="257" ht="15.75" customHeight="1">
      <c r="A257" s="302"/>
      <c r="B257" s="302"/>
      <c r="C257" s="302"/>
      <c r="D257" s="302"/>
      <c r="E257" s="302"/>
      <c r="F257" s="302"/>
      <c r="G257" s="302"/>
      <c r="H257" s="302"/>
      <c r="I257" s="302"/>
      <c r="J257" s="302"/>
      <c r="K257" s="302"/>
      <c r="L257" s="304"/>
      <c r="M257" s="304"/>
      <c r="N257" s="304"/>
      <c r="O257" s="304"/>
      <c r="P257" s="304"/>
      <c r="Q257" s="304"/>
      <c r="R257" s="304"/>
      <c r="S257" s="304"/>
      <c r="T257" s="304"/>
      <c r="U257" s="304"/>
      <c r="V257" s="304"/>
      <c r="W257" s="304"/>
      <c r="X257" s="304"/>
      <c r="Y257" s="304"/>
      <c r="Z257" s="304"/>
    </row>
    <row r="258" ht="15.75" customHeight="1">
      <c r="A258" s="302"/>
      <c r="B258" s="302"/>
      <c r="C258" s="302"/>
      <c r="D258" s="302"/>
      <c r="E258" s="302"/>
      <c r="F258" s="302"/>
      <c r="G258" s="302"/>
      <c r="H258" s="302"/>
      <c r="I258" s="302"/>
      <c r="J258" s="302"/>
      <c r="K258" s="302"/>
      <c r="L258" s="304"/>
      <c r="M258" s="304"/>
      <c r="N258" s="304"/>
      <c r="O258" s="304"/>
      <c r="P258" s="304"/>
      <c r="Q258" s="304"/>
      <c r="R258" s="304"/>
      <c r="S258" s="304"/>
      <c r="T258" s="304"/>
      <c r="U258" s="304"/>
      <c r="V258" s="304"/>
      <c r="W258" s="304"/>
      <c r="X258" s="304"/>
      <c r="Y258" s="304"/>
      <c r="Z258" s="304"/>
    </row>
    <row r="259" ht="15.75" customHeight="1">
      <c r="A259" s="302"/>
      <c r="B259" s="302"/>
      <c r="C259" s="302"/>
      <c r="D259" s="302"/>
      <c r="E259" s="302"/>
      <c r="F259" s="302"/>
      <c r="G259" s="302"/>
      <c r="H259" s="302"/>
      <c r="I259" s="302"/>
      <c r="J259" s="302"/>
      <c r="K259" s="302"/>
      <c r="L259" s="304"/>
      <c r="M259" s="304"/>
      <c r="N259" s="304"/>
      <c r="O259" s="304"/>
      <c r="P259" s="304"/>
      <c r="Q259" s="304"/>
      <c r="R259" s="304"/>
      <c r="S259" s="304"/>
      <c r="T259" s="304"/>
      <c r="U259" s="304"/>
      <c r="V259" s="304"/>
      <c r="W259" s="304"/>
      <c r="X259" s="304"/>
      <c r="Y259" s="304"/>
      <c r="Z259" s="304"/>
    </row>
    <row r="260" ht="15.75" customHeight="1">
      <c r="A260" s="302"/>
      <c r="B260" s="302"/>
      <c r="C260" s="302"/>
      <c r="D260" s="302"/>
      <c r="E260" s="302"/>
      <c r="F260" s="302"/>
      <c r="G260" s="302"/>
      <c r="H260" s="302"/>
      <c r="I260" s="302"/>
      <c r="J260" s="302"/>
      <c r="K260" s="302"/>
      <c r="L260" s="304"/>
      <c r="M260" s="304"/>
      <c r="N260" s="304"/>
      <c r="O260" s="304"/>
      <c r="P260" s="304"/>
      <c r="Q260" s="304"/>
      <c r="R260" s="304"/>
      <c r="S260" s="304"/>
      <c r="T260" s="304"/>
      <c r="U260" s="304"/>
      <c r="V260" s="304"/>
      <c r="W260" s="304"/>
      <c r="X260" s="304"/>
      <c r="Y260" s="304"/>
      <c r="Z260" s="304"/>
    </row>
    <row r="261" ht="15.75" customHeight="1">
      <c r="A261" s="302"/>
      <c r="B261" s="302"/>
      <c r="C261" s="302"/>
      <c r="D261" s="302"/>
      <c r="E261" s="302"/>
      <c r="F261" s="302"/>
      <c r="G261" s="302"/>
      <c r="H261" s="302"/>
      <c r="I261" s="302"/>
      <c r="J261" s="302"/>
      <c r="K261" s="302"/>
      <c r="L261" s="304"/>
      <c r="M261" s="304"/>
      <c r="N261" s="304"/>
      <c r="O261" s="304"/>
      <c r="P261" s="304"/>
      <c r="Q261" s="304"/>
      <c r="R261" s="304"/>
      <c r="S261" s="304"/>
      <c r="T261" s="304"/>
      <c r="U261" s="304"/>
      <c r="V261" s="304"/>
      <c r="W261" s="304"/>
      <c r="X261" s="304"/>
      <c r="Y261" s="304"/>
      <c r="Z261" s="304"/>
    </row>
    <row r="262" ht="15.75" customHeight="1">
      <c r="A262" s="302"/>
      <c r="B262" s="302"/>
      <c r="C262" s="302"/>
      <c r="D262" s="302"/>
      <c r="E262" s="302"/>
      <c r="F262" s="302"/>
      <c r="G262" s="302"/>
      <c r="H262" s="302"/>
      <c r="I262" s="302"/>
      <c r="J262" s="302"/>
      <c r="K262" s="302"/>
      <c r="L262" s="304"/>
      <c r="M262" s="304"/>
      <c r="N262" s="304"/>
      <c r="O262" s="304"/>
      <c r="P262" s="304"/>
      <c r="Q262" s="304"/>
      <c r="R262" s="304"/>
      <c r="S262" s="304"/>
      <c r="T262" s="304"/>
      <c r="U262" s="304"/>
      <c r="V262" s="304"/>
      <c r="W262" s="304"/>
      <c r="X262" s="304"/>
      <c r="Y262" s="304"/>
      <c r="Z262" s="304"/>
    </row>
    <row r="263" ht="15.75" customHeight="1">
      <c r="A263" s="302"/>
      <c r="B263" s="302"/>
      <c r="C263" s="302"/>
      <c r="D263" s="302"/>
      <c r="E263" s="302"/>
      <c r="F263" s="302"/>
      <c r="G263" s="302"/>
      <c r="H263" s="302"/>
      <c r="I263" s="302"/>
      <c r="J263" s="302"/>
      <c r="K263" s="302"/>
      <c r="L263" s="304"/>
      <c r="M263" s="304"/>
      <c r="N263" s="304"/>
      <c r="O263" s="304"/>
      <c r="P263" s="304"/>
      <c r="Q263" s="304"/>
      <c r="R263" s="304"/>
      <c r="S263" s="304"/>
      <c r="T263" s="304"/>
      <c r="U263" s="304"/>
      <c r="V263" s="304"/>
      <c r="W263" s="304"/>
      <c r="X263" s="304"/>
      <c r="Y263" s="304"/>
      <c r="Z263" s="304"/>
    </row>
    <row r="264" ht="15.75" customHeight="1">
      <c r="A264" s="302"/>
      <c r="B264" s="302"/>
      <c r="C264" s="302"/>
      <c r="D264" s="302"/>
      <c r="E264" s="302"/>
      <c r="F264" s="302"/>
      <c r="G264" s="302"/>
      <c r="H264" s="302"/>
      <c r="I264" s="302"/>
      <c r="J264" s="302"/>
      <c r="K264" s="302"/>
      <c r="L264" s="304"/>
      <c r="M264" s="304"/>
      <c r="N264" s="304"/>
      <c r="O264" s="304"/>
      <c r="P264" s="304"/>
      <c r="Q264" s="304"/>
      <c r="R264" s="304"/>
      <c r="S264" s="304"/>
      <c r="T264" s="304"/>
      <c r="U264" s="304"/>
      <c r="V264" s="304"/>
      <c r="W264" s="304"/>
      <c r="X264" s="304"/>
      <c r="Y264" s="304"/>
      <c r="Z264" s="304"/>
    </row>
    <row r="265" ht="15.75" customHeight="1">
      <c r="A265" s="302"/>
      <c r="B265" s="302"/>
      <c r="C265" s="302"/>
      <c r="D265" s="302"/>
      <c r="E265" s="302"/>
      <c r="F265" s="302"/>
      <c r="G265" s="302"/>
      <c r="H265" s="302"/>
      <c r="I265" s="302"/>
      <c r="J265" s="302"/>
      <c r="K265" s="302"/>
      <c r="L265" s="304"/>
      <c r="M265" s="304"/>
      <c r="N265" s="304"/>
      <c r="O265" s="304"/>
      <c r="P265" s="304"/>
      <c r="Q265" s="304"/>
      <c r="R265" s="304"/>
      <c r="S265" s="304"/>
      <c r="T265" s="304"/>
      <c r="U265" s="304"/>
      <c r="V265" s="304"/>
      <c r="W265" s="304"/>
      <c r="X265" s="304"/>
      <c r="Y265" s="304"/>
      <c r="Z265" s="304"/>
    </row>
    <row r="266" ht="15.75" customHeight="1">
      <c r="A266" s="302"/>
      <c r="B266" s="302"/>
      <c r="C266" s="302"/>
      <c r="D266" s="302"/>
      <c r="E266" s="302"/>
      <c r="F266" s="302"/>
      <c r="G266" s="302"/>
      <c r="H266" s="302"/>
      <c r="I266" s="302"/>
      <c r="J266" s="302"/>
      <c r="K266" s="302"/>
      <c r="L266" s="304"/>
      <c r="M266" s="304"/>
      <c r="N266" s="304"/>
      <c r="O266" s="304"/>
      <c r="P266" s="304"/>
      <c r="Q266" s="304"/>
      <c r="R266" s="304"/>
      <c r="S266" s="304"/>
      <c r="T266" s="304"/>
      <c r="U266" s="304"/>
      <c r="V266" s="304"/>
      <c r="W266" s="304"/>
      <c r="X266" s="304"/>
      <c r="Y266" s="304"/>
      <c r="Z266" s="304"/>
    </row>
    <row r="267" ht="15.75" customHeight="1">
      <c r="A267" s="302"/>
      <c r="B267" s="302"/>
      <c r="C267" s="302"/>
      <c r="D267" s="302"/>
      <c r="E267" s="302"/>
      <c r="F267" s="302"/>
      <c r="G267" s="302"/>
      <c r="H267" s="302"/>
      <c r="I267" s="302"/>
      <c r="J267" s="302"/>
      <c r="K267" s="302"/>
      <c r="L267" s="304"/>
      <c r="M267" s="304"/>
      <c r="N267" s="304"/>
      <c r="O267" s="304"/>
      <c r="P267" s="304"/>
      <c r="Q267" s="304"/>
      <c r="R267" s="304"/>
      <c r="S267" s="304"/>
      <c r="T267" s="304"/>
      <c r="U267" s="304"/>
      <c r="V267" s="304"/>
      <c r="W267" s="304"/>
      <c r="X267" s="304"/>
      <c r="Y267" s="304"/>
      <c r="Z267" s="304"/>
    </row>
    <row r="268" ht="15.75" customHeight="1">
      <c r="A268" s="302"/>
      <c r="B268" s="302"/>
      <c r="C268" s="302"/>
      <c r="D268" s="302"/>
      <c r="E268" s="302"/>
      <c r="F268" s="302"/>
      <c r="G268" s="302"/>
      <c r="H268" s="302"/>
      <c r="I268" s="302"/>
      <c r="J268" s="302"/>
      <c r="K268" s="302"/>
      <c r="L268" s="304"/>
      <c r="M268" s="304"/>
      <c r="N268" s="304"/>
      <c r="O268" s="304"/>
      <c r="P268" s="304"/>
      <c r="Q268" s="304"/>
      <c r="R268" s="304"/>
      <c r="S268" s="304"/>
      <c r="T268" s="304"/>
      <c r="U268" s="304"/>
      <c r="V268" s="304"/>
      <c r="W268" s="304"/>
      <c r="X268" s="304"/>
      <c r="Y268" s="304"/>
      <c r="Z268" s="304"/>
    </row>
    <row r="269" ht="15.75" customHeight="1">
      <c r="A269" s="302"/>
      <c r="B269" s="302"/>
      <c r="C269" s="302"/>
      <c r="D269" s="302"/>
      <c r="E269" s="302"/>
      <c r="F269" s="302"/>
      <c r="G269" s="302"/>
      <c r="H269" s="302"/>
      <c r="I269" s="302"/>
      <c r="J269" s="302"/>
      <c r="K269" s="302"/>
      <c r="L269" s="304"/>
      <c r="M269" s="304"/>
      <c r="N269" s="304"/>
      <c r="O269" s="304"/>
      <c r="P269" s="304"/>
      <c r="Q269" s="304"/>
      <c r="R269" s="304"/>
      <c r="S269" s="304"/>
      <c r="T269" s="304"/>
      <c r="U269" s="304"/>
      <c r="V269" s="304"/>
      <c r="W269" s="304"/>
      <c r="X269" s="304"/>
      <c r="Y269" s="304"/>
      <c r="Z269" s="304"/>
    </row>
    <row r="270" ht="15.75" customHeight="1">
      <c r="A270" s="302"/>
      <c r="B270" s="302"/>
      <c r="C270" s="302"/>
      <c r="D270" s="302"/>
      <c r="E270" s="302"/>
      <c r="F270" s="302"/>
      <c r="G270" s="302"/>
      <c r="H270" s="302"/>
      <c r="I270" s="302"/>
      <c r="J270" s="302"/>
      <c r="K270" s="302"/>
      <c r="L270" s="304"/>
      <c r="M270" s="304"/>
      <c r="N270" s="304"/>
      <c r="O270" s="304"/>
      <c r="P270" s="304"/>
      <c r="Q270" s="304"/>
      <c r="R270" s="304"/>
      <c r="S270" s="304"/>
      <c r="T270" s="304"/>
      <c r="U270" s="304"/>
      <c r="V270" s="304"/>
      <c r="W270" s="304"/>
      <c r="X270" s="304"/>
      <c r="Y270" s="304"/>
      <c r="Z270" s="304"/>
    </row>
    <row r="271" ht="15.75" customHeight="1">
      <c r="A271" s="302"/>
      <c r="B271" s="302"/>
      <c r="C271" s="302"/>
      <c r="D271" s="302"/>
      <c r="E271" s="302"/>
      <c r="F271" s="302"/>
      <c r="G271" s="302"/>
      <c r="H271" s="302"/>
      <c r="I271" s="302"/>
      <c r="J271" s="302"/>
      <c r="K271" s="302"/>
      <c r="L271" s="304"/>
      <c r="M271" s="304"/>
      <c r="N271" s="304"/>
      <c r="O271" s="304"/>
      <c r="P271" s="304"/>
      <c r="Q271" s="304"/>
      <c r="R271" s="304"/>
      <c r="S271" s="304"/>
      <c r="T271" s="304"/>
      <c r="U271" s="304"/>
      <c r="V271" s="304"/>
      <c r="W271" s="304"/>
      <c r="X271" s="304"/>
      <c r="Y271" s="304"/>
      <c r="Z271" s="304"/>
    </row>
    <row r="272" ht="15.75" customHeight="1">
      <c r="A272" s="302"/>
      <c r="B272" s="302"/>
      <c r="C272" s="302"/>
      <c r="D272" s="302"/>
      <c r="E272" s="302"/>
      <c r="F272" s="302"/>
      <c r="G272" s="302"/>
      <c r="H272" s="302"/>
      <c r="I272" s="302"/>
      <c r="J272" s="302"/>
      <c r="K272" s="302"/>
      <c r="L272" s="304"/>
      <c r="M272" s="304"/>
      <c r="N272" s="304"/>
      <c r="O272" s="304"/>
      <c r="P272" s="304"/>
      <c r="Q272" s="304"/>
      <c r="R272" s="304"/>
      <c r="S272" s="304"/>
      <c r="T272" s="304"/>
      <c r="U272" s="304"/>
      <c r="V272" s="304"/>
      <c r="W272" s="304"/>
      <c r="X272" s="304"/>
      <c r="Y272" s="304"/>
      <c r="Z272" s="304"/>
    </row>
    <row r="273" ht="15.75" customHeight="1">
      <c r="A273" s="302"/>
      <c r="B273" s="302"/>
      <c r="C273" s="302"/>
      <c r="D273" s="302"/>
      <c r="E273" s="302"/>
      <c r="F273" s="302"/>
      <c r="G273" s="302"/>
      <c r="H273" s="302"/>
      <c r="I273" s="302"/>
      <c r="J273" s="302"/>
      <c r="K273" s="302"/>
      <c r="L273" s="304"/>
      <c r="M273" s="304"/>
      <c r="N273" s="304"/>
      <c r="O273" s="304"/>
      <c r="P273" s="304"/>
      <c r="Q273" s="304"/>
      <c r="R273" s="304"/>
      <c r="S273" s="304"/>
      <c r="T273" s="304"/>
      <c r="U273" s="304"/>
      <c r="V273" s="304"/>
      <c r="W273" s="304"/>
      <c r="X273" s="304"/>
      <c r="Y273" s="304"/>
      <c r="Z273" s="304"/>
    </row>
    <row r="274" ht="15.75" customHeight="1">
      <c r="A274" s="302"/>
      <c r="B274" s="302"/>
      <c r="C274" s="302"/>
      <c r="D274" s="302"/>
      <c r="E274" s="302"/>
      <c r="F274" s="302"/>
      <c r="G274" s="302"/>
      <c r="H274" s="302"/>
      <c r="I274" s="302"/>
      <c r="J274" s="302"/>
      <c r="K274" s="302"/>
      <c r="L274" s="304"/>
      <c r="M274" s="304"/>
      <c r="N274" s="304"/>
      <c r="O274" s="304"/>
      <c r="P274" s="304"/>
      <c r="Q274" s="304"/>
      <c r="R274" s="304"/>
      <c r="S274" s="304"/>
      <c r="T274" s="304"/>
      <c r="U274" s="304"/>
      <c r="V274" s="304"/>
      <c r="W274" s="304"/>
      <c r="X274" s="304"/>
      <c r="Y274" s="304"/>
      <c r="Z274" s="304"/>
    </row>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A38:C38"/>
    <mergeCell ref="D38:J38"/>
    <mergeCell ref="A53:C53"/>
    <mergeCell ref="D53:J53"/>
    <mergeCell ref="A1:F1"/>
    <mergeCell ref="G1:M1"/>
    <mergeCell ref="O1:R1"/>
    <mergeCell ref="A4:C4"/>
    <mergeCell ref="D4:J4"/>
    <mergeCell ref="A21:C21"/>
    <mergeCell ref="D21:J21"/>
  </mergeCells>
  <printOptions horizontalCentered="1"/>
  <pageMargins bottom="0.75" footer="0.0" header="0.0" left="0.7" right="0.7" top="0.75"/>
  <pageSetup fitToHeight="0" cellComments="atEnd" orientation="landscape"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6923C"/>
    <outlinePr summaryBelow="0" summaryRight="0"/>
    <pageSetUpPr fitToPage="1"/>
  </sheetPr>
  <sheetViews>
    <sheetView workbookViewId="0"/>
  </sheetViews>
  <sheetFormatPr customHeight="1" defaultColWidth="12.63" defaultRowHeight="15.0"/>
  <cols>
    <col customWidth="1" min="1" max="1" width="29.25"/>
    <col customWidth="1" min="2" max="2" width="8.13"/>
    <col customWidth="1" min="3" max="3" width="18.38"/>
    <col customWidth="1" min="4" max="4" width="11.38"/>
    <col customWidth="1" min="5" max="5" width="11.13"/>
    <col customWidth="1" min="6" max="6" width="10.38"/>
    <col customWidth="1" min="7" max="7" width="9.38"/>
    <col customWidth="1" min="8" max="8" width="10.38"/>
    <col customWidth="1" min="9" max="9" width="10.13"/>
    <col customWidth="1" min="10" max="10" width="10.88"/>
  </cols>
  <sheetData>
    <row r="1" ht="15.75" customHeight="1">
      <c r="A1" s="1" t="s">
        <v>267</v>
      </c>
      <c r="G1" s="336" t="s">
        <v>268</v>
      </c>
      <c r="N1" s="304"/>
      <c r="O1" s="304"/>
      <c r="P1" s="304"/>
      <c r="Q1" s="304"/>
      <c r="R1" s="304"/>
      <c r="S1" s="304"/>
      <c r="T1" s="304"/>
      <c r="U1" s="304"/>
      <c r="V1" s="304"/>
      <c r="W1" s="304"/>
      <c r="X1" s="304"/>
      <c r="Y1" s="304"/>
      <c r="Z1" s="304"/>
    </row>
    <row r="2" ht="15.75" customHeight="1">
      <c r="A2" s="337"/>
      <c r="B2" s="337"/>
      <c r="C2" s="337"/>
      <c r="D2" s="337"/>
      <c r="E2" s="337"/>
      <c r="F2" s="337"/>
      <c r="G2" s="302"/>
      <c r="H2" s="302"/>
      <c r="I2" s="302"/>
      <c r="J2" s="302"/>
      <c r="K2" s="302"/>
      <c r="L2" s="304"/>
      <c r="M2" s="304"/>
      <c r="N2" s="304"/>
      <c r="O2" s="304"/>
      <c r="P2" s="304"/>
      <c r="Q2" s="304"/>
      <c r="R2" s="304"/>
      <c r="S2" s="304"/>
      <c r="T2" s="304"/>
      <c r="U2" s="304"/>
      <c r="V2" s="304"/>
      <c r="W2" s="304"/>
      <c r="X2" s="304"/>
      <c r="Y2" s="304"/>
      <c r="Z2" s="304"/>
    </row>
    <row r="3" ht="15.75" customHeight="1">
      <c r="A3" s="338" t="s">
        <v>11</v>
      </c>
      <c r="B3" s="302"/>
      <c r="C3" s="302"/>
      <c r="D3" s="302"/>
      <c r="E3" s="302"/>
      <c r="F3" s="302"/>
      <c r="G3" s="302"/>
      <c r="H3" s="302"/>
      <c r="I3" s="302"/>
      <c r="J3" s="302"/>
      <c r="K3" s="302"/>
      <c r="L3" s="304"/>
      <c r="M3" s="304"/>
      <c r="N3" s="304"/>
      <c r="O3" s="304"/>
      <c r="P3" s="304"/>
      <c r="Q3" s="304"/>
      <c r="R3" s="304"/>
      <c r="S3" s="304"/>
      <c r="T3" s="304"/>
      <c r="U3" s="304"/>
      <c r="V3" s="304"/>
      <c r="W3" s="304"/>
      <c r="X3" s="304"/>
      <c r="Y3" s="304"/>
      <c r="Z3" s="304"/>
    </row>
    <row r="4" ht="15.75" customHeight="1">
      <c r="A4" s="339" t="s">
        <v>218</v>
      </c>
      <c r="B4" s="28"/>
      <c r="C4" s="29"/>
      <c r="D4" s="340" t="s">
        <v>269</v>
      </c>
      <c r="E4" s="28"/>
      <c r="F4" s="28"/>
      <c r="G4" s="28"/>
      <c r="H4" s="28"/>
      <c r="I4" s="28"/>
      <c r="J4" s="29"/>
      <c r="K4" s="341"/>
      <c r="L4" s="375" t="s">
        <v>270</v>
      </c>
      <c r="O4" s="304"/>
      <c r="P4" s="304"/>
      <c r="Q4" s="304"/>
      <c r="R4" s="304"/>
      <c r="S4" s="304"/>
      <c r="T4" s="304"/>
      <c r="U4" s="304"/>
      <c r="V4" s="304"/>
      <c r="W4" s="304"/>
      <c r="X4" s="304"/>
      <c r="Y4" s="304"/>
      <c r="Z4" s="304"/>
    </row>
    <row r="5" ht="15.75" customHeight="1">
      <c r="A5" s="343" t="s">
        <v>220</v>
      </c>
      <c r="B5" s="344" t="s">
        <v>221</v>
      </c>
      <c r="C5" s="345" t="s">
        <v>17</v>
      </c>
      <c r="D5" s="344" t="s">
        <v>5</v>
      </c>
      <c r="E5" s="344" t="s">
        <v>174</v>
      </c>
      <c r="F5" s="344" t="s">
        <v>8</v>
      </c>
      <c r="G5" s="344" t="s">
        <v>222</v>
      </c>
      <c r="H5" s="344" t="s">
        <v>271</v>
      </c>
      <c r="I5" s="344" t="s">
        <v>272</v>
      </c>
      <c r="J5" s="345" t="s">
        <v>133</v>
      </c>
      <c r="K5" s="341"/>
      <c r="O5" s="302"/>
      <c r="P5" s="302"/>
      <c r="Q5" s="302"/>
      <c r="R5" s="302"/>
      <c r="S5" s="302"/>
      <c r="T5" s="302"/>
      <c r="U5" s="302"/>
      <c r="V5" s="302"/>
      <c r="W5" s="302"/>
      <c r="X5" s="302"/>
      <c r="Y5" s="302"/>
      <c r="Z5" s="302"/>
    </row>
    <row r="6" ht="15.75" customHeight="1">
      <c r="A6" s="346" t="s">
        <v>223</v>
      </c>
      <c r="B6" s="347">
        <f>IFERROR(__xludf.DUMMYFUNCTION("IMPORTRANGE(""https://docs.google.com/spreadsheets/d/1fpr4iXJjYPIWfqLVGaDLSDFHokxxaVbtvYkSxFtDSHM/edit#gid=1391174979"", ""'CV Coop LLP Primary Alloc'!A10:B20"")"),2696.0)</f>
        <v>2696</v>
      </c>
      <c r="C6" s="348" t="str">
        <f>IFERROR(__xludf.DUMMYFUNCTION("""COMPUTED_VALUE"""),"MAR PACIFICO")</f>
        <v>MAR PACIFICO</v>
      </c>
      <c r="D6" s="376">
        <f>IFERROR(__xludf.DUMMYFUNCTION("IMPORTRANGE(""https://docs.google.com/spreadsheets/d/1fpr4iXJjYPIWfqLVGaDLSDFHokxxaVbtvYkSxFtDSHM/edit#gid=1391174979"", ""'CV Coop LLP Primary Alloc'!K10:M20"")"),1073609.564757818)</f>
        <v>1073609.565</v>
      </c>
      <c r="E6" s="377">
        <f>IFERROR(__xludf.DUMMYFUNCTION("""COMPUTED_VALUE"""),201382.67509241423)</f>
        <v>201382.6751</v>
      </c>
      <c r="F6" s="377">
        <f>IFERROR(__xludf.DUMMYFUNCTION("""COMPUTED_VALUE"""),303374.0256744757)</f>
        <v>303374.0257</v>
      </c>
      <c r="G6" s="378">
        <f>IFERROR(__xludf.DUMMYFUNCTION("IMPORTRANGE(""https://docs.google.com/spreadsheets/d/1fpr4iXJjYPIWfqLVGaDLSDFHokxxaVbtvYkSxFtDSHM/edit#gid=1392452204"", ""'CV Secondary &amp; PSC Alloc'!H23:K33"")"),30870.949421777386)</f>
        <v>30870.94942</v>
      </c>
      <c r="H6" s="377">
        <f>IFERROR(__xludf.DUMMYFUNCTION("""COMPUTED_VALUE"""),45346.20963883593)</f>
        <v>45346.20964</v>
      </c>
      <c r="I6" s="377">
        <f>IFERROR(__xludf.DUMMYFUNCTION("""COMPUTED_VALUE"""),3810.648600497891)</f>
        <v>3810.6486</v>
      </c>
      <c r="J6" s="379">
        <f>IFERROR(__xludf.DUMMYFUNCTION("""COMPUTED_VALUE"""),9666.46446214375)</f>
        <v>9666.464462</v>
      </c>
      <c r="K6" s="341"/>
      <c r="O6" s="304"/>
      <c r="P6" s="304"/>
      <c r="Q6" s="304"/>
      <c r="R6" s="304"/>
      <c r="S6" s="304"/>
      <c r="T6" s="304"/>
      <c r="U6" s="304"/>
      <c r="V6" s="304"/>
      <c r="W6" s="304"/>
      <c r="X6" s="304"/>
      <c r="Y6" s="304"/>
      <c r="Z6" s="304"/>
    </row>
    <row r="7" ht="15.75" customHeight="1">
      <c r="A7" s="352" t="s">
        <v>224</v>
      </c>
      <c r="B7" s="341">
        <f>IFERROR(__xludf.DUMMYFUNCTION("""COMPUTED_VALUE"""),1554.0)</f>
        <v>1554</v>
      </c>
      <c r="C7" s="353" t="str">
        <f>IFERROR(__xludf.DUMMYFUNCTION("""COMPUTED_VALUE"""),"CHELLISSA")</f>
        <v>CHELLISSA</v>
      </c>
      <c r="D7" s="380">
        <f>IFERROR(__xludf.DUMMYFUNCTION("""COMPUTED_VALUE"""),277608.28029651556)</f>
        <v>277608.2803</v>
      </c>
      <c r="E7" s="381">
        <f>IFERROR(__xludf.DUMMYFUNCTION("""COMPUTED_VALUE"""),38379.29003588003)</f>
        <v>38379.29004</v>
      </c>
      <c r="F7" s="381">
        <f>IFERROR(__xludf.DUMMYFUNCTION("""COMPUTED_VALUE"""),62674.01649403903)</f>
        <v>62674.01649</v>
      </c>
      <c r="G7" s="381">
        <f>IFERROR(__xludf.DUMMYFUNCTION("""COMPUTED_VALUE"""),7013.312369243585)</f>
        <v>7013.312369</v>
      </c>
      <c r="H7" s="381">
        <f>IFERROR(__xludf.DUMMYFUNCTION("""COMPUTED_VALUE"""),10301.825467473762)</f>
        <v>10301.82547</v>
      </c>
      <c r="I7" s="381">
        <f>IFERROR(__xludf.DUMMYFUNCTION("""COMPUTED_VALUE"""),865.7093307878548)</f>
        <v>865.7093308</v>
      </c>
      <c r="J7" s="382">
        <f>IFERROR(__xludf.DUMMYFUNCTION("""COMPUTED_VALUE"""),2196.0430776833255)</f>
        <v>2196.043078</v>
      </c>
      <c r="K7" s="341"/>
      <c r="O7" s="304"/>
      <c r="P7" s="304"/>
      <c r="Q7" s="304"/>
      <c r="R7" s="304"/>
      <c r="S7" s="304"/>
      <c r="T7" s="304"/>
      <c r="U7" s="304"/>
      <c r="V7" s="304"/>
      <c r="W7" s="304"/>
      <c r="X7" s="304"/>
      <c r="Y7" s="304"/>
      <c r="Z7" s="304"/>
    </row>
    <row r="8" ht="15.75" customHeight="1">
      <c r="A8" s="352" t="s">
        <v>225</v>
      </c>
      <c r="B8" s="341">
        <f>IFERROR(__xludf.DUMMYFUNCTION("""COMPUTED_VALUE"""),2165.0)</f>
        <v>2165</v>
      </c>
      <c r="C8" s="353" t="str">
        <f>IFERROR(__xludf.DUMMYFUNCTION("""COMPUTED_VALUE"""),"DAWN")</f>
        <v>DAWN</v>
      </c>
      <c r="D8" s="380">
        <f>IFERROR(__xludf.DUMMYFUNCTION("""COMPUTED_VALUE"""),683909.9587048724)</f>
        <v>683909.9587</v>
      </c>
      <c r="E8" s="381">
        <f>IFERROR(__xludf.DUMMYFUNCTION("""COMPUTED_VALUE"""),49426.20377243232)</f>
        <v>49426.20377</v>
      </c>
      <c r="F8" s="381">
        <f>IFERROR(__xludf.DUMMYFUNCTION("""COMPUTED_VALUE"""),131966.45516022836)</f>
        <v>131966.4552</v>
      </c>
      <c r="G8" s="381">
        <f>IFERROR(__xludf.DUMMYFUNCTION("""COMPUTED_VALUE"""),14669.42510482591)</f>
        <v>14669.4251</v>
      </c>
      <c r="H8" s="381">
        <f>IFERROR(__xludf.DUMMYFUNCTION("""COMPUTED_VALUE"""),21547.857728514897)</f>
        <v>21547.85773</v>
      </c>
      <c r="I8" s="381">
        <f>IFERROR(__xludf.DUMMYFUNCTION("""COMPUTED_VALUE"""),1810.764660395568)</f>
        <v>1810.76466</v>
      </c>
      <c r="J8" s="382">
        <f>IFERROR(__xludf.DUMMYFUNCTION("""COMPUTED_VALUE"""),4593.362987270082)</f>
        <v>4593.362987</v>
      </c>
      <c r="K8" s="341"/>
      <c r="O8" s="304"/>
      <c r="P8" s="304"/>
      <c r="Q8" s="304"/>
      <c r="R8" s="304"/>
      <c r="S8" s="304"/>
      <c r="T8" s="304"/>
      <c r="U8" s="304"/>
      <c r="V8" s="304"/>
      <c r="W8" s="304"/>
      <c r="X8" s="304"/>
      <c r="Y8" s="304"/>
      <c r="Z8" s="304"/>
    </row>
    <row r="9" ht="15.75" customHeight="1">
      <c r="A9" s="352" t="s">
        <v>226</v>
      </c>
      <c r="B9" s="341">
        <f>IFERROR(__xludf.DUMMYFUNCTION("""COMPUTED_VALUE"""),1841.0)</f>
        <v>1841</v>
      </c>
      <c r="C9" s="353" t="str">
        <f>IFERROR(__xludf.DUMMYFUNCTION("""COMPUTED_VALUE"""),"MAR DEL NORTE")</f>
        <v>MAR DEL NORTE</v>
      </c>
      <c r="D9" s="380">
        <f>IFERROR(__xludf.DUMMYFUNCTION("""COMPUTED_VALUE"""),804957.0571491413)</f>
        <v>804957.0571</v>
      </c>
      <c r="E9" s="381">
        <f>IFERROR(__xludf.DUMMYFUNCTION("""COMPUTED_VALUE"""),122940.8322833373)</f>
        <v>122940.8323</v>
      </c>
      <c r="F9" s="381">
        <f>IFERROR(__xludf.DUMMYFUNCTION("""COMPUTED_VALUE"""),169906.52916047192)</f>
        <v>169906.5292</v>
      </c>
      <c r="G9" s="381">
        <f>IFERROR(__xludf.DUMMYFUNCTION("""COMPUTED_VALUE"""),20660.53682918778)</f>
        <v>20660.53683</v>
      </c>
      <c r="H9" s="381">
        <f>IFERROR(__xludf.DUMMYFUNCTION("""COMPUTED_VALUE"""),30348.176905966342)</f>
        <v>30348.17691</v>
      </c>
      <c r="I9" s="381">
        <f>IFERROR(__xludf.DUMMYFUNCTION("""COMPUTED_VALUE"""),2550.2955765312736)</f>
        <v>2550.295577</v>
      </c>
      <c r="J9" s="382">
        <f>IFERROR(__xludf.DUMMYFUNCTION("""COMPUTED_VALUE"""),6469.3295401945325)</f>
        <v>6469.32954</v>
      </c>
      <c r="K9" s="341"/>
      <c r="O9" s="304"/>
      <c r="P9" s="304"/>
      <c r="Q9" s="304"/>
      <c r="R9" s="304"/>
      <c r="S9" s="304"/>
      <c r="T9" s="304"/>
      <c r="U9" s="304"/>
      <c r="V9" s="304"/>
      <c r="W9" s="304"/>
      <c r="X9" s="304"/>
      <c r="Y9" s="304"/>
      <c r="Z9" s="304"/>
    </row>
    <row r="10" ht="15.75" customHeight="1">
      <c r="A10" s="352" t="s">
        <v>273</v>
      </c>
      <c r="B10" s="341">
        <f>IFERROR(__xludf.DUMMYFUNCTION("""COMPUTED_VALUE"""),4851.0)</f>
        <v>4851</v>
      </c>
      <c r="C10" s="353" t="str">
        <f>IFERROR(__xludf.DUMMYFUNCTION("""COMPUTED_VALUE"""),"PK FISH HOLDINGS")</f>
        <v>PK FISH HOLDINGS</v>
      </c>
      <c r="D10" s="380">
        <f>IFERROR(__xludf.DUMMYFUNCTION("""COMPUTED_VALUE"""),598945.9959241687)</f>
        <v>598945.9959</v>
      </c>
      <c r="E10" s="381">
        <f>IFERROR(__xludf.DUMMYFUNCTION("""COMPUTED_VALUE"""),97721.93227453646)</f>
        <v>97721.93227</v>
      </c>
      <c r="F10" s="381">
        <f>IFERROR(__xludf.DUMMYFUNCTION("""COMPUTED_VALUE"""),101156.81355304213)</f>
        <v>101156.8136</v>
      </c>
      <c r="G10" s="381">
        <f>IFERROR(__xludf.DUMMYFUNCTION("""COMPUTED_VALUE"""),15171.751073616811)</f>
        <v>15171.75107</v>
      </c>
      <c r="H10" s="381">
        <f>IFERROR(__xludf.DUMMYFUNCTION("""COMPUTED_VALUE"""),22285.722261821244)</f>
        <v>22285.72226</v>
      </c>
      <c r="I10" s="381">
        <f>IFERROR(__xludf.DUMMYFUNCTION("""COMPUTED_VALUE"""),1872.7707789575213)</f>
        <v>1872.770779</v>
      </c>
      <c r="J10" s="382">
        <f>IFERROR(__xludf.DUMMYFUNCTION("""COMPUTED_VALUE"""),4750.653780610692)</f>
        <v>4750.653781</v>
      </c>
      <c r="K10" s="341"/>
      <c r="O10" s="304"/>
      <c r="P10" s="304"/>
      <c r="Q10" s="304"/>
      <c r="R10" s="304"/>
      <c r="S10" s="304"/>
      <c r="T10" s="304"/>
      <c r="U10" s="304"/>
      <c r="V10" s="304"/>
      <c r="W10" s="304"/>
      <c r="X10" s="304"/>
      <c r="Y10" s="304"/>
      <c r="Z10" s="304"/>
    </row>
    <row r="11" ht="15.75" customHeight="1">
      <c r="A11" s="352" t="s">
        <v>228</v>
      </c>
      <c r="B11" s="341">
        <f>IFERROR(__xludf.DUMMYFUNCTION("""COMPUTED_VALUE"""),3665.0)</f>
        <v>3665</v>
      </c>
      <c r="C11" s="353" t="str">
        <f>IFERROR(__xludf.DUMMYFUNCTION("""COMPUTED_VALUE"""),"EVIE GRACE")</f>
        <v>EVIE GRACE</v>
      </c>
      <c r="D11" s="380">
        <f>IFERROR(__xludf.DUMMYFUNCTION("""COMPUTED_VALUE"""),1363376.8487946566)</f>
        <v>1363376.849</v>
      </c>
      <c r="E11" s="381">
        <f>IFERROR(__xludf.DUMMYFUNCTION("""COMPUTED_VALUE"""),208254.04339392736)</f>
        <v>208254.0434</v>
      </c>
      <c r="F11" s="381">
        <f>IFERROR(__xludf.DUMMYFUNCTION("""COMPUTED_VALUE"""),301639.3334909621)</f>
        <v>301639.3335</v>
      </c>
      <c r="G11" s="381">
        <f>IFERROR(__xludf.DUMMYFUNCTION("""COMPUTED_VALUE"""),35269.25788944682)</f>
        <v>35269.25789</v>
      </c>
      <c r="H11" s="381">
        <f>IFERROR(__xludf.DUMMYFUNCTION("""COMPUTED_VALUE"""),51806.866715048454)</f>
        <v>51806.86672</v>
      </c>
      <c r="I11" s="381">
        <f>IFERROR(__xludf.DUMMYFUNCTION("""COMPUTED_VALUE"""),4353.567050393675)</f>
        <v>4353.56705</v>
      </c>
      <c r="J11" s="382">
        <f>IFERROR(__xludf.DUMMYFUNCTION("""COMPUTED_VALUE"""),11043.684576607744)</f>
        <v>11043.68458</v>
      </c>
      <c r="K11" s="341"/>
      <c r="L11" s="342"/>
      <c r="M11" s="342"/>
      <c r="N11" s="304"/>
      <c r="O11" s="304"/>
      <c r="P11" s="304"/>
      <c r="Q11" s="304"/>
      <c r="R11" s="304"/>
      <c r="S11" s="304"/>
      <c r="T11" s="304"/>
      <c r="U11" s="304"/>
      <c r="V11" s="304"/>
      <c r="W11" s="304"/>
      <c r="X11" s="304"/>
      <c r="Y11" s="304"/>
      <c r="Z11" s="304"/>
    </row>
    <row r="12" ht="15.75" customHeight="1">
      <c r="A12" s="352" t="s">
        <v>229</v>
      </c>
      <c r="B12" s="341">
        <f>IFERROR(__xludf.DUMMYFUNCTION("""COMPUTED_VALUE"""),3496.0)</f>
        <v>3496</v>
      </c>
      <c r="C12" s="353" t="str">
        <f>IFERROR(__xludf.DUMMYFUNCTION("""COMPUTED_VALUE"""),"MiRoCo")</f>
        <v>MiRoCo</v>
      </c>
      <c r="D12" s="380">
        <f>IFERROR(__xludf.DUMMYFUNCTION("""COMPUTED_VALUE"""),528891.6374614651)</f>
        <v>528891.6375</v>
      </c>
      <c r="E12" s="381">
        <f>IFERROR(__xludf.DUMMYFUNCTION("""COMPUTED_VALUE"""),153714.27441902002)</f>
        <v>153714.2744</v>
      </c>
      <c r="F12" s="381">
        <f>IFERROR(__xludf.DUMMYFUNCTION("""COMPUTED_VALUE"""),258040.71069398173)</f>
        <v>258040.7107</v>
      </c>
      <c r="G12" s="381">
        <f>IFERROR(__xludf.DUMMYFUNCTION("""COMPUTED_VALUE"""),19973.46410953358)</f>
        <v>19973.46411</v>
      </c>
      <c r="H12" s="381">
        <f>IFERROR(__xludf.DUMMYFUNCTION("""COMPUTED_VALUE"""),29338.93863613244)</f>
        <v>29338.93864</v>
      </c>
      <c r="I12" s="381">
        <f>IFERROR(__xludf.DUMMYFUNCTION("""COMPUTED_VALUE"""),2465.4846864669853)</f>
        <v>2465.484686</v>
      </c>
      <c r="J12" s="382">
        <f>IFERROR(__xludf.DUMMYFUNCTION("""COMPUTED_VALUE"""),6254.189929918711)</f>
        <v>6254.18993</v>
      </c>
      <c r="K12" s="341"/>
      <c r="L12" s="342"/>
      <c r="M12" s="342"/>
      <c r="N12" s="304"/>
      <c r="O12" s="304"/>
      <c r="P12" s="304"/>
      <c r="Q12" s="304"/>
      <c r="R12" s="304"/>
      <c r="S12" s="304"/>
      <c r="T12" s="304"/>
      <c r="U12" s="304"/>
      <c r="V12" s="304"/>
      <c r="W12" s="304"/>
      <c r="X12" s="304"/>
      <c r="Y12" s="304"/>
      <c r="Z12" s="304"/>
    </row>
    <row r="13" ht="15.75" customHeight="1">
      <c r="A13" s="352" t="s">
        <v>230</v>
      </c>
      <c r="B13" s="341">
        <f>IFERROR(__xludf.DUMMYFUNCTION("""COMPUTED_VALUE"""),2319.0)</f>
        <v>2319</v>
      </c>
      <c r="C13" s="341" t="str">
        <f>IFERROR(__xludf.DUMMYFUNCTION("""COMPUTED_VALUE"""),"LAURA")</f>
        <v>LAURA</v>
      </c>
      <c r="D13" s="380">
        <f>IFERROR(__xludf.DUMMYFUNCTION("""COMPUTED_VALUE"""),528243.7012889942)</f>
        <v>528243.7013</v>
      </c>
      <c r="E13" s="381">
        <f>IFERROR(__xludf.DUMMYFUNCTION("""COMPUTED_VALUE"""),11802.920077630102)</f>
        <v>11802.92008</v>
      </c>
      <c r="F13" s="381">
        <f>IFERROR(__xludf.DUMMYFUNCTION("""COMPUTED_VALUE"""),35993.113342458775)</f>
        <v>35993.11334</v>
      </c>
      <c r="G13" s="381">
        <f>IFERROR(__xludf.DUMMYFUNCTION("""COMPUTED_VALUE"""),8759.262377965151)</f>
        <v>8759.262378</v>
      </c>
      <c r="H13" s="381">
        <f>IFERROR(__xludf.DUMMYFUNCTION("""COMPUTED_VALUE"""),12866.4441979416)</f>
        <v>12866.4442</v>
      </c>
      <c r="I13" s="381">
        <f>IFERROR(__xludf.DUMMYFUNCTION("""COMPUTED_VALUE"""),1081.22592752008)</f>
        <v>1081.225928</v>
      </c>
      <c r="J13" s="382">
        <f>IFERROR(__xludf.DUMMYFUNCTION("""COMPUTED_VALUE"""),2742.743585056801)</f>
        <v>2742.743585</v>
      </c>
      <c r="K13" s="341"/>
      <c r="M13" s="342"/>
      <c r="P13" s="304"/>
      <c r="Q13" s="304"/>
      <c r="R13" s="304"/>
      <c r="S13" s="304"/>
      <c r="T13" s="304"/>
      <c r="U13" s="304"/>
      <c r="V13" s="304"/>
      <c r="W13" s="304"/>
      <c r="X13" s="304"/>
      <c r="Y13" s="304"/>
      <c r="Z13" s="304"/>
    </row>
    <row r="14" ht="15.75" customHeight="1">
      <c r="A14" s="352" t="s">
        <v>231</v>
      </c>
      <c r="B14" s="341">
        <f>IFERROR(__xludf.DUMMYFUNCTION("""COMPUTED_VALUE"""),3600.0)</f>
        <v>3600</v>
      </c>
      <c r="C14" s="341" t="str">
        <f>IFERROR(__xludf.DUMMYFUNCTION("""COMPUTED_VALUE"""),"HICKORY WIND")</f>
        <v>HICKORY WIND</v>
      </c>
      <c r="D14" s="380">
        <f>IFERROR(__xludf.DUMMYFUNCTION("""COMPUTED_VALUE"""),450312.3757052102)</f>
        <v>450312.3757</v>
      </c>
      <c r="E14" s="381">
        <f>IFERROR(__xludf.DUMMYFUNCTION("""COMPUTED_VALUE"""),43663.14140952857)</f>
        <v>43663.14141</v>
      </c>
      <c r="F14" s="381">
        <f>IFERROR(__xludf.DUMMYFUNCTION("""COMPUTED_VALUE"""),52832.690197879936)</f>
        <v>52832.6902</v>
      </c>
      <c r="G14" s="381">
        <f>IFERROR(__xludf.DUMMYFUNCTION("""COMPUTED_VALUE"""),9517.215543566033)</f>
        <v>9517.215544</v>
      </c>
      <c r="H14" s="381">
        <f>IFERROR(__xludf.DUMMYFUNCTION("""COMPUTED_VALUE"""),13979.798461011686)</f>
        <v>13979.79846</v>
      </c>
      <c r="I14" s="381">
        <f>IFERROR(__xludf.DUMMYFUNCTION("""COMPUTED_VALUE"""),1174.7861588650364)</f>
        <v>1174.786159</v>
      </c>
      <c r="J14" s="382">
        <f>IFERROR(__xludf.DUMMYFUNCTION("""COMPUTED_VALUE"""),2980.077631352175)</f>
        <v>2980.077631</v>
      </c>
      <c r="K14" s="341"/>
      <c r="L14" s="383" t="s">
        <v>274</v>
      </c>
      <c r="M14" s="383" t="s">
        <v>5</v>
      </c>
      <c r="N14" s="383" t="s">
        <v>143</v>
      </c>
      <c r="O14" s="383" t="s">
        <v>144</v>
      </c>
      <c r="P14" s="383" t="s">
        <v>10</v>
      </c>
      <c r="Q14" s="384" t="s">
        <v>275</v>
      </c>
      <c r="R14" s="304"/>
      <c r="S14" s="304"/>
      <c r="T14" s="304"/>
      <c r="U14" s="304"/>
      <c r="V14" s="304"/>
      <c r="W14" s="304"/>
      <c r="X14" s="304"/>
      <c r="Y14" s="304"/>
      <c r="Z14" s="304"/>
    </row>
    <row r="15" ht="15.75" customHeight="1">
      <c r="A15" s="352" t="s">
        <v>231</v>
      </c>
      <c r="B15" s="341">
        <f>IFERROR(__xludf.DUMMYFUNCTION("""COMPUTED_VALUE"""),3896.0)</f>
        <v>3896</v>
      </c>
      <c r="C15" s="341" t="str">
        <f>IFERROR(__xludf.DUMMYFUNCTION("""COMPUTED_VALUE"""),"AMERICAN EAGLE")</f>
        <v>AMERICAN EAGLE</v>
      </c>
      <c r="D15" s="380">
        <f>IFERROR(__xludf.DUMMYFUNCTION("""COMPUTED_VALUE"""),1062292.17080659)</f>
        <v>1062292.171</v>
      </c>
      <c r="E15" s="381">
        <f>IFERROR(__xludf.DUMMYFUNCTION("""COMPUTED_VALUE"""),100560.0886765385)</f>
        <v>100560.0887</v>
      </c>
      <c r="F15" s="381">
        <f>IFERROR(__xludf.DUMMYFUNCTION("""COMPUTED_VALUE"""),153762.85078297305)</f>
        <v>153762.8508</v>
      </c>
      <c r="G15" s="381">
        <f>IFERROR(__xludf.DUMMYFUNCTION("""COMPUTED_VALUE"""),22911.347277596502)</f>
        <v>22911.34728</v>
      </c>
      <c r="H15" s="381">
        <f>IFERROR(__xludf.DUMMYFUNCTION("""COMPUTED_VALUE"""),33654.3830435341)</f>
        <v>33654.38304</v>
      </c>
      <c r="I15" s="381">
        <f>IFERROR(__xludf.DUMMYFUNCTION("""COMPUTED_VALUE"""),2828.1311418723317)</f>
        <v>2828.131142</v>
      </c>
      <c r="J15" s="382">
        <f>IFERROR(__xludf.DUMMYFUNCTION("""COMPUTED_VALUE"""),7174.114446978655)</f>
        <v>7174.114447</v>
      </c>
      <c r="K15" s="341"/>
      <c r="L15" s="385" t="s">
        <v>157</v>
      </c>
      <c r="M15" s="386">
        <f>D17</f>
        <v>8645187.122</v>
      </c>
      <c r="N15" s="386">
        <f t="shared" ref="N15:O15" si="1">G17</f>
        <v>205532.7324</v>
      </c>
      <c r="O15" s="386">
        <f t="shared" si="1"/>
        <v>301906.1787</v>
      </c>
      <c r="P15" s="386">
        <f t="shared" ref="P15:P19" si="3">SUM(M15:O15)</f>
        <v>9152626.033</v>
      </c>
      <c r="Q15" s="387">
        <f t="shared" ref="Q15:Q19" si="4">P15/$P$21</f>
        <v>0.2639057965</v>
      </c>
      <c r="R15" s="304"/>
      <c r="S15" s="304"/>
      <c r="T15" s="304"/>
      <c r="U15" s="304"/>
      <c r="V15" s="304"/>
      <c r="W15" s="304"/>
      <c r="X15" s="304"/>
      <c r="Y15" s="304"/>
      <c r="Z15" s="304"/>
    </row>
    <row r="16" ht="15.75" customHeight="1">
      <c r="A16" s="352" t="s">
        <v>232</v>
      </c>
      <c r="B16" s="341">
        <f>IFERROR(__xludf.DUMMYFUNCTION("""COMPUTED_VALUE"""),2565.0)</f>
        <v>2565</v>
      </c>
      <c r="C16" s="341" t="str">
        <f>IFERROR(__xludf.DUMMYFUNCTION("""COMPUTED_VALUE"""),"VANGUARD")</f>
        <v>VANGUARD</v>
      </c>
      <c r="D16" s="380">
        <f>IFERROR(__xludf.DUMMYFUNCTION("""COMPUTED_VALUE"""),1273039.5312066523)</f>
        <v>1273039.531</v>
      </c>
      <c r="E16" s="381">
        <f>IFERROR(__xludf.DUMMYFUNCTION("""COMPUTED_VALUE"""),17705.424324098574)</f>
        <v>17705.42432</v>
      </c>
      <c r="F16" s="381">
        <f>IFERROR(__xludf.DUMMYFUNCTION("""COMPUTED_VALUE"""),92889.22861924583)</f>
        <v>92889.22862</v>
      </c>
      <c r="G16" s="381">
        <f>IFERROR(__xludf.DUMMYFUNCTION("""COMPUTED_VALUE"""),20716.21044975692)</f>
        <v>20716.21045</v>
      </c>
      <c r="H16" s="381">
        <f>IFERROR(__xludf.DUMMYFUNCTION("""COMPUTED_VALUE"""),30429.955656441063)</f>
        <v>30429.95566</v>
      </c>
      <c r="I16" s="381">
        <f>IFERROR(__xludf.DUMMYFUNCTION("""COMPUTED_VALUE"""),2557.167817530664)</f>
        <v>2557.167818</v>
      </c>
      <c r="J16" s="382">
        <f>IFERROR(__xludf.DUMMYFUNCTION("""COMPUTED_VALUE"""),6486.762339793848)</f>
        <v>6486.76234</v>
      </c>
      <c r="K16" s="341"/>
      <c r="L16" s="385" t="s">
        <v>245</v>
      </c>
      <c r="M16" s="386">
        <f>D49</f>
        <v>6780001.933</v>
      </c>
      <c r="N16" s="386">
        <f t="shared" ref="N16:O16" si="2">G49</f>
        <v>181919.4138</v>
      </c>
      <c r="O16" s="386">
        <f t="shared" si="2"/>
        <v>267220.6728</v>
      </c>
      <c r="P16" s="386">
        <f t="shared" si="3"/>
        <v>7229142.019</v>
      </c>
      <c r="Q16" s="387">
        <f t="shared" si="4"/>
        <v>0.2084442734</v>
      </c>
      <c r="R16" s="304"/>
      <c r="S16" s="304"/>
      <c r="T16" s="304"/>
      <c r="U16" s="304"/>
      <c r="V16" s="304"/>
      <c r="W16" s="304"/>
      <c r="X16" s="304"/>
      <c r="Y16" s="304"/>
      <c r="Z16" s="304"/>
    </row>
    <row r="17" ht="15.75" customHeight="1">
      <c r="A17" s="362" t="s">
        <v>233</v>
      </c>
      <c r="B17" s="363">
        <v>11.0</v>
      </c>
      <c r="C17" s="388" t="s">
        <v>117</v>
      </c>
      <c r="D17" s="389">
        <f t="shared" ref="D17:J17" si="5">SUM(D6:D16)</f>
        <v>8645187.122</v>
      </c>
      <c r="E17" s="390">
        <f t="shared" si="5"/>
        <v>1045550.826</v>
      </c>
      <c r="F17" s="390">
        <f t="shared" si="5"/>
        <v>1664235.767</v>
      </c>
      <c r="G17" s="390">
        <f t="shared" si="5"/>
        <v>205532.7324</v>
      </c>
      <c r="H17" s="390">
        <f t="shared" si="5"/>
        <v>301906.1787</v>
      </c>
      <c r="I17" s="390">
        <f t="shared" si="5"/>
        <v>25370.55173</v>
      </c>
      <c r="J17" s="391">
        <f t="shared" si="5"/>
        <v>64357.42636</v>
      </c>
      <c r="K17" s="357"/>
      <c r="L17" s="385" t="s">
        <v>193</v>
      </c>
      <c r="M17" s="386">
        <f>D34</f>
        <v>5491597.991</v>
      </c>
      <c r="N17" s="386">
        <f t="shared" ref="N17:O17" si="6">G34</f>
        <v>133290.0354</v>
      </c>
      <c r="O17" s="386">
        <f t="shared" si="6"/>
        <v>195789.1804</v>
      </c>
      <c r="P17" s="386">
        <f t="shared" si="3"/>
        <v>5820677.206</v>
      </c>
      <c r="Q17" s="387">
        <f t="shared" si="4"/>
        <v>0.1678327563</v>
      </c>
      <c r="R17" s="359"/>
      <c r="S17" s="359"/>
      <c r="T17" s="359"/>
      <c r="U17" s="359"/>
      <c r="V17" s="359"/>
      <c r="W17" s="359"/>
      <c r="X17" s="359"/>
      <c r="Y17" s="359"/>
      <c r="Z17" s="359"/>
    </row>
    <row r="18" ht="15.75" customHeight="1">
      <c r="A18" s="341"/>
      <c r="B18" s="341"/>
      <c r="C18" s="341"/>
      <c r="D18" s="341"/>
      <c r="E18" s="341"/>
      <c r="F18" s="341"/>
      <c r="G18" s="341"/>
      <c r="H18" s="341"/>
      <c r="I18" s="341"/>
      <c r="J18" s="341"/>
      <c r="K18" s="341"/>
      <c r="L18" s="385" t="s">
        <v>89</v>
      </c>
      <c r="M18" s="386">
        <f>D70</f>
        <v>11724976.27</v>
      </c>
      <c r="N18" s="386">
        <f t="shared" ref="N18:O18" si="7">G70</f>
        <v>305396.3938</v>
      </c>
      <c r="O18" s="386">
        <f t="shared" si="7"/>
        <v>448595.4969</v>
      </c>
      <c r="P18" s="386">
        <f t="shared" si="3"/>
        <v>12478968.16</v>
      </c>
      <c r="Q18" s="387">
        <f t="shared" si="4"/>
        <v>0.3598171738</v>
      </c>
      <c r="R18" s="304"/>
      <c r="S18" s="304"/>
      <c r="T18" s="304"/>
      <c r="U18" s="304"/>
      <c r="V18" s="304"/>
      <c r="W18" s="304"/>
      <c r="X18" s="304"/>
      <c r="Y18" s="304"/>
      <c r="Z18" s="304"/>
    </row>
    <row r="19" ht="15.75" customHeight="1">
      <c r="A19" s="341"/>
      <c r="B19" s="341"/>
      <c r="C19" s="341"/>
      <c r="D19" s="341"/>
      <c r="E19" s="341"/>
      <c r="F19" s="341"/>
      <c r="G19" s="341"/>
      <c r="H19" s="341"/>
      <c r="I19" s="341"/>
      <c r="J19" s="341"/>
      <c r="K19" s="341"/>
      <c r="L19" s="383" t="s">
        <v>117</v>
      </c>
      <c r="M19" s="392">
        <f t="shared" ref="M19:O19" si="8">SUM(M15:M18)</f>
        <v>32641763.31</v>
      </c>
      <c r="N19" s="392">
        <f t="shared" si="8"/>
        <v>826138.5754</v>
      </c>
      <c r="O19" s="392">
        <f t="shared" si="8"/>
        <v>1213511.529</v>
      </c>
      <c r="P19" s="392">
        <f t="shared" si="3"/>
        <v>34681413.42</v>
      </c>
      <c r="Q19" s="387">
        <f t="shared" si="4"/>
        <v>1</v>
      </c>
      <c r="R19" s="304"/>
      <c r="S19" s="304"/>
      <c r="T19" s="304"/>
      <c r="U19" s="304"/>
      <c r="V19" s="304"/>
      <c r="W19" s="304"/>
      <c r="X19" s="304"/>
      <c r="Y19" s="304"/>
      <c r="Z19" s="304"/>
    </row>
    <row r="20" ht="15.75" customHeight="1">
      <c r="A20" s="338" t="s">
        <v>158</v>
      </c>
      <c r="B20" s="341"/>
      <c r="C20" s="341"/>
      <c r="D20" s="341"/>
      <c r="E20" s="341"/>
      <c r="F20" s="341"/>
      <c r="G20" s="341"/>
      <c r="H20" s="341"/>
      <c r="I20" s="341"/>
      <c r="J20" s="341"/>
      <c r="K20" s="341"/>
      <c r="L20" s="385"/>
      <c r="M20" s="385"/>
      <c r="N20" s="385"/>
      <c r="O20" s="385"/>
      <c r="P20" s="385"/>
      <c r="Q20" s="304"/>
      <c r="R20" s="304"/>
      <c r="S20" s="304"/>
      <c r="T20" s="304"/>
      <c r="U20" s="304"/>
      <c r="V20" s="304"/>
      <c r="W20" s="304"/>
      <c r="X20" s="304"/>
      <c r="Y20" s="304"/>
      <c r="Z20" s="304"/>
    </row>
    <row r="21" ht="15.75" customHeight="1">
      <c r="A21" s="339" t="s">
        <v>218</v>
      </c>
      <c r="B21" s="28"/>
      <c r="C21" s="29"/>
      <c r="D21" s="340" t="s">
        <v>269</v>
      </c>
      <c r="E21" s="28"/>
      <c r="F21" s="28"/>
      <c r="G21" s="28"/>
      <c r="H21" s="28"/>
      <c r="I21" s="28"/>
      <c r="J21" s="29"/>
      <c r="K21" s="341"/>
      <c r="L21" s="383" t="s">
        <v>113</v>
      </c>
      <c r="M21" s="392">
        <f>'CV Coop LLP Primary Alloc'!G3</f>
        <v>32641763.31</v>
      </c>
      <c r="N21" s="392">
        <f>'CV Secondary &amp; PSC Alloc'!B13</f>
        <v>826138.5754</v>
      </c>
      <c r="O21" s="392">
        <f>'CV Secondary &amp; PSC Alloc'!B14</f>
        <v>1213511.529</v>
      </c>
      <c r="P21" s="392">
        <f>SUM(M21:O21)</f>
        <v>34681413.42</v>
      </c>
      <c r="Q21" s="304"/>
      <c r="R21" s="304"/>
      <c r="S21" s="304"/>
      <c r="T21" s="304"/>
      <c r="U21" s="304"/>
      <c r="V21" s="304"/>
      <c r="W21" s="304"/>
      <c r="X21" s="304"/>
      <c r="Y21" s="304"/>
      <c r="Z21" s="304"/>
    </row>
    <row r="22" ht="15.75" customHeight="1">
      <c r="A22" s="343" t="s">
        <v>220</v>
      </c>
      <c r="B22" s="344" t="s">
        <v>221</v>
      </c>
      <c r="C22" s="345" t="s">
        <v>17</v>
      </c>
      <c r="D22" s="344" t="s">
        <v>5</v>
      </c>
      <c r="E22" s="344" t="s">
        <v>174</v>
      </c>
      <c r="F22" s="344" t="s">
        <v>8</v>
      </c>
      <c r="G22" s="344" t="s">
        <v>222</v>
      </c>
      <c r="H22" s="344" t="s">
        <v>271</v>
      </c>
      <c r="I22" s="344" t="s">
        <v>272</v>
      </c>
      <c r="J22" s="345" t="s">
        <v>133</v>
      </c>
      <c r="K22" s="341"/>
      <c r="L22" s="385"/>
      <c r="M22" s="385"/>
      <c r="N22" s="385"/>
      <c r="O22" s="385"/>
      <c r="P22" s="304"/>
      <c r="Q22" s="304"/>
      <c r="R22" s="304"/>
      <c r="S22" s="304"/>
      <c r="T22" s="304"/>
      <c r="U22" s="304"/>
      <c r="V22" s="304"/>
      <c r="W22" s="304"/>
      <c r="X22" s="304"/>
      <c r="Y22" s="304"/>
      <c r="Z22" s="304"/>
    </row>
    <row r="23" ht="15.75" customHeight="1">
      <c r="A23" s="352" t="s">
        <v>234</v>
      </c>
      <c r="B23" s="347">
        <f>IFERROR(__xludf.DUMMYFUNCTION("IMPORTRANGE(""https://docs.google.com/spreadsheets/d/1fpr4iXJjYPIWfqLVGaDLSDFHokxxaVbtvYkSxFtDSHM/edit#gid=1391174979"", ""'CV Coop LLP Primary Alloc'!A29:B39"")"),2487.0)</f>
        <v>2487</v>
      </c>
      <c r="C23" s="348" t="str">
        <f>IFERROR(__xludf.DUMMYFUNCTION("""COMPUTED_VALUE"""),"NICHOLE")</f>
        <v>NICHOLE</v>
      </c>
      <c r="D23" s="376">
        <f>IFERROR(__xludf.DUMMYFUNCTION("IMPORTRANGE(""https://docs.google.com/spreadsheets/d/1fpr4iXJjYPIWfqLVGaDLSDFHokxxaVbtvYkSxFtDSHM/edit#gid=1391174979"", ""'CV Coop LLP Primary Alloc'!K29:M39"")"),732175.4912703194)</f>
        <v>732175.4913</v>
      </c>
      <c r="E23" s="377">
        <f>IFERROR(__xludf.DUMMYFUNCTION("""COMPUTED_VALUE"""),128005.56069709842)</f>
        <v>128005.5607</v>
      </c>
      <c r="F23" s="377">
        <f>IFERROR(__xludf.DUMMYFUNCTION("""COMPUTED_VALUE"""),318935.3264430765)</f>
        <v>318935.3264</v>
      </c>
      <c r="G23" s="377">
        <f>IFERROR(__xludf.DUMMYFUNCTION("IMPORTRANGE(""https://docs.google.com/spreadsheets/d/1fpr4iXJjYPIWfqLVGaDLSDFHokxxaVbtvYkSxFtDSHM/edit#gid=1392452204"", ""'CV Secondary &amp; PSC Alloc'!H40:K50"")"),22825.83777319392)</f>
        <v>22825.83777</v>
      </c>
      <c r="H23" s="377">
        <f>IFERROR(__xludf.DUMMYFUNCTION("""COMPUTED_VALUE"""),33528.77848697268)</f>
        <v>33528.77849</v>
      </c>
      <c r="I23" s="377">
        <f>IFERROR(__xludf.DUMMYFUNCTION("""COMPUTED_VALUE"""),2817.57601871013)</f>
        <v>2817.576019</v>
      </c>
      <c r="J23" s="379">
        <f>IFERROR(__xludf.DUMMYFUNCTION("""COMPUTED_VALUE"""),7147.339287776717)</f>
        <v>7147.339288</v>
      </c>
      <c r="K23" s="341"/>
      <c r="L23" s="342"/>
      <c r="M23" s="342"/>
      <c r="N23" s="304"/>
      <c r="O23" s="304"/>
      <c r="P23" s="304"/>
      <c r="Q23" s="304"/>
      <c r="R23" s="304"/>
      <c r="S23" s="304"/>
      <c r="T23" s="304"/>
      <c r="U23" s="304"/>
      <c r="V23" s="304"/>
      <c r="W23" s="304"/>
      <c r="X23" s="304"/>
      <c r="Y23" s="304"/>
      <c r="Z23" s="304"/>
    </row>
    <row r="24" ht="15.75" customHeight="1">
      <c r="A24" s="352" t="s">
        <v>235</v>
      </c>
      <c r="B24" s="341">
        <f>IFERROR(__xludf.DUMMYFUNCTION("""COMPUTED_VALUE"""),1541.0)</f>
        <v>1541</v>
      </c>
      <c r="C24" s="353" t="str">
        <f>IFERROR(__xludf.DUMMYFUNCTION("""COMPUTED_VALUE"""),"SEA MAC - MAGIC")</f>
        <v>SEA MAC - MAGIC</v>
      </c>
      <c r="D24" s="380">
        <f>IFERROR(__xludf.DUMMYFUNCTION("""COMPUTED_VALUE"""),604651.7512364064)</f>
        <v>604651.7512</v>
      </c>
      <c r="E24" s="381">
        <f>IFERROR(__xludf.DUMMYFUNCTION("""COMPUTED_VALUE"""),15588.092497620579)</f>
        <v>15588.0925</v>
      </c>
      <c r="F24" s="381">
        <f>IFERROR(__xludf.DUMMYFUNCTION("""COMPUTED_VALUE"""),30769.598286948247)</f>
        <v>30769.59829</v>
      </c>
      <c r="G24" s="381">
        <f>IFERROR(__xludf.DUMMYFUNCTION("""COMPUTED_VALUE"""),9919.225767642482)</f>
        <v>9919.225768</v>
      </c>
      <c r="H24" s="381">
        <f>IFERROR(__xludf.DUMMYFUNCTION("""COMPUTED_VALUE"""),14570.309612737596)</f>
        <v>14570.30961</v>
      </c>
      <c r="I24" s="381">
        <f>IFERROR(__xludf.DUMMYFUNCTION("""COMPUTED_VALUE"""),1224.409501407333)</f>
        <v>1224.409501</v>
      </c>
      <c r="J24" s="382">
        <f>IFERROR(__xludf.DUMMYFUNCTION("""COMPUTED_VALUE"""),3105.9570622488523)</f>
        <v>3105.957062</v>
      </c>
      <c r="K24" s="341"/>
      <c r="L24" s="342"/>
      <c r="M24" s="342"/>
      <c r="N24" s="304"/>
      <c r="O24" s="304"/>
      <c r="P24" s="304"/>
      <c r="Q24" s="304"/>
      <c r="R24" s="304"/>
      <c r="S24" s="304"/>
      <c r="T24" s="304"/>
      <c r="U24" s="304"/>
      <c r="V24" s="304"/>
      <c r="W24" s="304"/>
      <c r="X24" s="304"/>
      <c r="Y24" s="304"/>
      <c r="Z24" s="304"/>
    </row>
    <row r="25" ht="15.75" customHeight="1">
      <c r="A25" s="352" t="s">
        <v>236</v>
      </c>
      <c r="B25" s="341">
        <f>IFERROR(__xludf.DUMMYFUNCTION("""COMPUTED_VALUE"""),3785.0)</f>
        <v>3785</v>
      </c>
      <c r="C25" s="353" t="str">
        <f>IFERROR(__xludf.DUMMYFUNCTION("""COMPUTED_VALUE"""),"SEA MAC ")</f>
        <v>SEA MAC </v>
      </c>
      <c r="D25" s="380">
        <f>IFERROR(__xludf.DUMMYFUNCTION("""COMPUTED_VALUE"""),277608.28029651556)</f>
        <v>277608.2803</v>
      </c>
      <c r="E25" s="381">
        <f>IFERROR(__xludf.DUMMYFUNCTION("""COMPUTED_VALUE"""),38379.29003588003)</f>
        <v>38379.29004</v>
      </c>
      <c r="F25" s="381">
        <f>IFERROR(__xludf.DUMMYFUNCTION("""COMPUTED_VALUE"""),62674.01649403903)</f>
        <v>62674.01649</v>
      </c>
      <c r="G25" s="381">
        <f>IFERROR(__xludf.DUMMYFUNCTION("""COMPUTED_VALUE"""),7013.312369243585)</f>
        <v>7013.312369</v>
      </c>
      <c r="H25" s="381">
        <f>IFERROR(__xludf.DUMMYFUNCTION("""COMPUTED_VALUE"""),10301.825467473762)</f>
        <v>10301.82547</v>
      </c>
      <c r="I25" s="381">
        <f>IFERROR(__xludf.DUMMYFUNCTION("""COMPUTED_VALUE"""),865.7093307878548)</f>
        <v>865.7093308</v>
      </c>
      <c r="J25" s="382">
        <f>IFERROR(__xludf.DUMMYFUNCTION("""COMPUTED_VALUE"""),2196.0430776833255)</f>
        <v>2196.043078</v>
      </c>
      <c r="K25" s="341"/>
      <c r="L25" s="342"/>
      <c r="M25" s="342"/>
      <c r="N25" s="304"/>
      <c r="O25" s="304"/>
      <c r="P25" s="304"/>
      <c r="Q25" s="304"/>
      <c r="R25" s="304"/>
      <c r="S25" s="304"/>
      <c r="T25" s="304"/>
      <c r="U25" s="304"/>
      <c r="V25" s="304"/>
      <c r="W25" s="304"/>
      <c r="X25" s="304"/>
      <c r="Y25" s="304"/>
      <c r="Z25" s="304"/>
    </row>
    <row r="26" ht="15.75" customHeight="1">
      <c r="A26" s="352" t="s">
        <v>237</v>
      </c>
      <c r="B26" s="341">
        <f>IFERROR(__xludf.DUMMYFUNCTION("""COMPUTED_VALUE"""),2653.0)</f>
        <v>2653</v>
      </c>
      <c r="C26" s="353" t="str">
        <f>IFERROR(__xludf.DUMMYFUNCTION("""COMPUTED_VALUE"""),"SEA MAC 2653")</f>
        <v>SEA MAC 2653</v>
      </c>
      <c r="D26" s="380">
        <f>IFERROR(__xludf.DUMMYFUNCTION("""COMPUTED_VALUE"""),105979.72629250184)</f>
        <v>105979.7263</v>
      </c>
      <c r="E26" s="381">
        <f>IFERROR(__xludf.DUMMYFUNCTION("""COMPUTED_VALUE"""),37.43082819190992)</f>
        <v>37.43082819</v>
      </c>
      <c r="F26" s="381">
        <f>IFERROR(__xludf.DUMMYFUNCTION("""COMPUTED_VALUE"""),2958.151686318818)</f>
        <v>2958.151686</v>
      </c>
      <c r="G26" s="381">
        <f>IFERROR(__xludf.DUMMYFUNCTION("""COMPUTED_VALUE"""),1561.110815150801)</f>
        <v>1561.110815</v>
      </c>
      <c r="H26" s="381">
        <f>IFERROR(__xludf.DUMMYFUNCTION("""COMPUTED_VALUE"""),2293.1092052304793)</f>
        <v>2293.109205</v>
      </c>
      <c r="I26" s="381">
        <f>IFERROR(__xludf.DUMMYFUNCTION("""COMPUTED_VALUE"""),192.70041428593092)</f>
        <v>192.7004143</v>
      </c>
      <c r="J26" s="382">
        <f>IFERROR(__xludf.DUMMYFUNCTION("""COMPUTED_VALUE"""),488.8227443202053)</f>
        <v>488.8227443</v>
      </c>
      <c r="K26" s="341"/>
      <c r="L26" s="342"/>
      <c r="M26" s="342"/>
      <c r="N26" s="304"/>
      <c r="O26" s="304"/>
      <c r="P26" s="304"/>
      <c r="Q26" s="304"/>
      <c r="R26" s="304"/>
      <c r="S26" s="304"/>
      <c r="T26" s="304"/>
      <c r="U26" s="304"/>
      <c r="V26" s="304"/>
      <c r="W26" s="304"/>
      <c r="X26" s="304"/>
      <c r="Y26" s="304"/>
      <c r="Z26" s="304"/>
    </row>
    <row r="27" ht="15.75" customHeight="1">
      <c r="A27" s="352" t="s">
        <v>238</v>
      </c>
      <c r="B27" s="341">
        <f>IFERROR(__xludf.DUMMYFUNCTION("""COMPUTED_VALUE"""),2973.0)</f>
        <v>2973</v>
      </c>
      <c r="C27" s="353" t="str">
        <f>IFERROR(__xludf.DUMMYFUNCTION("""COMPUTED_VALUE"""),"CARAVELLE")</f>
        <v>CARAVELLE</v>
      </c>
      <c r="D27" s="380">
        <f>IFERROR(__xludf.DUMMYFUNCTION("""COMPUTED_VALUE"""),686460.3573417688)</f>
        <v>686460.3573</v>
      </c>
      <c r="E27" s="381">
        <f>IFERROR(__xludf.DUMMYFUNCTION("""COMPUTED_VALUE"""),140061.98226351323)</f>
        <v>140061.9823</v>
      </c>
      <c r="F27" s="381">
        <f>IFERROR(__xludf.DUMMYFUNCTION("""COMPUTED_VALUE"""),240453.14016731898)</f>
        <v>240453.1402</v>
      </c>
      <c r="G27" s="381">
        <f>IFERROR(__xludf.DUMMYFUNCTION("""COMPUTED_VALUE"""),21201.5038496979)</f>
        <v>21201.50385</v>
      </c>
      <c r="H27" s="381">
        <f>IFERROR(__xludf.DUMMYFUNCTION("""COMPUTED_VALUE"""),31142.801119967466)</f>
        <v>31142.80112</v>
      </c>
      <c r="I27" s="381">
        <f>IFERROR(__xludf.DUMMYFUNCTION("""COMPUTED_VALUE"""),2617.071469668146)</f>
        <v>2617.07147</v>
      </c>
      <c r="J27" s="382">
        <f>IFERROR(__xludf.DUMMYFUNCTION("""COMPUTED_VALUE"""),6638.719810882611)</f>
        <v>6638.719811</v>
      </c>
      <c r="K27" s="341"/>
      <c r="L27" s="342"/>
      <c r="M27" s="342"/>
      <c r="N27" s="304"/>
      <c r="O27" s="304"/>
      <c r="P27" s="304"/>
      <c r="Q27" s="304"/>
      <c r="R27" s="304"/>
      <c r="S27" s="304"/>
      <c r="T27" s="304"/>
      <c r="U27" s="304"/>
      <c r="V27" s="304"/>
      <c r="W27" s="304"/>
      <c r="X27" s="304"/>
      <c r="Y27" s="304"/>
      <c r="Z27" s="304"/>
    </row>
    <row r="28" ht="15.75" customHeight="1">
      <c r="A28" s="352" t="s">
        <v>239</v>
      </c>
      <c r="B28" s="341">
        <f>IFERROR(__xludf.DUMMYFUNCTION("""COMPUTED_VALUE"""),2535.0)</f>
        <v>2535</v>
      </c>
      <c r="C28" s="353" t="str">
        <f>IFERROR(__xludf.DUMMYFUNCTION("""COMPUTED_VALUE"""),"TOPAZ")</f>
        <v>TOPAZ</v>
      </c>
      <c r="D28" s="380">
        <f>IFERROR(__xludf.DUMMYFUNCTION("""COMPUTED_VALUE"""),1078314.8543931672)</f>
        <v>1078314.854</v>
      </c>
      <c r="E28" s="381">
        <f>IFERROR(__xludf.DUMMYFUNCTION("""COMPUTED_VALUE"""),215804.62861215897)</f>
        <v>215804.6286</v>
      </c>
      <c r="F28" s="381">
        <f>IFERROR(__xludf.DUMMYFUNCTION("""COMPUTED_VALUE"""),412237.42890788283)</f>
        <v>412237.4289</v>
      </c>
      <c r="G28" s="381">
        <f>IFERROR(__xludf.DUMMYFUNCTION("""COMPUTED_VALUE"""),33786.30738345534)</f>
        <v>33786.30738</v>
      </c>
      <c r="H28" s="381">
        <f>IFERROR(__xludf.DUMMYFUNCTION("""COMPUTED_VALUE"""),49628.566863950604)</f>
        <v>49628.56686</v>
      </c>
      <c r="I28" s="381">
        <f>IFERROR(__xludf.DUMMYFUNCTION("""COMPUTED_VALUE"""),4170.514589225195)</f>
        <v>4170.514589</v>
      </c>
      <c r="J28" s="382">
        <f>IFERROR(__xludf.DUMMYFUNCTION("""COMPUTED_VALUE"""),10579.335775104013)</f>
        <v>10579.33578</v>
      </c>
      <c r="K28" s="341"/>
      <c r="L28" s="342"/>
      <c r="M28" s="342"/>
      <c r="N28" s="304"/>
      <c r="O28" s="304"/>
      <c r="P28" s="304"/>
      <c r="Q28" s="304"/>
      <c r="R28" s="304"/>
      <c r="S28" s="304"/>
      <c r="T28" s="304"/>
      <c r="U28" s="304"/>
      <c r="V28" s="304"/>
      <c r="W28" s="304"/>
      <c r="X28" s="304"/>
      <c r="Y28" s="304"/>
      <c r="Z28" s="304"/>
    </row>
    <row r="29" ht="15.75" customHeight="1">
      <c r="A29" s="352" t="s">
        <v>240</v>
      </c>
      <c r="B29" s="341">
        <f>IFERROR(__xludf.DUMMYFUNCTION("""COMPUTED_VALUE"""),1590.0)</f>
        <v>1590</v>
      </c>
      <c r="C29" s="353" t="str">
        <f>IFERROR(__xludf.DUMMYFUNCTION("""COMPUTED_VALUE"""),"ALASKA BEAUTY")</f>
        <v>ALASKA BEAUTY</v>
      </c>
      <c r="D29" s="380">
        <f>IFERROR(__xludf.DUMMYFUNCTION("""COMPUTED_VALUE"""),559844.0543655228)</f>
        <v>559844.0544</v>
      </c>
      <c r="E29" s="381">
        <f>IFERROR(__xludf.DUMMYFUNCTION("""COMPUTED_VALUE"""),54077.586602769494)</f>
        <v>54077.5866</v>
      </c>
      <c r="F29" s="381">
        <f>IFERROR(__xludf.DUMMYFUNCTION("""COMPUTED_VALUE"""),120861.2372709266)</f>
        <v>120861.2373</v>
      </c>
      <c r="G29" s="381">
        <f>IFERROR(__xludf.DUMMYFUNCTION("""COMPUTED_VALUE"""),12915.617465970055)</f>
        <v>12915.61747</v>
      </c>
      <c r="H29" s="381">
        <f>IFERROR(__xludf.DUMMYFUNCTION("""COMPUTED_VALUE"""),18971.696957714394)</f>
        <v>18971.69696</v>
      </c>
      <c r="I29" s="381">
        <f>IFERROR(__xludf.DUMMYFUNCTION("""COMPUTED_VALUE"""),1594.2781334268163)</f>
        <v>1594.278133</v>
      </c>
      <c r="J29" s="382">
        <f>IFERROR(__xludf.DUMMYFUNCTION("""COMPUTED_VALUE"""),4044.202059861835)</f>
        <v>4044.20206</v>
      </c>
      <c r="K29" s="341"/>
      <c r="L29" s="342"/>
      <c r="M29" s="342"/>
      <c r="N29" s="304"/>
      <c r="O29" s="304"/>
      <c r="P29" s="304"/>
      <c r="Q29" s="304"/>
      <c r="R29" s="304"/>
      <c r="S29" s="304"/>
      <c r="T29" s="304"/>
      <c r="U29" s="304"/>
      <c r="V29" s="304"/>
      <c r="W29" s="304"/>
      <c r="X29" s="304"/>
      <c r="Y29" s="304"/>
      <c r="Z29" s="304"/>
    </row>
    <row r="30" ht="15.75" customHeight="1">
      <c r="A30" s="352" t="s">
        <v>241</v>
      </c>
      <c r="B30" s="341">
        <f>IFERROR(__xludf.DUMMYFUNCTION("""COMPUTED_VALUE"""),2148.0)</f>
        <v>2148</v>
      </c>
      <c r="C30" s="353" t="str">
        <f>IFERROR(__xludf.DUMMYFUNCTION("""COMPUTED_VALUE"""),"CAPT'N ART")</f>
        <v>CAPT'N ART</v>
      </c>
      <c r="D30" s="380">
        <f>IFERROR(__xludf.DUMMYFUNCTION("""COMPUTED_VALUE"""),183502.48758953033)</f>
        <v>183502.4876</v>
      </c>
      <c r="E30" s="381">
        <f>IFERROR(__xludf.DUMMYFUNCTION("""COMPUTED_VALUE"""),760.3438190227882)</f>
        <v>760.343819</v>
      </c>
      <c r="F30" s="381">
        <f>IFERROR(__xludf.DUMMYFUNCTION("""COMPUTED_VALUE"""),2023.1595972668063)</f>
        <v>2023.159597</v>
      </c>
      <c r="G30" s="381">
        <f>IFERROR(__xludf.DUMMYFUNCTION("""COMPUTED_VALUE"""),2674.9915151582018)</f>
        <v>2674.991515</v>
      </c>
      <c r="H30" s="381">
        <f>IFERROR(__xludf.DUMMYFUNCTION("""COMPUTED_VALUE"""),3929.2839481931073)</f>
        <v>3929.283948</v>
      </c>
      <c r="I30" s="381">
        <f>IFERROR(__xludf.DUMMYFUNCTION("""COMPUTED_VALUE"""),330.1956326095542)</f>
        <v>330.1956326</v>
      </c>
      <c r="J30" s="382">
        <f>IFERROR(__xludf.DUMMYFUNCTION("""COMPUTED_VALUE"""),837.6065816612669)</f>
        <v>837.6065817</v>
      </c>
      <c r="K30" s="341"/>
      <c r="L30" s="342"/>
      <c r="M30" s="342"/>
      <c r="N30" s="304"/>
      <c r="O30" s="304"/>
      <c r="P30" s="304"/>
      <c r="Q30" s="304"/>
      <c r="R30" s="304"/>
      <c r="S30" s="304"/>
      <c r="T30" s="304"/>
      <c r="U30" s="304"/>
      <c r="V30" s="304"/>
      <c r="W30" s="304"/>
      <c r="X30" s="304"/>
      <c r="Y30" s="304"/>
      <c r="Z30" s="304"/>
    </row>
    <row r="31" ht="15.75" customHeight="1">
      <c r="A31" s="352" t="s">
        <v>242</v>
      </c>
      <c r="B31" s="341">
        <f>IFERROR(__xludf.DUMMYFUNCTION("""COMPUTED_VALUE"""),1755.0)</f>
        <v>1755</v>
      </c>
      <c r="C31" s="353" t="str">
        <f>IFERROR(__xludf.DUMMYFUNCTION("""COMPUTED_VALUE"""),"ENTERPRISE")</f>
        <v>ENTERPRISE</v>
      </c>
      <c r="D31" s="380">
        <f>IFERROR(__xludf.DUMMYFUNCTION("""COMPUTED_VALUE"""),90878.62446592943)</f>
        <v>90878.62447</v>
      </c>
      <c r="E31" s="381">
        <f>IFERROR(__xludf.DUMMYFUNCTION("""COMPUTED_VALUE"""),9820.532009440536)</f>
        <v>9820.532009</v>
      </c>
      <c r="F31" s="381">
        <f>IFERROR(__xludf.DUMMYFUNCTION("""COMPUTED_VALUE"""),9154.369530522961)</f>
        <v>9154.369531</v>
      </c>
      <c r="G31" s="381">
        <f>IFERROR(__xludf.DUMMYFUNCTION("""COMPUTED_VALUE"""),1939.1860815534844)</f>
        <v>1939.186082</v>
      </c>
      <c r="H31" s="381">
        <f>IFERROR(__xludf.DUMMYFUNCTION("""COMPUTED_VALUE"""),2848.46239684501)</f>
        <v>2848.462397</v>
      </c>
      <c r="I31" s="381">
        <f>IFERROR(__xludf.DUMMYFUNCTION("""COMPUTED_VALUE"""),239.36927325480758)</f>
        <v>239.3692733</v>
      </c>
      <c r="J31" s="382">
        <f>IFERROR(__xludf.DUMMYFUNCTION("""COMPUTED_VALUE"""),607.2075428168449)</f>
        <v>607.2075428</v>
      </c>
      <c r="K31" s="341"/>
      <c r="L31" s="342"/>
      <c r="M31" s="342"/>
      <c r="N31" s="304"/>
      <c r="O31" s="304"/>
      <c r="P31" s="304"/>
      <c r="Q31" s="304"/>
      <c r="R31" s="304"/>
      <c r="S31" s="304"/>
      <c r="T31" s="304"/>
      <c r="U31" s="304"/>
      <c r="V31" s="304"/>
      <c r="W31" s="304"/>
      <c r="X31" s="304"/>
      <c r="Y31" s="304"/>
      <c r="Z31" s="304"/>
    </row>
    <row r="32" ht="15.75" customHeight="1">
      <c r="A32" s="352" t="s">
        <v>243</v>
      </c>
      <c r="B32" s="341">
        <f>IFERROR(__xludf.DUMMYFUNCTION("""COMPUTED_VALUE"""),3764.0)</f>
        <v>3764</v>
      </c>
      <c r="C32" s="353" t="str">
        <f>IFERROR(__xludf.DUMMYFUNCTION("""COMPUTED_VALUE"""),"ALASKAN")</f>
        <v>ALASKAN</v>
      </c>
      <c r="D32" s="380">
        <f>IFERROR(__xludf.DUMMYFUNCTION("""COMPUTED_VALUE"""),218117.8383720489)</f>
        <v>218117.8384</v>
      </c>
      <c r="E32" s="381">
        <f>IFERROR(__xludf.DUMMYFUNCTION("""COMPUTED_VALUE"""),1193.9309661900193)</f>
        <v>1193.930966</v>
      </c>
      <c r="F32" s="381">
        <f>IFERROR(__xludf.DUMMYFUNCTION("""COMPUTED_VALUE"""),7251.728664069512)</f>
        <v>7251.728664</v>
      </c>
      <c r="G32" s="381">
        <f>IFERROR(__xludf.DUMMYFUNCTION("""COMPUTED_VALUE"""),3289.5506343672255)</f>
        <v>3289.550634</v>
      </c>
      <c r="H32" s="381">
        <f>IFERROR(__xludf.DUMMYFUNCTION("""COMPUTED_VALUE"""),4832.007290917766)</f>
        <v>4832.007291</v>
      </c>
      <c r="I32" s="381">
        <f>IFERROR(__xludf.DUMMYFUNCTION("""COMPUTED_VALUE"""),406.05558804989613)</f>
        <v>406.055588</v>
      </c>
      <c r="J32" s="382">
        <f>IFERROR(__xludf.DUMMYFUNCTION("""COMPUTED_VALUE"""),1030.0403744985447)</f>
        <v>1030.040374</v>
      </c>
      <c r="K32" s="341"/>
      <c r="L32" s="342"/>
      <c r="M32" s="342"/>
      <c r="N32" s="304"/>
      <c r="O32" s="304"/>
      <c r="P32" s="304"/>
      <c r="Q32" s="304"/>
      <c r="R32" s="304"/>
      <c r="S32" s="304"/>
      <c r="T32" s="304"/>
      <c r="U32" s="304"/>
      <c r="V32" s="304"/>
      <c r="W32" s="304"/>
      <c r="X32" s="304"/>
      <c r="Y32" s="304"/>
      <c r="Z32" s="304"/>
    </row>
    <row r="33" ht="15.75" customHeight="1">
      <c r="A33" s="352" t="s">
        <v>244</v>
      </c>
      <c r="B33" s="341">
        <f>IFERROR(__xludf.DUMMYFUNCTION("""COMPUTED_VALUE"""),1183.0)</f>
        <v>1183</v>
      </c>
      <c r="C33" s="353" t="str">
        <f>IFERROR(__xludf.DUMMYFUNCTION("""COMPUTED_VALUE"""),"LESLIE LEE")</f>
        <v>LESLIE LEE</v>
      </c>
      <c r="D33" s="380">
        <f>IFERROR(__xludf.DUMMYFUNCTION("""COMPUTED_VALUE"""),954064.524896414)</f>
        <v>954064.5249</v>
      </c>
      <c r="E33" s="381">
        <f>IFERROR(__xludf.DUMMYFUNCTION("""COMPUTED_VALUE"""),38649.33819978819)</f>
        <v>38649.3382</v>
      </c>
      <c r="F33" s="381">
        <f>IFERROR(__xludf.DUMMYFUNCTION("""COMPUTED_VALUE"""),40385.04915535714)</f>
        <v>40385.04916</v>
      </c>
      <c r="G33" s="381">
        <f>IFERROR(__xludf.DUMMYFUNCTION("""COMPUTED_VALUE"""),16163.3917001233)</f>
        <v>16163.3917</v>
      </c>
      <c r="H33" s="381">
        <f>IFERROR(__xludf.DUMMYFUNCTION("""COMPUTED_VALUE"""),23742.339067530123)</f>
        <v>23742.33907</v>
      </c>
      <c r="I33" s="381">
        <f>IFERROR(__xludf.DUMMYFUNCTION("""COMPUTED_VALUE"""),1995.1769257191793)</f>
        <v>1995.176926</v>
      </c>
      <c r="J33" s="382">
        <f>IFERROR(__xludf.DUMMYFUNCTION("""COMPUTED_VALUE"""),5061.161201175505)</f>
        <v>5061.161201</v>
      </c>
      <c r="K33" s="341"/>
      <c r="L33" s="342"/>
      <c r="M33" s="342"/>
      <c r="N33" s="304"/>
      <c r="O33" s="304"/>
      <c r="P33" s="304"/>
      <c r="Q33" s="304"/>
      <c r="R33" s="304"/>
      <c r="S33" s="304"/>
      <c r="T33" s="304"/>
      <c r="U33" s="304"/>
      <c r="V33" s="304"/>
      <c r="W33" s="304"/>
      <c r="X33" s="304"/>
      <c r="Y33" s="304"/>
      <c r="Z33" s="304"/>
    </row>
    <row r="34" ht="15.75" customHeight="1">
      <c r="A34" s="362" t="s">
        <v>233</v>
      </c>
      <c r="B34" s="363">
        <v>11.0</v>
      </c>
      <c r="C34" s="388" t="s">
        <v>117</v>
      </c>
      <c r="D34" s="389">
        <f t="shared" ref="D34:J34" si="9">SUM(D23:D33)</f>
        <v>5491597.991</v>
      </c>
      <c r="E34" s="390">
        <f t="shared" si="9"/>
        <v>642378.7165</v>
      </c>
      <c r="F34" s="390">
        <f t="shared" si="9"/>
        <v>1247703.206</v>
      </c>
      <c r="G34" s="390">
        <f t="shared" si="9"/>
        <v>133290.0354</v>
      </c>
      <c r="H34" s="390">
        <f t="shared" si="9"/>
        <v>195789.1804</v>
      </c>
      <c r="I34" s="390">
        <f t="shared" si="9"/>
        <v>16453.05688</v>
      </c>
      <c r="J34" s="391">
        <f t="shared" si="9"/>
        <v>41736.43552</v>
      </c>
      <c r="K34" s="341"/>
      <c r="L34" s="342"/>
      <c r="M34" s="342"/>
      <c r="N34" s="304"/>
      <c r="O34" s="304"/>
      <c r="P34" s="304"/>
      <c r="Q34" s="304"/>
      <c r="R34" s="304"/>
      <c r="S34" s="304"/>
      <c r="T34" s="304"/>
      <c r="U34" s="304"/>
      <c r="V34" s="304"/>
      <c r="W34" s="304"/>
      <c r="X34" s="304"/>
      <c r="Y34" s="304"/>
      <c r="Z34" s="304"/>
    </row>
    <row r="35" ht="15.75" customHeight="1">
      <c r="A35" s="341"/>
      <c r="B35" s="341"/>
      <c r="C35" s="341"/>
      <c r="D35" s="341"/>
      <c r="E35" s="341"/>
      <c r="F35" s="341"/>
      <c r="G35" s="341"/>
      <c r="H35" s="341"/>
      <c r="I35" s="341"/>
      <c r="J35" s="341"/>
      <c r="K35" s="341"/>
      <c r="L35" s="342"/>
      <c r="M35" s="342"/>
      <c r="N35" s="304"/>
      <c r="O35" s="304"/>
      <c r="P35" s="304"/>
      <c r="Q35" s="304"/>
      <c r="R35" s="304"/>
      <c r="S35" s="304"/>
      <c r="T35" s="304"/>
      <c r="U35" s="304"/>
      <c r="V35" s="304"/>
      <c r="W35" s="304"/>
      <c r="X35" s="304"/>
      <c r="Y35" s="304"/>
      <c r="Z35" s="304"/>
    </row>
    <row r="36" ht="15.75" customHeight="1">
      <c r="A36" s="373"/>
      <c r="B36" s="357"/>
      <c r="C36" s="373"/>
      <c r="D36" s="393"/>
      <c r="E36" s="393"/>
      <c r="F36" s="393"/>
      <c r="G36" s="393"/>
      <c r="H36" s="393"/>
      <c r="I36" s="393"/>
      <c r="J36" s="393"/>
      <c r="K36" s="341"/>
      <c r="L36" s="342"/>
      <c r="M36" s="342"/>
      <c r="N36" s="304"/>
      <c r="O36" s="304"/>
      <c r="P36" s="304"/>
      <c r="Q36" s="304"/>
      <c r="R36" s="304"/>
      <c r="S36" s="304"/>
      <c r="T36" s="304"/>
      <c r="U36" s="304"/>
      <c r="V36" s="304"/>
      <c r="W36" s="304"/>
      <c r="X36" s="304"/>
      <c r="Y36" s="304"/>
      <c r="Z36" s="304"/>
    </row>
    <row r="37" ht="15.75" customHeight="1">
      <c r="A37" s="338" t="s">
        <v>245</v>
      </c>
      <c r="B37" s="341"/>
      <c r="C37" s="341"/>
      <c r="D37" s="341"/>
      <c r="E37" s="341"/>
      <c r="F37" s="341"/>
      <c r="G37" s="341"/>
      <c r="H37" s="341"/>
      <c r="I37" s="341"/>
      <c r="J37" s="341"/>
      <c r="K37" s="341"/>
      <c r="L37" s="342"/>
      <c r="M37" s="342"/>
      <c r="N37" s="304"/>
      <c r="O37" s="304"/>
      <c r="P37" s="304"/>
      <c r="Q37" s="304"/>
      <c r="R37" s="304"/>
      <c r="S37" s="304"/>
      <c r="T37" s="304"/>
      <c r="U37" s="304"/>
      <c r="V37" s="304"/>
      <c r="W37" s="304"/>
      <c r="X37" s="304"/>
      <c r="Y37" s="304"/>
      <c r="Z37" s="304"/>
    </row>
    <row r="38" ht="15.75" customHeight="1">
      <c r="A38" s="339" t="s">
        <v>218</v>
      </c>
      <c r="B38" s="28"/>
      <c r="C38" s="29"/>
      <c r="D38" s="340" t="s">
        <v>269</v>
      </c>
      <c r="E38" s="28"/>
      <c r="F38" s="28"/>
      <c r="G38" s="28"/>
      <c r="H38" s="28"/>
      <c r="I38" s="28"/>
      <c r="J38" s="29"/>
      <c r="K38" s="341"/>
      <c r="L38" s="342"/>
      <c r="M38" s="342"/>
      <c r="N38" s="304"/>
      <c r="O38" s="304"/>
      <c r="P38" s="304"/>
      <c r="Q38" s="304"/>
      <c r="R38" s="304"/>
      <c r="S38" s="304"/>
      <c r="T38" s="304"/>
      <c r="U38" s="304"/>
      <c r="V38" s="304"/>
      <c r="W38" s="304"/>
      <c r="X38" s="304"/>
      <c r="Y38" s="304"/>
      <c r="Z38" s="304"/>
    </row>
    <row r="39" ht="15.75" customHeight="1">
      <c r="A39" s="343" t="s">
        <v>220</v>
      </c>
      <c r="B39" s="344" t="s">
        <v>221</v>
      </c>
      <c r="C39" s="345" t="s">
        <v>17</v>
      </c>
      <c r="D39" s="344" t="s">
        <v>5</v>
      </c>
      <c r="E39" s="344" t="s">
        <v>174</v>
      </c>
      <c r="F39" s="344" t="s">
        <v>8</v>
      </c>
      <c r="G39" s="344" t="s">
        <v>222</v>
      </c>
      <c r="H39" s="344" t="s">
        <v>271</v>
      </c>
      <c r="I39" s="344" t="s">
        <v>272</v>
      </c>
      <c r="J39" s="345" t="s">
        <v>133</v>
      </c>
      <c r="K39" s="341"/>
      <c r="L39" s="342"/>
      <c r="M39" s="342"/>
      <c r="N39" s="304"/>
      <c r="O39" s="304"/>
      <c r="P39" s="304"/>
      <c r="Q39" s="304"/>
      <c r="R39" s="304"/>
      <c r="S39" s="304"/>
      <c r="T39" s="304"/>
      <c r="U39" s="304"/>
      <c r="V39" s="304"/>
      <c r="W39" s="304"/>
      <c r="X39" s="304"/>
      <c r="Y39" s="304"/>
      <c r="Z39" s="304"/>
    </row>
    <row r="40" ht="15.75" customHeight="1">
      <c r="A40" s="352" t="s">
        <v>246</v>
      </c>
      <c r="B40" s="341">
        <f>IFERROR(__xludf.DUMMYFUNCTION("IMPORTRANGE(""https://docs.google.com/spreadsheets/d/1fpr4iXJjYPIWfqLVGaDLSDFHokxxaVbtvYkSxFtDSHM/edit#gid=1391174979"", ""'CV Coop LLP Primary Alloc'!A48:B56"")"),1367.0)</f>
        <v>1367</v>
      </c>
      <c r="C40" s="341" t="str">
        <f>IFERROR(__xludf.DUMMYFUNCTION("""COMPUTED_VALUE"""),"DOMINION")</f>
        <v>DOMINION</v>
      </c>
      <c r="D40" s="380">
        <f>IFERROR(__xludf.DUMMYFUNCTION("IMPORTRANGE(""https://docs.google.com/spreadsheets/d/1fpr4iXJjYPIWfqLVGaDLSDFHokxxaVbtvYkSxFtDSHM/edit#gid=1391174979"", ""'CV Coop LLP Primary Alloc'!K48:M56"")"),457349.36511823407)</f>
        <v>457349.3651</v>
      </c>
      <c r="E40" s="381">
        <f>IFERROR(__xludf.DUMMYFUNCTION("""COMPUTED_VALUE"""),105854.54277405255)</f>
        <v>105854.5428</v>
      </c>
      <c r="F40" s="381">
        <f>IFERROR(__xludf.DUMMYFUNCTION("""COMPUTED_VALUE"""),188527.8393814338)</f>
        <v>188527.8394</v>
      </c>
      <c r="G40" s="381">
        <f>IFERROR(__xludf.DUMMYFUNCTION("IMPORTRANGE(""https://docs.google.com/spreadsheets/d/1fpr4iXJjYPIWfqLVGaDLSDFHokxxaVbtvYkSxFtDSHM/edit#gid=1392452204"", ""'CV Secondary &amp; PSC Alloc'!H57:K65"")"),15287.96696401477)</f>
        <v>15287.96696</v>
      </c>
      <c r="H40" s="381">
        <f>IFERROR(__xludf.DUMMYFUNCTION("""COMPUTED_VALUE"""),22456.43130148661)</f>
        <v>22456.4313</v>
      </c>
      <c r="I40" s="381">
        <f>IFERROR(__xludf.DUMMYFUNCTION("""COMPUTED_VALUE"""),1887.1162373381496)</f>
        <v>1887.116237</v>
      </c>
      <c r="J40" s="382">
        <f>IFERROR(__xludf.DUMMYFUNCTION("""COMPUTED_VALUE"""),4787.04387536028)</f>
        <v>4787.043875</v>
      </c>
      <c r="K40" s="341"/>
      <c r="L40" s="342"/>
      <c r="M40" s="342"/>
      <c r="N40" s="304"/>
      <c r="O40" s="304"/>
      <c r="P40" s="304"/>
      <c r="Q40" s="304"/>
      <c r="R40" s="304"/>
      <c r="S40" s="304"/>
      <c r="T40" s="304"/>
      <c r="U40" s="304"/>
      <c r="V40" s="304"/>
      <c r="W40" s="304"/>
      <c r="X40" s="304"/>
      <c r="Y40" s="304"/>
      <c r="Z40" s="304"/>
    </row>
    <row r="41" ht="15.75" customHeight="1">
      <c r="A41" s="352" t="s">
        <v>246</v>
      </c>
      <c r="B41" s="341">
        <f>IFERROR(__xludf.DUMMYFUNCTION("""COMPUTED_VALUE"""),5201.0)</f>
        <v>5201</v>
      </c>
      <c r="C41" s="341" t="str">
        <f>IFERROR(__xludf.DUMMYFUNCTION("""COMPUTED_VALUE"""),"NEW LIFE")</f>
        <v>NEW LIFE</v>
      </c>
      <c r="D41" s="380">
        <f>IFERROR(__xludf.DUMMYFUNCTION("""COMPUTED_VALUE"""),706682.9294686278)</f>
        <v>706682.9295</v>
      </c>
      <c r="E41" s="381">
        <f>IFERROR(__xludf.DUMMYFUNCTION("""COMPUTED_VALUE"""),126255.46866996252)</f>
        <v>126255.4687</v>
      </c>
      <c r="F41" s="381">
        <f>IFERROR(__xludf.DUMMYFUNCTION("""COMPUTED_VALUE"""),249427.5091418207)</f>
        <v>249427.5091</v>
      </c>
      <c r="G41" s="381">
        <f>IFERROR(__xludf.DUMMYFUNCTION("""COMPUTED_VALUE"""),21003.622530816003)</f>
        <v>21003.62253</v>
      </c>
      <c r="H41" s="381">
        <f>IFERROR(__xludf.DUMMYFUNCTION("""COMPUTED_VALUE"""),30852.13407092304)</f>
        <v>30852.13407</v>
      </c>
      <c r="I41" s="381">
        <f>IFERROR(__xludf.DUMMYFUNCTION("""COMPUTED_VALUE"""),2592.645393211617)</f>
        <v>2592.645393</v>
      </c>
      <c r="J41" s="382">
        <f>IFERROR(__xludf.DUMMYFUNCTION("""COMPUTED_VALUE"""),6576.75823300692)</f>
        <v>6576.758233</v>
      </c>
      <c r="K41" s="341"/>
      <c r="L41" s="342"/>
      <c r="M41" s="342"/>
      <c r="N41" s="304"/>
      <c r="O41" s="304"/>
      <c r="P41" s="304"/>
      <c r="Q41" s="304"/>
      <c r="R41" s="304"/>
      <c r="S41" s="304"/>
      <c r="T41" s="304"/>
      <c r="U41" s="304"/>
      <c r="V41" s="304"/>
      <c r="W41" s="304"/>
      <c r="X41" s="304"/>
      <c r="Y41" s="304"/>
      <c r="Z41" s="304"/>
    </row>
    <row r="42" ht="15.75" customHeight="1">
      <c r="A42" s="352" t="s">
        <v>247</v>
      </c>
      <c r="B42" s="341">
        <f>IFERROR(__xludf.DUMMYFUNCTION("""COMPUTED_VALUE"""),4465.0)</f>
        <v>4465</v>
      </c>
      <c r="C42" s="341" t="str">
        <f>IFERROR(__xludf.DUMMYFUNCTION("""COMPUTED_VALUE"""),"MARATHON")</f>
        <v>MARATHON</v>
      </c>
      <c r="D42" s="380">
        <f>IFERROR(__xludf.DUMMYFUNCTION("""COMPUTED_VALUE"""),1032184.0838266923)</f>
        <v>1032184.084</v>
      </c>
      <c r="E42" s="381">
        <f>IFERROR(__xludf.DUMMYFUNCTION("""COMPUTED_VALUE"""),164454.83369479133)</f>
        <v>164454.8337</v>
      </c>
      <c r="F42" s="381">
        <f>IFERROR(__xludf.DUMMYFUNCTION("""COMPUTED_VALUE"""),285447.0588510385)</f>
        <v>285447.0589</v>
      </c>
      <c r="G42" s="381">
        <f>IFERROR(__xludf.DUMMYFUNCTION("""COMPUTED_VALUE"""),28158.318317564142)</f>
        <v>28158.31832</v>
      </c>
      <c r="H42" s="381">
        <f>IFERROR(__xludf.DUMMYFUNCTION("""COMPUTED_VALUE"""),41361.63705430416)</f>
        <v>41361.63705</v>
      </c>
      <c r="I42" s="381">
        <f>IFERROR(__xludf.DUMMYFUNCTION("""COMPUTED_VALUE"""),3475.8068118729752)</f>
        <v>3475.806812</v>
      </c>
      <c r="J42" s="382">
        <f>IFERROR(__xludf.DUMMYFUNCTION("""COMPUTED_VALUE"""),8817.07198608062)</f>
        <v>8817.071986</v>
      </c>
      <c r="K42" s="341"/>
      <c r="L42" s="342"/>
      <c r="M42" s="342"/>
      <c r="N42" s="304"/>
      <c r="O42" s="304"/>
      <c r="P42" s="304"/>
      <c r="Q42" s="304"/>
      <c r="R42" s="304"/>
      <c r="S42" s="304"/>
      <c r="T42" s="304"/>
      <c r="U42" s="304"/>
      <c r="V42" s="304"/>
      <c r="W42" s="304"/>
      <c r="X42" s="304"/>
      <c r="Y42" s="304"/>
      <c r="Z42" s="304"/>
    </row>
    <row r="43" ht="15.75" customHeight="1">
      <c r="A43" s="352" t="s">
        <v>248</v>
      </c>
      <c r="B43" s="341">
        <f>IFERROR(__xludf.DUMMYFUNCTION("""COMPUTED_VALUE"""),3504.0)</f>
        <v>3504</v>
      </c>
      <c r="C43" s="341" t="str">
        <f>IFERROR(__xludf.DUMMYFUNCTION("""COMPUTED_VALUE"""),"BAY ISLANDER")</f>
        <v>BAY ISLANDER</v>
      </c>
      <c r="D43" s="380">
        <f>IFERROR(__xludf.DUMMYFUNCTION("""COMPUTED_VALUE"""),0.0)</f>
        <v>0</v>
      </c>
      <c r="E43" s="381">
        <f>IFERROR(__xludf.DUMMYFUNCTION("""COMPUTED_VALUE"""),26785.21148893441)</f>
        <v>26785.21149</v>
      </c>
      <c r="F43" s="381">
        <f>IFERROR(__xludf.DUMMYFUNCTION("""COMPUTED_VALUE"""),17129.210579472612)</f>
        <v>17129.21058</v>
      </c>
      <c r="G43" s="381">
        <f>IFERROR(__xludf.DUMMYFUNCTION("""COMPUTED_VALUE"""),1623.8563028408018)</f>
        <v>1623.856303</v>
      </c>
      <c r="H43" s="381">
        <f>IFERROR(__xludf.DUMMYFUNCTION("""COMPUTED_VALUE"""),2385.275792004601)</f>
        <v>2385.275792</v>
      </c>
      <c r="I43" s="381">
        <f>IFERROR(__xludf.DUMMYFUNCTION("""COMPUTED_VALUE"""),200.44559249819508)</f>
        <v>200.4455925</v>
      </c>
      <c r="J43" s="382">
        <f>IFERROR(__xludf.DUMMYFUNCTION("""COMPUTED_VALUE"""),508.4699219508164)</f>
        <v>508.469922</v>
      </c>
      <c r="K43" s="341"/>
      <c r="L43" s="342"/>
      <c r="M43" s="342"/>
      <c r="N43" s="304"/>
      <c r="O43" s="304"/>
      <c r="P43" s="304"/>
      <c r="Q43" s="304"/>
      <c r="R43" s="304"/>
      <c r="S43" s="304"/>
      <c r="T43" s="304"/>
      <c r="U43" s="304"/>
      <c r="V43" s="304"/>
      <c r="W43" s="304"/>
      <c r="X43" s="304"/>
      <c r="Y43" s="304"/>
      <c r="Z43" s="304"/>
    </row>
    <row r="44" ht="15.75" customHeight="1">
      <c r="A44" s="352" t="s">
        <v>249</v>
      </c>
      <c r="B44" s="341">
        <f>IFERROR(__xludf.DUMMYFUNCTION("""COMPUTED_VALUE"""),4852.0)</f>
        <v>4852</v>
      </c>
      <c r="C44" s="341" t="str">
        <f>IFERROR(__xludf.DUMMYFUNCTION("""COMPUTED_VALUE"""),"PACIFIC STAR")</f>
        <v>PACIFIC STAR</v>
      </c>
      <c r="D44" s="380">
        <f>IFERROR(__xludf.DUMMYFUNCTION("""COMPUTED_VALUE"""),1492606.6575413062)</f>
        <v>1492606.658</v>
      </c>
      <c r="E44" s="381">
        <f>IFERROR(__xludf.DUMMYFUNCTION("""COMPUTED_VALUE"""),275226.6306324755)</f>
        <v>275226.6306</v>
      </c>
      <c r="F44" s="381">
        <f>IFERROR(__xludf.DUMMYFUNCTION("""COMPUTED_VALUE"""),405549.4168879404)</f>
        <v>405549.4169</v>
      </c>
      <c r="G44" s="381">
        <f>IFERROR(__xludf.DUMMYFUNCTION("""COMPUTED_VALUE"""),42369.736028268344)</f>
        <v>42369.73603</v>
      </c>
      <c r="H44" s="381">
        <f>IFERROR(__xludf.DUMMYFUNCTION("""COMPUTED_VALUE"""),62236.729620134145)</f>
        <v>62236.72962</v>
      </c>
      <c r="I44" s="381">
        <f>IFERROR(__xludf.DUMMYFUNCTION("""COMPUTED_VALUE"""),5230.035950422999)</f>
        <v>5230.03595</v>
      </c>
      <c r="J44" s="382">
        <f>IFERROR(__xludf.DUMMYFUNCTION("""COMPUTED_VALUE"""),13267.021431441513)</f>
        <v>13267.02143</v>
      </c>
      <c r="K44" s="341"/>
      <c r="L44" s="342"/>
      <c r="M44" s="342"/>
      <c r="N44" s="304"/>
      <c r="O44" s="304"/>
      <c r="P44" s="304"/>
      <c r="Q44" s="304"/>
      <c r="R44" s="304"/>
      <c r="S44" s="304"/>
      <c r="T44" s="304"/>
      <c r="U44" s="304"/>
      <c r="V44" s="304"/>
      <c r="W44" s="304"/>
      <c r="X44" s="304"/>
      <c r="Y44" s="304"/>
      <c r="Z44" s="304"/>
    </row>
    <row r="45" ht="15.75" customHeight="1">
      <c r="A45" s="352" t="s">
        <v>250</v>
      </c>
      <c r="B45" s="341">
        <f>IFERROR(__xludf.DUMMYFUNCTION("""COMPUTED_VALUE"""),2603.0)</f>
        <v>2603</v>
      </c>
      <c r="C45" s="341" t="str">
        <f>IFERROR(__xludf.DUMMYFUNCTION("""COMPUTED_VALUE"""),"TAASINGE")</f>
        <v>TAASINGE</v>
      </c>
      <c r="D45" s="380">
        <f>IFERROR(__xludf.DUMMYFUNCTION("""COMPUTED_VALUE"""),671255.8903827283)</f>
        <v>671255.8904</v>
      </c>
      <c r="E45" s="381">
        <f>IFERROR(__xludf.DUMMYFUNCTION("""COMPUTED_VALUE"""),108614.46392571354)</f>
        <v>108614.4639</v>
      </c>
      <c r="F45" s="381">
        <f>IFERROR(__xludf.DUMMYFUNCTION("""COMPUTED_VALUE"""),245671.2124414379)</f>
        <v>245671.2124</v>
      </c>
      <c r="G45" s="381">
        <f>IFERROR(__xludf.DUMMYFUNCTION("""COMPUTED_VALUE"""),19581.591769042156)</f>
        <v>19581.59177</v>
      </c>
      <c r="H45" s="381">
        <f>IFERROR(__xludf.DUMMYFUNCTION("""COMPUTED_VALUE"""),28763.318979580836)</f>
        <v>28763.31898</v>
      </c>
      <c r="I45" s="381">
        <f>IFERROR(__xludf.DUMMYFUNCTION("""COMPUTED_VALUE"""),2417.1127441122076)</f>
        <v>2417.112744</v>
      </c>
      <c r="J45" s="382">
        <f>IFERROR(__xludf.DUMMYFUNCTION("""COMPUTED_VALUE"""),6131.4849233021905)</f>
        <v>6131.484923</v>
      </c>
      <c r="K45" s="341"/>
      <c r="L45" s="342"/>
      <c r="M45" s="342"/>
      <c r="N45" s="304"/>
      <c r="O45" s="304"/>
      <c r="P45" s="304"/>
      <c r="Q45" s="304"/>
      <c r="R45" s="304"/>
      <c r="S45" s="304"/>
      <c r="T45" s="304"/>
      <c r="U45" s="304"/>
      <c r="V45" s="304"/>
      <c r="W45" s="304"/>
      <c r="X45" s="304"/>
      <c r="Y45" s="304"/>
      <c r="Z45" s="304"/>
    </row>
    <row r="46" ht="15.75" customHeight="1">
      <c r="A46" s="352" t="s">
        <v>251</v>
      </c>
      <c r="B46" s="341">
        <f>IFERROR(__xludf.DUMMYFUNCTION("""COMPUTED_VALUE"""),1619.0)</f>
        <v>1619</v>
      </c>
      <c r="C46" s="341" t="str">
        <f>IFERROR(__xludf.DUMMYFUNCTION("""COMPUTED_VALUE"""),"STELLA")</f>
        <v>STELLA</v>
      </c>
      <c r="D46" s="380">
        <f>IFERROR(__xludf.DUMMYFUNCTION("""COMPUTED_VALUE"""),832825.3849165597)</f>
        <v>832825.3849</v>
      </c>
      <c r="E46" s="381">
        <f>IFERROR(__xludf.DUMMYFUNCTION("""COMPUTED_VALUE"""),115138.03075497139)</f>
        <v>115138.0308</v>
      </c>
      <c r="F46" s="381">
        <f>IFERROR(__xludf.DUMMYFUNCTION("""COMPUTED_VALUE"""),188022.43825221647)</f>
        <v>188022.4383</v>
      </c>
      <c r="G46" s="381">
        <f>IFERROR(__xludf.DUMMYFUNCTION("""COMPUTED_VALUE"""),21039.96021840762)</f>
        <v>21039.96022</v>
      </c>
      <c r="H46" s="381">
        <f>IFERROR(__xludf.DUMMYFUNCTION("""COMPUTED_VALUE"""),30905.51034959873)</f>
        <v>30905.51035</v>
      </c>
      <c r="I46" s="381">
        <f>IFERROR(__xludf.DUMMYFUNCTION("""COMPUTED_VALUE"""),2597.1308450995543)</f>
        <v>2597.130845</v>
      </c>
      <c r="J46" s="382">
        <f>IFERROR(__xludf.DUMMYFUNCTION("""COMPUTED_VALUE"""),6588.136469579491)</f>
        <v>6588.13647</v>
      </c>
      <c r="K46" s="341"/>
      <c r="L46" s="342"/>
      <c r="M46" s="342"/>
      <c r="N46" s="304"/>
      <c r="O46" s="304"/>
      <c r="P46" s="304"/>
      <c r="Q46" s="304"/>
      <c r="R46" s="304"/>
      <c r="S46" s="304"/>
      <c r="T46" s="304"/>
      <c r="U46" s="304"/>
      <c r="V46" s="304"/>
      <c r="W46" s="304"/>
      <c r="X46" s="304"/>
      <c r="Y46" s="304"/>
      <c r="Z46" s="304"/>
    </row>
    <row r="47" ht="15.75" customHeight="1">
      <c r="A47" s="352" t="s">
        <v>252</v>
      </c>
      <c r="B47" s="341">
        <f>IFERROR(__xludf.DUMMYFUNCTION("""COMPUTED_VALUE"""),2188.0)</f>
        <v>2188</v>
      </c>
      <c r="C47" s="341" t="str">
        <f>IFERROR(__xludf.DUMMYFUNCTION("""COMPUTED_VALUE"""),"GREEN HOPE")</f>
        <v>GREEN HOPE</v>
      </c>
      <c r="D47" s="380">
        <f>IFERROR(__xludf.DUMMYFUNCTION("""COMPUTED_VALUE"""),253258.7192491156)</f>
        <v>253258.7192</v>
      </c>
      <c r="E47" s="381">
        <f>IFERROR(__xludf.DUMMYFUNCTION("""COMPUTED_VALUE"""),39056.900479285505)</f>
        <v>39056.90048</v>
      </c>
      <c r="F47" s="381">
        <f>IFERROR(__xludf.DUMMYFUNCTION("""COMPUTED_VALUE"""),140364.27807732293)</f>
        <v>140364.2781</v>
      </c>
      <c r="G47" s="381">
        <f>IFERROR(__xludf.DUMMYFUNCTION("""COMPUTED_VALUE"""),8240.458496569105)</f>
        <v>8240.458497</v>
      </c>
      <c r="H47" s="381">
        <f>IFERROR(__xludf.DUMMYFUNCTION("""COMPUTED_VALUE"""),12104.375327114096)</f>
        <v>12104.37533</v>
      </c>
      <c r="I47" s="381">
        <f>IFERROR(__xludf.DUMMYFUNCTION("""COMPUTED_VALUE"""),1017.1858081974106)</f>
        <v>1017.185808</v>
      </c>
      <c r="J47" s="382">
        <f>IFERROR(__xludf.DUMMYFUNCTION("""COMPUTED_VALUE"""),2580.2931461726835)</f>
        <v>2580.293146</v>
      </c>
      <c r="K47" s="341"/>
      <c r="L47" s="342"/>
      <c r="M47" s="342"/>
      <c r="N47" s="304"/>
      <c r="O47" s="304"/>
      <c r="P47" s="304"/>
      <c r="Q47" s="304"/>
      <c r="R47" s="304"/>
      <c r="S47" s="304"/>
      <c r="T47" s="304"/>
      <c r="U47" s="304"/>
      <c r="V47" s="304"/>
      <c r="W47" s="304"/>
      <c r="X47" s="304"/>
      <c r="Y47" s="304"/>
      <c r="Z47" s="304"/>
    </row>
    <row r="48" ht="15.75" customHeight="1">
      <c r="A48" s="352" t="s">
        <v>253</v>
      </c>
      <c r="B48" s="341">
        <f>IFERROR(__xludf.DUMMYFUNCTION("""COMPUTED_VALUE"""),2683.0)</f>
        <v>2683</v>
      </c>
      <c r="C48" s="341" t="str">
        <f>IFERROR(__xludf.DUMMYFUNCTION("""COMPUTED_VALUE"""),"OCEAN HOPE 3")</f>
        <v>OCEAN HOPE 3</v>
      </c>
      <c r="D48" s="380">
        <f>IFERROR(__xludf.DUMMYFUNCTION("""COMPUTED_VALUE"""),1333838.9021243725)</f>
        <v>1333838.902</v>
      </c>
      <c r="E48" s="381">
        <f>IFERROR(__xludf.DUMMYFUNCTION("""COMPUTED_VALUE"""),69771.38504438268)</f>
        <v>69771.38504</v>
      </c>
      <c r="F48" s="381">
        <f>IFERROR(__xludf.DUMMYFUNCTION("""COMPUTED_VALUE"""),120142.40135713982)</f>
        <v>120142.4014</v>
      </c>
      <c r="G48" s="381">
        <f>IFERROR(__xludf.DUMMYFUNCTION("""COMPUTED_VALUE"""),24613.903138723497)</f>
        <v>24613.90314</v>
      </c>
      <c r="H48" s="381">
        <f>IFERROR(__xludf.DUMMYFUNCTION("""COMPUTED_VALUE"""),36155.26029047847)</f>
        <v>36155.26029</v>
      </c>
      <c r="I48" s="381">
        <f>IFERROR(__xludf.DUMMYFUNCTION("""COMPUTED_VALUE"""),3038.2912513277383)</f>
        <v>3038.291251</v>
      </c>
      <c r="J48" s="382">
        <f>IFERROR(__xludf.DUMMYFUNCTION("""COMPUTED_VALUE"""),7707.227164101273)</f>
        <v>7707.227164</v>
      </c>
      <c r="K48" s="341"/>
      <c r="L48" s="342"/>
      <c r="M48" s="342"/>
      <c r="N48" s="304"/>
      <c r="O48" s="304"/>
      <c r="P48" s="304"/>
      <c r="Q48" s="304"/>
      <c r="R48" s="304"/>
      <c r="S48" s="304"/>
      <c r="T48" s="304"/>
      <c r="U48" s="304"/>
      <c r="V48" s="304"/>
      <c r="W48" s="304"/>
      <c r="X48" s="304"/>
      <c r="Y48" s="304"/>
      <c r="Z48" s="304"/>
    </row>
    <row r="49" ht="15.75" customHeight="1">
      <c r="A49" s="362" t="s">
        <v>233</v>
      </c>
      <c r="B49" s="363">
        <v>9.0</v>
      </c>
      <c r="C49" s="388" t="s">
        <v>117</v>
      </c>
      <c r="D49" s="389">
        <f t="shared" ref="D49:J49" si="10">SUM(D40:D48)</f>
        <v>6780001.933</v>
      </c>
      <c r="E49" s="390">
        <f t="shared" si="10"/>
        <v>1031157.467</v>
      </c>
      <c r="F49" s="390">
        <f t="shared" si="10"/>
        <v>1840281.365</v>
      </c>
      <c r="G49" s="390">
        <f t="shared" si="10"/>
        <v>181919.4138</v>
      </c>
      <c r="H49" s="390">
        <f t="shared" si="10"/>
        <v>267220.6728</v>
      </c>
      <c r="I49" s="390">
        <f t="shared" si="10"/>
        <v>22455.77063</v>
      </c>
      <c r="J49" s="391">
        <f t="shared" si="10"/>
        <v>56963.50715</v>
      </c>
      <c r="K49" s="341"/>
      <c r="L49" s="342"/>
      <c r="M49" s="342"/>
      <c r="N49" s="304"/>
      <c r="O49" s="304"/>
      <c r="P49" s="304"/>
      <c r="Q49" s="304"/>
      <c r="R49" s="304"/>
      <c r="S49" s="304"/>
      <c r="T49" s="304"/>
      <c r="U49" s="304"/>
      <c r="V49" s="304"/>
      <c r="W49" s="304"/>
      <c r="X49" s="304"/>
      <c r="Y49" s="304"/>
      <c r="Z49" s="304"/>
    </row>
    <row r="50" ht="15.75" customHeight="1">
      <c r="A50" s="341"/>
      <c r="B50" s="341"/>
      <c r="C50" s="341"/>
      <c r="D50" s="341"/>
      <c r="E50" s="341"/>
      <c r="F50" s="341"/>
      <c r="G50" s="341"/>
      <c r="H50" s="341"/>
      <c r="I50" s="341"/>
      <c r="J50" s="341"/>
      <c r="K50" s="341"/>
      <c r="L50" s="342"/>
      <c r="M50" s="342"/>
      <c r="N50" s="304"/>
      <c r="O50" s="304"/>
      <c r="P50" s="304"/>
      <c r="Q50" s="304"/>
      <c r="R50" s="304"/>
      <c r="S50" s="304"/>
      <c r="T50" s="304"/>
      <c r="U50" s="304"/>
      <c r="V50" s="304"/>
      <c r="W50" s="304"/>
      <c r="X50" s="304"/>
      <c r="Y50" s="304"/>
      <c r="Z50" s="304"/>
    </row>
    <row r="51" ht="15.75" customHeight="1">
      <c r="A51" s="341"/>
      <c r="B51" s="341"/>
      <c r="C51" s="341"/>
      <c r="D51" s="341"/>
      <c r="E51" s="341"/>
      <c r="F51" s="341"/>
      <c r="G51" s="341"/>
      <c r="H51" s="341"/>
      <c r="I51" s="341"/>
      <c r="J51" s="341"/>
      <c r="K51" s="341"/>
      <c r="L51" s="342"/>
      <c r="M51" s="342"/>
      <c r="N51" s="304"/>
      <c r="O51" s="304"/>
      <c r="P51" s="304"/>
      <c r="Q51" s="304"/>
      <c r="R51" s="304"/>
      <c r="S51" s="304"/>
      <c r="T51" s="304"/>
      <c r="U51" s="304"/>
      <c r="V51" s="304"/>
      <c r="W51" s="304"/>
      <c r="X51" s="304"/>
      <c r="Y51" s="304"/>
      <c r="Z51" s="304"/>
    </row>
    <row r="52" ht="15.75" customHeight="1">
      <c r="A52" s="338" t="s">
        <v>89</v>
      </c>
      <c r="B52" s="341"/>
      <c r="C52" s="341"/>
      <c r="D52" s="341"/>
      <c r="E52" s="341"/>
      <c r="F52" s="341"/>
      <c r="G52" s="341"/>
      <c r="H52" s="341"/>
      <c r="I52" s="341"/>
      <c r="J52" s="341"/>
      <c r="K52" s="341"/>
      <c r="L52" s="342"/>
      <c r="M52" s="342"/>
      <c r="N52" s="304"/>
      <c r="O52" s="304"/>
      <c r="P52" s="304"/>
      <c r="Q52" s="304"/>
      <c r="R52" s="304"/>
      <c r="S52" s="304"/>
      <c r="T52" s="304"/>
      <c r="U52" s="304"/>
      <c r="V52" s="304"/>
      <c r="W52" s="304"/>
      <c r="X52" s="304"/>
      <c r="Y52" s="304"/>
      <c r="Z52" s="304"/>
    </row>
    <row r="53" ht="15.75" customHeight="1">
      <c r="A53" s="339" t="s">
        <v>218</v>
      </c>
      <c r="B53" s="28"/>
      <c r="C53" s="29"/>
      <c r="D53" s="340" t="s">
        <v>269</v>
      </c>
      <c r="E53" s="28"/>
      <c r="F53" s="28"/>
      <c r="G53" s="28"/>
      <c r="H53" s="28"/>
      <c r="I53" s="28"/>
      <c r="J53" s="29"/>
      <c r="K53" s="341"/>
      <c r="L53" s="342"/>
      <c r="M53" s="342"/>
      <c r="N53" s="304"/>
      <c r="O53" s="304"/>
      <c r="P53" s="304"/>
      <c r="Q53" s="304"/>
      <c r="R53" s="304"/>
      <c r="S53" s="304"/>
      <c r="T53" s="304"/>
      <c r="U53" s="304"/>
      <c r="V53" s="304"/>
      <c r="W53" s="304"/>
      <c r="X53" s="304"/>
      <c r="Y53" s="304"/>
      <c r="Z53" s="304"/>
    </row>
    <row r="54" ht="15.75" customHeight="1">
      <c r="A54" s="343" t="s">
        <v>220</v>
      </c>
      <c r="B54" s="344" t="s">
        <v>221</v>
      </c>
      <c r="C54" s="345" t="s">
        <v>17</v>
      </c>
      <c r="D54" s="344" t="s">
        <v>5</v>
      </c>
      <c r="E54" s="344" t="s">
        <v>174</v>
      </c>
      <c r="F54" s="344" t="s">
        <v>8</v>
      </c>
      <c r="G54" s="344" t="s">
        <v>222</v>
      </c>
      <c r="H54" s="344" t="s">
        <v>271</v>
      </c>
      <c r="I54" s="344" t="s">
        <v>272</v>
      </c>
      <c r="J54" s="345" t="s">
        <v>133</v>
      </c>
      <c r="K54" s="341"/>
      <c r="L54" s="342"/>
      <c r="M54" s="342"/>
      <c r="N54" s="304"/>
      <c r="O54" s="304"/>
      <c r="P54" s="304"/>
      <c r="Q54" s="304"/>
      <c r="R54" s="304"/>
      <c r="S54" s="304"/>
      <c r="T54" s="304"/>
      <c r="U54" s="304"/>
      <c r="V54" s="304"/>
      <c r="W54" s="304"/>
      <c r="X54" s="304"/>
      <c r="Y54" s="304"/>
      <c r="Z54" s="304"/>
    </row>
    <row r="55" ht="15.75" customHeight="1">
      <c r="A55" s="352" t="s">
        <v>254</v>
      </c>
      <c r="B55" s="341">
        <f>IFERROR(__xludf.DUMMYFUNCTION("IMPORTRANGE(""https://docs.google.com/spreadsheets/d/1fpr4iXJjYPIWfqLVGaDLSDFHokxxaVbtvYkSxFtDSHM/edit#gid=1391174979"", ""'CV Coop LLP Primary Alloc'!A65:B79"")"),3658.0)</f>
        <v>3658</v>
      </c>
      <c r="C55" s="353" t="str">
        <f>IFERROR(__xludf.DUMMYFUNCTION("""COMPUTED_VALUE"""),"OCEAN STORM")</f>
        <v>OCEAN STORM</v>
      </c>
      <c r="D55" s="381">
        <f>IFERROR(__xludf.DUMMYFUNCTION("IMPORTRANGE(""https://docs.google.com/spreadsheets/d/1fpr4iXJjYPIWfqLVGaDLSDFHokxxaVbtvYkSxFtDSHM/edit#gid=1391174979"", ""'CV Coop LLP Primary Alloc'!K65:M79"")"),169169.00787828662)</f>
        <v>169169.0079</v>
      </c>
      <c r="E55" s="381">
        <f>IFERROR(__xludf.DUMMYFUNCTION("""COMPUTED_VALUE"""),440.173687750357)</f>
        <v>440.1736878</v>
      </c>
      <c r="F55" s="381">
        <f>IFERROR(__xludf.DUMMYFUNCTION("""COMPUTED_VALUE"""),28424.537047379952)</f>
        <v>28424.53705</v>
      </c>
      <c r="G55" s="381">
        <f>IFERROR(__xludf.DUMMYFUNCTION("IMPORTRANGE(""https://docs.google.com/spreadsheets/d/1fpr4iXJjYPIWfqLVGaDLSDFHokxxaVbtvYkSxFtDSHM/edit#gid=1392452204"", ""'CV Secondary &amp; PSC Alloc'!H72:K86"")"),2979.821343014964)</f>
        <v>2979.821343</v>
      </c>
      <c r="H55" s="381">
        <f>IFERROR(__xludf.DUMMYFUNCTION("""COMPUTED_VALUE"""),4377.047218745839)</f>
        <v>4377.047219</v>
      </c>
      <c r="I55" s="381">
        <f>IFERROR(__xludf.DUMMYFUNCTION("""COMPUTED_VALUE"""),367.82322031480805)</f>
        <v>367.8232203</v>
      </c>
      <c r="J55" s="382">
        <f>IFERROR(__xludf.DUMMYFUNCTION("""COMPUTED_VALUE"""),933.0564059514178)</f>
        <v>933.056406</v>
      </c>
      <c r="K55" s="341"/>
      <c r="L55" s="342"/>
      <c r="M55" s="342"/>
      <c r="N55" s="304"/>
      <c r="O55" s="304"/>
      <c r="P55" s="304"/>
      <c r="Q55" s="304"/>
      <c r="R55" s="304"/>
      <c r="S55" s="304"/>
      <c r="T55" s="304"/>
      <c r="U55" s="304"/>
      <c r="V55" s="304"/>
      <c r="W55" s="304"/>
      <c r="X55" s="304"/>
      <c r="Y55" s="304"/>
      <c r="Z55" s="304"/>
    </row>
    <row r="56" ht="15.75" customHeight="1">
      <c r="A56" s="352" t="s">
        <v>255</v>
      </c>
      <c r="B56" s="341">
        <f>IFERROR(__xludf.DUMMYFUNCTION("""COMPUTED_VALUE"""),2364.0)</f>
        <v>2364</v>
      </c>
      <c r="C56" s="353" t="str">
        <f>IFERROR(__xludf.DUMMYFUNCTION("""COMPUTED_VALUE"""),"ROSELLA")</f>
        <v>ROSELLA</v>
      </c>
      <c r="D56" s="381">
        <f>IFERROR(__xludf.DUMMYFUNCTION("""COMPUTED_VALUE"""),370445.94603622146)</f>
        <v>370445.946</v>
      </c>
      <c r="E56" s="381">
        <f>IFERROR(__xludf.DUMMYFUNCTION("""COMPUTED_VALUE"""),46266.9133551701)</f>
        <v>46266.91336</v>
      </c>
      <c r="F56" s="381">
        <f>IFERROR(__xludf.DUMMYFUNCTION("""COMPUTED_VALUE"""),232132.29372990516)</f>
        <v>232132.2937</v>
      </c>
      <c r="G56" s="381">
        <f>IFERROR(__xludf.DUMMYFUNCTION("""COMPUTED_VALUE"""),12064.004430592007)</f>
        <v>12064.00443</v>
      </c>
      <c r="H56" s="381">
        <f>IFERROR(__xludf.DUMMYFUNCTION("""COMPUTED_VALUE"""),17720.766100169196)</f>
        <v>17720.7661</v>
      </c>
      <c r="I56" s="381">
        <f>IFERROR(__xludf.DUMMYFUNCTION("""COMPUTED_VALUE"""),1489.1567140272612)</f>
        <v>1489.156714</v>
      </c>
      <c r="J56" s="382">
        <f>IFERROR(__xludf.DUMMYFUNCTION("""COMPUTED_VALUE"""),3777.5407716225727)</f>
        <v>3777.540772</v>
      </c>
      <c r="K56" s="341"/>
      <c r="L56" s="342"/>
      <c r="M56" s="342"/>
      <c r="N56" s="304"/>
      <c r="O56" s="304"/>
      <c r="P56" s="304"/>
      <c r="Q56" s="304"/>
      <c r="R56" s="304"/>
      <c r="S56" s="304"/>
      <c r="T56" s="304"/>
      <c r="U56" s="304"/>
      <c r="V56" s="304"/>
      <c r="W56" s="304"/>
      <c r="X56" s="304"/>
      <c r="Y56" s="304"/>
      <c r="Z56" s="304"/>
    </row>
    <row r="57" ht="15.75" customHeight="1">
      <c r="A57" s="352" t="s">
        <v>256</v>
      </c>
      <c r="B57" s="341">
        <f>IFERROR(__xludf.DUMMYFUNCTION("""COMPUTED_VALUE"""),3521.0)</f>
        <v>3521</v>
      </c>
      <c r="C57" s="353" t="str">
        <f>IFERROR(__xludf.DUMMYFUNCTION("""COMPUTED_VALUE"""),"EXCALIBUR II")</f>
        <v>EXCALIBUR II</v>
      </c>
      <c r="D57" s="381">
        <f>IFERROR(__xludf.DUMMYFUNCTION("""COMPUTED_VALUE"""),987987.3292913964)</f>
        <v>987987.3293</v>
      </c>
      <c r="E57" s="381">
        <f>IFERROR(__xludf.DUMMYFUNCTION("""COMPUTED_VALUE"""),114913.12449115734)</f>
        <v>114913.1245</v>
      </c>
      <c r="F57" s="381">
        <f>IFERROR(__xludf.DUMMYFUNCTION("""COMPUTED_VALUE"""),144714.22671948632)</f>
        <v>144714.2267</v>
      </c>
      <c r="G57" s="381">
        <f>IFERROR(__xludf.DUMMYFUNCTION("""COMPUTED_VALUE"""),22368.146224989378)</f>
        <v>22368.14622</v>
      </c>
      <c r="H57" s="381">
        <f>IFERROR(__xludf.DUMMYFUNCTION("""COMPUTED_VALUE"""),32856.477269046234)</f>
        <v>32856.47727</v>
      </c>
      <c r="I57" s="381">
        <f>IFERROR(__xludf.DUMMYFUNCTION("""COMPUTED_VALUE"""),2761.079484256447)</f>
        <v>2761.079484</v>
      </c>
      <c r="J57" s="382">
        <f>IFERROR(__xludf.DUMMYFUNCTION("""COMPUTED_VALUE"""),7004.024645104219)</f>
        <v>7004.024645</v>
      </c>
      <c r="K57" s="341"/>
      <c r="L57" s="342"/>
      <c r="M57" s="342"/>
      <c r="N57" s="304"/>
      <c r="O57" s="304"/>
      <c r="P57" s="304"/>
      <c r="Q57" s="304"/>
      <c r="R57" s="304"/>
      <c r="S57" s="304"/>
      <c r="T57" s="304"/>
      <c r="U57" s="304"/>
      <c r="V57" s="304"/>
      <c r="W57" s="304"/>
      <c r="X57" s="304"/>
      <c r="Y57" s="304"/>
      <c r="Z57" s="304"/>
    </row>
    <row r="58" ht="15.75" customHeight="1">
      <c r="A58" s="352" t="s">
        <v>257</v>
      </c>
      <c r="B58" s="341">
        <f>IFERROR(__xludf.DUMMYFUNCTION("""COMPUTED_VALUE"""),2567.0)</f>
        <v>2567</v>
      </c>
      <c r="C58" s="353" t="str">
        <f>IFERROR(__xludf.DUMMYFUNCTION("""COMPUTED_VALUE"""),"ARCTIC RAM")</f>
        <v>ARCTIC RAM</v>
      </c>
      <c r="D58" s="381">
        <f>IFERROR(__xludf.DUMMYFUNCTION("""COMPUTED_VALUE"""),401164.43132469367)</f>
        <v>401164.4313</v>
      </c>
      <c r="E58" s="381">
        <f>IFERROR(__xludf.DUMMYFUNCTION("""COMPUTED_VALUE"""),76468.61163877122)</f>
        <v>76468.61164</v>
      </c>
      <c r="F58" s="381">
        <f>IFERROR(__xludf.DUMMYFUNCTION("""COMPUTED_VALUE"""),155360.30712139915)</f>
        <v>155360.3071</v>
      </c>
      <c r="G58" s="381">
        <f>IFERROR(__xludf.DUMMYFUNCTION("""COMPUTED_VALUE"""),12426.002369455215)</f>
        <v>12426.00237</v>
      </c>
      <c r="H58" s="381">
        <f>IFERROR(__xludf.DUMMYFUNCTION("""COMPUTED_VALUE"""),18252.503372005016)</f>
        <v>18252.50337</v>
      </c>
      <c r="I58" s="381">
        <f>IFERROR(__xludf.DUMMYFUNCTION("""COMPUTED_VALUE"""),1533.8410196592445)</f>
        <v>1533.84102</v>
      </c>
      <c r="J58" s="382">
        <f>IFERROR(__xludf.DUMMYFUNCTION("""COMPUTED_VALUE"""),3890.891357753947)</f>
        <v>3890.891358</v>
      </c>
      <c r="K58" s="341"/>
      <c r="L58" s="342"/>
      <c r="M58" s="342"/>
      <c r="N58" s="304"/>
      <c r="O58" s="304"/>
      <c r="P58" s="304"/>
      <c r="Q58" s="304"/>
      <c r="R58" s="304"/>
      <c r="S58" s="304"/>
      <c r="T58" s="304"/>
      <c r="U58" s="304"/>
      <c r="V58" s="304"/>
      <c r="W58" s="304"/>
      <c r="X58" s="304"/>
      <c r="Y58" s="304"/>
      <c r="Z58" s="304"/>
    </row>
    <row r="59" ht="15.75" customHeight="1">
      <c r="A59" s="352" t="s">
        <v>258</v>
      </c>
      <c r="B59" s="341">
        <f>IFERROR(__xludf.DUMMYFUNCTION("""COMPUTED_VALUE"""),2278.0)</f>
        <v>2278</v>
      </c>
      <c r="C59" s="353" t="str">
        <f>IFERROR(__xludf.DUMMYFUNCTION("""COMPUTED_VALUE"""),"MARCY J")</f>
        <v>MARCY J</v>
      </c>
      <c r="D59" s="381">
        <f>IFERROR(__xludf.DUMMYFUNCTION("""COMPUTED_VALUE"""),776853.1656850985)</f>
        <v>776853.1657</v>
      </c>
      <c r="E59" s="381">
        <f>IFERROR(__xludf.DUMMYFUNCTION("""COMPUTED_VALUE"""),163138.65010948523)</f>
        <v>163138.6501</v>
      </c>
      <c r="F59" s="381">
        <f>IFERROR(__xludf.DUMMYFUNCTION("""COMPUTED_VALUE"""),454073.75684429245)</f>
        <v>454073.7568</v>
      </c>
      <c r="G59" s="381">
        <f>IFERROR(__xludf.DUMMYFUNCTION("""COMPUTED_VALUE"""),27821.025692270217)</f>
        <v>27821.02569</v>
      </c>
      <c r="H59" s="381">
        <f>IFERROR(__xludf.DUMMYFUNCTION("""COMPUTED_VALUE"""),40866.189315161355)</f>
        <v>40866.18932</v>
      </c>
      <c r="I59" s="381">
        <f>IFERROR(__xludf.DUMMYFUNCTION("""COMPUTED_VALUE"""),3434.172081014071)</f>
        <v>3434.172081</v>
      </c>
      <c r="J59" s="382">
        <f>IFERROR(__xludf.DUMMYFUNCTION("""COMPUTED_VALUE"""),8711.45724999975)</f>
        <v>8711.45725</v>
      </c>
      <c r="K59" s="341"/>
      <c r="L59" s="342"/>
      <c r="M59" s="342"/>
      <c r="N59" s="304"/>
      <c r="O59" s="304"/>
      <c r="P59" s="304"/>
      <c r="Q59" s="304"/>
      <c r="R59" s="304"/>
      <c r="S59" s="304"/>
      <c r="T59" s="304"/>
      <c r="U59" s="304"/>
      <c r="V59" s="304"/>
      <c r="W59" s="304"/>
      <c r="X59" s="304"/>
      <c r="Y59" s="304"/>
      <c r="Z59" s="304"/>
    </row>
    <row r="60" ht="15.75" customHeight="1">
      <c r="A60" s="352" t="s">
        <v>259</v>
      </c>
      <c r="B60" s="341">
        <f>IFERROR(__xludf.DUMMYFUNCTION("""COMPUTED_VALUE"""),2636.0)</f>
        <v>2636</v>
      </c>
      <c r="C60" s="353" t="str">
        <f>IFERROR(__xludf.DUMMYFUNCTION("""COMPUTED_VALUE"""),"CAPE KIWANDA")</f>
        <v>CAPE KIWANDA</v>
      </c>
      <c r="D60" s="381">
        <f>IFERROR(__xludf.DUMMYFUNCTION("""COMPUTED_VALUE"""),666128.979812312)</f>
        <v>666128.9798</v>
      </c>
      <c r="E60" s="381">
        <f>IFERROR(__xludf.DUMMYFUNCTION("""COMPUTED_VALUE"""),126278.44123833782)</f>
        <v>126278.4412</v>
      </c>
      <c r="F60" s="381">
        <f>IFERROR(__xludf.DUMMYFUNCTION("""COMPUTED_VALUE"""),195030.0192938641)</f>
        <v>195030.0193</v>
      </c>
      <c r="G60" s="381">
        <f>IFERROR(__xludf.DUMMYFUNCTION("""COMPUTED_VALUE"""),19352.57266486339)</f>
        <v>19352.57266</v>
      </c>
      <c r="H60" s="381">
        <f>IFERROR(__xludf.DUMMYFUNCTION("""COMPUTED_VALUE"""),28426.913766786747)</f>
        <v>28426.91377</v>
      </c>
      <c r="I60" s="381">
        <f>IFERROR(__xludf.DUMMYFUNCTION("""COMPUTED_VALUE"""),2388.8430813654427)</f>
        <v>2388.843081</v>
      </c>
      <c r="J60" s="382">
        <f>IFERROR(__xludf.DUMMYFUNCTION("""COMPUTED_VALUE"""),6059.773327994586)</f>
        <v>6059.773328</v>
      </c>
      <c r="K60" s="341"/>
      <c r="L60" s="342"/>
      <c r="M60" s="342"/>
      <c r="N60" s="304"/>
      <c r="O60" s="304"/>
      <c r="P60" s="304"/>
      <c r="Q60" s="304"/>
      <c r="R60" s="304"/>
      <c r="S60" s="304"/>
      <c r="T60" s="304"/>
      <c r="U60" s="304"/>
      <c r="V60" s="304"/>
      <c r="W60" s="304"/>
      <c r="X60" s="304"/>
      <c r="Y60" s="304"/>
      <c r="Z60" s="304"/>
    </row>
    <row r="61" ht="15.75" customHeight="1">
      <c r="A61" s="352" t="s">
        <v>257</v>
      </c>
      <c r="B61" s="341">
        <f>IFERROR(__xludf.DUMMYFUNCTION("""COMPUTED_VALUE"""),3144.0)</f>
        <v>3144</v>
      </c>
      <c r="C61" s="353" t="str">
        <f>IFERROR(__xludf.DUMMYFUNCTION("""COMPUTED_VALUE"""),"PACIFIC RAM")</f>
        <v>PACIFIC RAM</v>
      </c>
      <c r="D61" s="381">
        <f>IFERROR(__xludf.DUMMYFUNCTION("""COMPUTED_VALUE"""),117992.93079334385)</f>
        <v>117992.9308</v>
      </c>
      <c r="E61" s="381">
        <f>IFERROR(__xludf.DUMMYFUNCTION("""COMPUTED_VALUE"""),3774.7303434562546)</f>
        <v>3774.730343</v>
      </c>
      <c r="F61" s="381">
        <f>IFERROR(__xludf.DUMMYFUNCTION("""COMPUTED_VALUE"""),25269.667690765782)</f>
        <v>25269.66769</v>
      </c>
      <c r="G61" s="381">
        <f>IFERROR(__xludf.DUMMYFUNCTION("""COMPUTED_VALUE"""),2352.543647970926)</f>
        <v>2352.543648</v>
      </c>
      <c r="H61" s="381">
        <f>IFERROR(__xludf.DUMMYFUNCTION("""COMPUTED_VALUE"""),3455.641612698396)</f>
        <v>3455.641613</v>
      </c>
      <c r="I61" s="381">
        <f>IFERROR(__xludf.DUMMYFUNCTION("""COMPUTED_VALUE"""),290.39330916808814)</f>
        <v>290.3933092</v>
      </c>
      <c r="J61" s="382">
        <f>IFERROR(__xludf.DUMMYFUNCTION("""COMPUTED_VALUE"""),736.6401097049147)</f>
        <v>736.6401097</v>
      </c>
      <c r="K61" s="341"/>
      <c r="L61" s="342"/>
      <c r="M61" s="342"/>
      <c r="N61" s="304"/>
      <c r="O61" s="304"/>
      <c r="P61" s="304"/>
      <c r="Q61" s="304"/>
      <c r="R61" s="304"/>
      <c r="S61" s="304"/>
      <c r="T61" s="304"/>
      <c r="U61" s="304"/>
      <c r="V61" s="304"/>
      <c r="W61" s="304"/>
      <c r="X61" s="304"/>
      <c r="Y61" s="304"/>
      <c r="Z61" s="304"/>
    </row>
    <row r="62" ht="15.75" customHeight="1">
      <c r="A62" s="352" t="s">
        <v>260</v>
      </c>
      <c r="B62" s="341">
        <f>IFERROR(__xludf.DUMMYFUNCTION("""COMPUTED_VALUE"""),3463.0)</f>
        <v>3463</v>
      </c>
      <c r="C62" s="353" t="str">
        <f>IFERROR(__xludf.DUMMYFUNCTION("""COMPUTED_VALUE"""),"TRAVELER")</f>
        <v>TRAVELER</v>
      </c>
      <c r="D62" s="381">
        <f>IFERROR(__xludf.DUMMYFUNCTION("""COMPUTED_VALUE"""),831170.9987700576)</f>
        <v>831170.9988</v>
      </c>
      <c r="E62" s="381">
        <f>IFERROR(__xludf.DUMMYFUNCTION("""COMPUTED_VALUE"""),11887.420573891666)</f>
        <v>11887.42057</v>
      </c>
      <c r="F62" s="381">
        <f>IFERROR(__xludf.DUMMYFUNCTION("""COMPUTED_VALUE"""),4940.87919324824)</f>
        <v>4940.879193</v>
      </c>
      <c r="G62" s="381">
        <f>IFERROR(__xludf.DUMMYFUNCTION("""COMPUTED_VALUE"""),12437.53459721113)</f>
        <v>12437.5346</v>
      </c>
      <c r="H62" s="381">
        <f>IFERROR(__xludf.DUMMYFUNCTION("""COMPUTED_VALUE"""),18269.44301355208)</f>
        <v>18269.44301</v>
      </c>
      <c r="I62" s="381">
        <f>IFERROR(__xludf.DUMMYFUNCTION("""COMPUTED_VALUE"""),1535.2645349181466)</f>
        <v>1535.264535</v>
      </c>
      <c r="J62" s="382">
        <f>IFERROR(__xludf.DUMMYFUNCTION("""COMPUTED_VALUE"""),3894.5023859814514)</f>
        <v>3894.502386</v>
      </c>
      <c r="K62" s="341"/>
      <c r="L62" s="342"/>
      <c r="M62" s="342"/>
      <c r="N62" s="304"/>
      <c r="O62" s="304"/>
      <c r="P62" s="304"/>
      <c r="Q62" s="304"/>
      <c r="R62" s="304"/>
      <c r="S62" s="304"/>
      <c r="T62" s="304"/>
      <c r="U62" s="304"/>
      <c r="V62" s="304"/>
      <c r="W62" s="304"/>
      <c r="X62" s="304"/>
      <c r="Y62" s="304"/>
      <c r="Z62" s="304"/>
    </row>
    <row r="63" ht="15.75" customHeight="1">
      <c r="A63" s="352" t="s">
        <v>261</v>
      </c>
      <c r="B63" s="341">
        <f>IFERROR(__xludf.DUMMYFUNCTION("""COMPUTED_VALUE"""),3594.0)</f>
        <v>3594</v>
      </c>
      <c r="C63" s="353" t="str">
        <f>IFERROR(__xludf.DUMMYFUNCTION("""COMPUTED_VALUE"""),"ARCTIC WIND")</f>
        <v>ARCTIC WIND</v>
      </c>
      <c r="D63" s="381">
        <f>IFERROR(__xludf.DUMMYFUNCTION("""COMPUTED_VALUE"""),1969712.9076632797)</f>
        <v>1969712.908</v>
      </c>
      <c r="E63" s="381">
        <f>IFERROR(__xludf.DUMMYFUNCTION("""COMPUTED_VALUE"""),306429.16179004917)</f>
        <v>306429.1618</v>
      </c>
      <c r="F63" s="381">
        <f>IFERROR(__xludf.DUMMYFUNCTION("""COMPUTED_VALUE"""),393065.2314560741)</f>
        <v>393065.2315</v>
      </c>
      <c r="G63" s="381">
        <f>IFERROR(__xludf.DUMMYFUNCTION("""COMPUTED_VALUE"""),50374.56576707514)</f>
        <v>50374.56577</v>
      </c>
      <c r="H63" s="381">
        <f>IFERROR(__xludf.DUMMYFUNCTION("""COMPUTED_VALUE"""),73994.99084170372)</f>
        <v>73994.99084</v>
      </c>
      <c r="I63" s="381">
        <f>IFERROR(__xludf.DUMMYFUNCTION("""COMPUTED_VALUE"""),6218.136213380567)</f>
        <v>6218.136213</v>
      </c>
      <c r="J63" s="382">
        <f>IFERROR(__xludf.DUMMYFUNCTION("""COMPUTED_VALUE"""),15773.533334865579)</f>
        <v>15773.53333</v>
      </c>
      <c r="K63" s="341"/>
      <c r="L63" s="342"/>
      <c r="M63" s="342"/>
      <c r="N63" s="304"/>
      <c r="O63" s="304"/>
      <c r="P63" s="304"/>
      <c r="Q63" s="304"/>
      <c r="R63" s="304"/>
      <c r="S63" s="304"/>
      <c r="T63" s="304"/>
      <c r="U63" s="304"/>
      <c r="V63" s="304"/>
      <c r="W63" s="304"/>
      <c r="X63" s="304"/>
      <c r="Y63" s="304"/>
      <c r="Z63" s="304"/>
    </row>
    <row r="64" ht="15.75" customHeight="1">
      <c r="A64" s="352" t="s">
        <v>262</v>
      </c>
      <c r="B64" s="341">
        <f>IFERROR(__xludf.DUMMYFUNCTION("""COMPUTED_VALUE"""),2550.0)</f>
        <v>2550</v>
      </c>
      <c r="C64" s="353" t="str">
        <f>IFERROR(__xludf.DUMMYFUNCTION("""COMPUTED_VALUE"""),"MICHELLE RENEE")</f>
        <v>MICHELLE RENEE</v>
      </c>
      <c r="D64" s="381">
        <f>IFERROR(__xludf.DUMMYFUNCTION("""COMPUTED_VALUE"""),1435081.2411877585)</f>
        <v>1435081.241</v>
      </c>
      <c r="E64" s="381">
        <f>IFERROR(__xludf.DUMMYFUNCTION("""COMPUTED_VALUE"""),574756.4714853661)</f>
        <v>574756.4715</v>
      </c>
      <c r="F64" s="381">
        <f>IFERROR(__xludf.DUMMYFUNCTION("""COMPUTED_VALUE"""),707102.0546467367)</f>
        <v>707102.0546</v>
      </c>
      <c r="G64" s="381">
        <f>IFERROR(__xludf.DUMMYFUNCTION("""COMPUTED_VALUE"""),61893.91317241749)</f>
        <v>61893.91317</v>
      </c>
      <c r="H64" s="381">
        <f>IFERROR(__xludf.DUMMYFUNCTION("""COMPUTED_VALUE"""),90915.71249520576)</f>
        <v>90915.7125</v>
      </c>
      <c r="I64" s="381">
        <f>IFERROR(__xludf.DUMMYFUNCTION("""COMPUTED_VALUE"""),7640.061547424586)</f>
        <v>7640.061547</v>
      </c>
      <c r="J64" s="382">
        <f>IFERROR(__xludf.DUMMYFUNCTION("""COMPUTED_VALUE"""),19380.52840325433)</f>
        <v>19380.5284</v>
      </c>
      <c r="K64" s="341"/>
      <c r="L64" s="342"/>
      <c r="M64" s="342"/>
      <c r="N64" s="304"/>
      <c r="O64" s="304"/>
      <c r="P64" s="304"/>
      <c r="Q64" s="304"/>
      <c r="R64" s="304"/>
      <c r="S64" s="304"/>
      <c r="T64" s="304"/>
      <c r="U64" s="304"/>
      <c r="V64" s="304"/>
      <c r="W64" s="304"/>
      <c r="X64" s="304"/>
      <c r="Y64" s="304"/>
      <c r="Z64" s="304"/>
    </row>
    <row r="65" ht="15.75" customHeight="1">
      <c r="A65" s="352" t="s">
        <v>263</v>
      </c>
      <c r="B65" s="341">
        <f>IFERROR(__xludf.DUMMYFUNCTION("""COMPUTED_VALUE"""),2882.0)</f>
        <v>2882</v>
      </c>
      <c r="C65" s="353" t="str">
        <f>IFERROR(__xludf.DUMMYFUNCTION("""COMPUTED_VALUE"""),"PACIFIC STORM")</f>
        <v>PACIFIC STORM</v>
      </c>
      <c r="D65" s="381">
        <f>IFERROR(__xludf.DUMMYFUNCTION("""COMPUTED_VALUE"""),54.402701298985576)</f>
        <v>54.4027013</v>
      </c>
      <c r="E65" s="381">
        <f>IFERROR(__xludf.DUMMYFUNCTION("""COMPUTED_VALUE"""),16.06473312957507)</f>
        <v>16.06473313</v>
      </c>
      <c r="F65" s="381">
        <f>IFERROR(__xludf.DUMMYFUNCTION("""COMPUTED_VALUE"""),38.877009939792586)</f>
        <v>38.87700994</v>
      </c>
      <c r="G65" s="381">
        <f>IFERROR(__xludf.DUMMYFUNCTION("""COMPUTED_VALUE"""),2.3110676865561977)</f>
        <v>2.311067687</v>
      </c>
      <c r="H65" s="381">
        <f>IFERROR(__xludf.DUMMYFUNCTION("""COMPUTED_VALUE"""),3.3947177449032004)</f>
        <v>3.394717745</v>
      </c>
      <c r="I65" s="381">
        <f>IFERROR(__xludf.DUMMYFUNCTION("""COMPUTED_VALUE"""),0.2852735989784221)</f>
        <v>0.285273599</v>
      </c>
      <c r="J65" s="382">
        <f>IFERROR(__xludf.DUMMYFUNCTION("""COMPUTED_VALUE"""),0.7236529514037227)</f>
        <v>0.7236529514</v>
      </c>
      <c r="K65" s="341"/>
      <c r="L65" s="342"/>
      <c r="M65" s="342"/>
      <c r="N65" s="304"/>
      <c r="O65" s="304"/>
      <c r="P65" s="304"/>
      <c r="Q65" s="304"/>
      <c r="R65" s="304"/>
      <c r="S65" s="304"/>
      <c r="T65" s="304"/>
      <c r="U65" s="304"/>
      <c r="V65" s="304"/>
      <c r="W65" s="304"/>
      <c r="X65" s="304"/>
      <c r="Y65" s="304"/>
      <c r="Z65" s="304"/>
    </row>
    <row r="66" ht="15.75" customHeight="1">
      <c r="A66" s="341" t="s">
        <v>264</v>
      </c>
      <c r="B66" s="341">
        <f>IFERROR(__xludf.DUMMYFUNCTION("""COMPUTED_VALUE"""),1271.0)</f>
        <v>1271</v>
      </c>
      <c r="C66" s="353" t="str">
        <f>IFERROR(__xludf.DUMMYFUNCTION("""COMPUTED_VALUE"""),"WALTER N")</f>
        <v>WALTER N</v>
      </c>
      <c r="D66" s="381">
        <f>IFERROR(__xludf.DUMMYFUNCTION("""COMPUTED_VALUE"""),1206262.3914701992)</f>
        <v>1206262.391</v>
      </c>
      <c r="E66" s="381">
        <f>IFERROR(__xludf.DUMMYFUNCTION("""COMPUTED_VALUE"""),44636.98553184341)</f>
        <v>44636.98553</v>
      </c>
      <c r="F66" s="381">
        <f>IFERROR(__xludf.DUMMYFUNCTION("""COMPUTED_VALUE"""),128105.19053300815)</f>
        <v>128105.1905</v>
      </c>
      <c r="G66" s="381">
        <f>IFERROR(__xludf.DUMMYFUNCTION("""COMPUTED_VALUE"""),21759.896320564654)</f>
        <v>21759.89632</v>
      </c>
      <c r="H66" s="381">
        <f>IFERROR(__xludf.DUMMYFUNCTION("""COMPUTED_VALUE"""),31963.021505765162)</f>
        <v>31963.02151</v>
      </c>
      <c r="I66" s="381">
        <f>IFERROR(__xludf.DUMMYFUNCTION("""COMPUTED_VALUE"""),2685.998325741316)</f>
        <v>2685.998326</v>
      </c>
      <c r="J66" s="382">
        <f>IFERROR(__xludf.DUMMYFUNCTION("""COMPUTED_VALUE"""),6813.566424824274)</f>
        <v>6813.566425</v>
      </c>
      <c r="K66" s="341"/>
      <c r="L66" s="342"/>
      <c r="M66" s="342"/>
      <c r="N66" s="304"/>
      <c r="O66" s="304"/>
      <c r="P66" s="304"/>
      <c r="Q66" s="304"/>
      <c r="R66" s="304"/>
      <c r="S66" s="304"/>
      <c r="T66" s="304"/>
      <c r="U66" s="304"/>
      <c r="V66" s="304"/>
      <c r="W66" s="304"/>
      <c r="X66" s="304"/>
      <c r="Y66" s="304"/>
      <c r="Z66" s="304"/>
    </row>
    <row r="67" ht="15.75" customHeight="1">
      <c r="A67" s="341" t="s">
        <v>264</v>
      </c>
      <c r="B67" s="341">
        <f>IFERROR(__xludf.DUMMYFUNCTION("""COMPUTED_VALUE"""),1273.0)</f>
        <v>1273</v>
      </c>
      <c r="C67" s="353" t="str">
        <f>IFERROR(__xludf.DUMMYFUNCTION("""COMPUTED_VALUE"""),"ELIZABETH F")</f>
        <v>ELIZABETH F</v>
      </c>
      <c r="D67" s="381">
        <f>IFERROR(__xludf.DUMMYFUNCTION("""COMPUTED_VALUE"""),958567.436482931)</f>
        <v>958567.4365</v>
      </c>
      <c r="E67" s="381">
        <f>IFERROR(__xludf.DUMMYFUNCTION("""COMPUTED_VALUE"""),13554.13663608508)</f>
        <v>13554.13664</v>
      </c>
      <c r="F67" s="381">
        <f>IFERROR(__xludf.DUMMYFUNCTION("""COMPUTED_VALUE"""),97143.15104685794)</f>
        <v>97143.15105</v>
      </c>
      <c r="G67" s="381">
        <f>IFERROR(__xludf.DUMMYFUNCTION("""COMPUTED_VALUE"""),16148.431388632327)</f>
        <v>16148.43139</v>
      </c>
      <c r="H67" s="381">
        <f>IFERROR(__xludf.DUMMYFUNCTION("""COMPUTED_VALUE"""),23720.363927994786)</f>
        <v>23720.36393</v>
      </c>
      <c r="I67" s="381">
        <f>IFERROR(__xludf.DUMMYFUNCTION("""COMPUTED_VALUE"""),1993.3302546217924)</f>
        <v>1993.330255</v>
      </c>
      <c r="J67" s="382">
        <f>IFERROR(__xludf.DUMMYFUNCTION("""COMPUTED_VALUE"""),5056.476754403418)</f>
        <v>5056.476754</v>
      </c>
      <c r="K67" s="341"/>
      <c r="L67" s="342"/>
      <c r="M67" s="342"/>
      <c r="N67" s="304"/>
      <c r="O67" s="304"/>
      <c r="P67" s="304"/>
      <c r="Q67" s="304"/>
      <c r="R67" s="304"/>
      <c r="S67" s="304"/>
      <c r="T67" s="304"/>
      <c r="U67" s="304"/>
      <c r="V67" s="304"/>
      <c r="W67" s="304"/>
      <c r="X67" s="304"/>
      <c r="Y67" s="304"/>
      <c r="Z67" s="304"/>
    </row>
    <row r="68" ht="15.75" customHeight="1">
      <c r="A68" s="341" t="s">
        <v>265</v>
      </c>
      <c r="B68" s="341">
        <f>IFERROR(__xludf.DUMMYFUNCTION("""COMPUTED_VALUE"""),3987.0)</f>
        <v>3987</v>
      </c>
      <c r="C68" s="353" t="str">
        <f>IFERROR(__xludf.DUMMYFUNCTION("""COMPUTED_VALUE"""),"GOLD RUSH")</f>
        <v>GOLD RUSH</v>
      </c>
      <c r="D68" s="381">
        <f>IFERROR(__xludf.DUMMYFUNCTION("""COMPUTED_VALUE"""),1229003.2646401885)</f>
        <v>1229003.265</v>
      </c>
      <c r="E68" s="381">
        <f>IFERROR(__xludf.DUMMYFUNCTION("""COMPUTED_VALUE"""),137688.5785909498)</f>
        <v>137688.5786</v>
      </c>
      <c r="F68" s="381">
        <f>IFERROR(__xludf.DUMMYFUNCTION("""COMPUTED_VALUE"""),141420.56643738714)</f>
        <v>141420.5664</v>
      </c>
      <c r="G68" s="381">
        <f>IFERROR(__xludf.DUMMYFUNCTION("""COMPUTED_VALUE"""),26807.884432719802)</f>
        <v>26807.88443</v>
      </c>
      <c r="H68" s="381">
        <f>IFERROR(__xludf.DUMMYFUNCTION("""COMPUTED_VALUE"""),39377.99031869906)</f>
        <v>39377.99032</v>
      </c>
      <c r="I68" s="381">
        <f>IFERROR(__xludf.DUMMYFUNCTION("""COMPUTED_VALUE"""),3309.111938869917)</f>
        <v>3309.111939</v>
      </c>
      <c r="J68" s="382">
        <f>IFERROR(__xludf.DUMMYFUNCTION("""COMPUTED_VALUE"""),8394.217444810378)</f>
        <v>8394.217445</v>
      </c>
      <c r="K68" s="341"/>
      <c r="L68" s="342"/>
      <c r="M68" s="342"/>
      <c r="N68" s="304"/>
      <c r="O68" s="304"/>
      <c r="P68" s="304"/>
      <c r="Q68" s="304"/>
      <c r="R68" s="304"/>
      <c r="S68" s="304"/>
      <c r="T68" s="304"/>
      <c r="U68" s="304"/>
      <c r="V68" s="304"/>
      <c r="W68" s="304"/>
      <c r="X68" s="304"/>
      <c r="Y68" s="304"/>
      <c r="Z68" s="304"/>
    </row>
    <row r="69" ht="15.75" customHeight="1">
      <c r="A69" s="341" t="s">
        <v>266</v>
      </c>
      <c r="B69" s="341">
        <f>IFERROR(__xludf.DUMMYFUNCTION("""COMPUTED_VALUE"""),1523.0)</f>
        <v>1523</v>
      </c>
      <c r="C69" s="353" t="str">
        <f>IFERROR(__xludf.DUMMYFUNCTION("""COMPUTED_VALUE"""),"COLLIER BROTHERS")</f>
        <v>COLLIER BROTHERS</v>
      </c>
      <c r="D69" s="381">
        <f>IFERROR(__xludf.DUMMYFUNCTION("""COMPUTED_VALUE"""),605381.8354878388)</f>
        <v>605381.8355</v>
      </c>
      <c r="E69" s="381">
        <f>IFERROR(__xludf.DUMMYFUNCTION("""COMPUTED_VALUE"""),119332.85386976603)</f>
        <v>119332.8539</v>
      </c>
      <c r="F69" s="381">
        <f>IFERROR(__xludf.DUMMYFUNCTION("""COMPUTED_VALUE"""),116727.83357412784)</f>
        <v>116727.8336</v>
      </c>
      <c r="G69" s="381">
        <f>IFERROR(__xludf.DUMMYFUNCTION("""COMPUTED_VALUE"""),16607.74068421746)</f>
        <v>16607.74068</v>
      </c>
      <c r="H69" s="381">
        <f>IFERROR(__xludf.DUMMYFUNCTION("""COMPUTED_VALUE"""),24395.04144834266)</f>
        <v>24395.04145</v>
      </c>
      <c r="I69" s="381">
        <f>IFERROR(__xludf.DUMMYFUNCTION("""COMPUTED_VALUE"""),2050.0264805947604)</f>
        <v>2050.026481</v>
      </c>
      <c r="J69" s="382">
        <f>IFERROR(__xludf.DUMMYFUNCTION("""COMPUTED_VALUE"""),5200.297954141899)</f>
        <v>5200.297954</v>
      </c>
      <c r="K69" s="341"/>
      <c r="L69" s="342"/>
      <c r="M69" s="342"/>
      <c r="N69" s="304"/>
      <c r="O69" s="304"/>
      <c r="P69" s="304"/>
      <c r="Q69" s="304"/>
      <c r="R69" s="304"/>
      <c r="S69" s="304"/>
      <c r="T69" s="304"/>
      <c r="U69" s="304"/>
      <c r="V69" s="304"/>
      <c r="W69" s="304"/>
      <c r="X69" s="304"/>
      <c r="Y69" s="304"/>
      <c r="Z69" s="304"/>
    </row>
    <row r="70" ht="15.75" customHeight="1">
      <c r="A70" s="362" t="s">
        <v>233</v>
      </c>
      <c r="B70" s="363">
        <v>15.0</v>
      </c>
      <c r="C70" s="388" t="s">
        <v>117</v>
      </c>
      <c r="D70" s="389">
        <f t="shared" ref="D70:J70" si="11">SUM(D55:D69)</f>
        <v>11724976.27</v>
      </c>
      <c r="E70" s="390">
        <f t="shared" si="11"/>
        <v>1739582.318</v>
      </c>
      <c r="F70" s="390">
        <f t="shared" si="11"/>
        <v>2823548.592</v>
      </c>
      <c r="G70" s="390">
        <f t="shared" si="11"/>
        <v>305396.3938</v>
      </c>
      <c r="H70" s="390">
        <f t="shared" si="11"/>
        <v>448595.4969</v>
      </c>
      <c r="I70" s="390">
        <f t="shared" si="11"/>
        <v>37697.52348</v>
      </c>
      <c r="J70" s="391">
        <f t="shared" si="11"/>
        <v>95627.23022</v>
      </c>
      <c r="K70" s="341"/>
      <c r="L70" s="342"/>
      <c r="M70" s="342"/>
      <c r="N70" s="304"/>
      <c r="O70" s="304"/>
      <c r="P70" s="304"/>
      <c r="Q70" s="304"/>
      <c r="R70" s="304"/>
      <c r="S70" s="304"/>
      <c r="T70" s="304"/>
      <c r="U70" s="304"/>
      <c r="V70" s="304"/>
      <c r="W70" s="304"/>
      <c r="X70" s="304"/>
      <c r="Y70" s="304"/>
      <c r="Z70" s="304"/>
    </row>
    <row r="71" ht="15.75" customHeight="1">
      <c r="A71" s="341"/>
      <c r="B71" s="341"/>
      <c r="C71" s="341"/>
      <c r="D71" s="341"/>
      <c r="E71" s="341"/>
      <c r="F71" s="341"/>
      <c r="G71" s="341"/>
      <c r="H71" s="341"/>
      <c r="I71" s="341"/>
      <c r="J71" s="341"/>
      <c r="K71" s="341"/>
      <c r="L71" s="342"/>
      <c r="M71" s="342"/>
      <c r="N71" s="304"/>
      <c r="O71" s="304"/>
      <c r="P71" s="304"/>
      <c r="Q71" s="304"/>
      <c r="R71" s="304"/>
      <c r="S71" s="304"/>
      <c r="T71" s="304"/>
      <c r="U71" s="304"/>
      <c r="V71" s="304"/>
      <c r="W71" s="304"/>
      <c r="X71" s="304"/>
      <c r="Y71" s="304"/>
      <c r="Z71" s="304"/>
    </row>
    <row r="72" ht="15.75" customHeight="1">
      <c r="A72" s="341"/>
      <c r="B72" s="341"/>
      <c r="C72" s="341"/>
      <c r="D72" s="341"/>
      <c r="E72" s="341"/>
      <c r="F72" s="341"/>
      <c r="G72" s="341"/>
      <c r="H72" s="341"/>
      <c r="I72" s="341"/>
      <c r="J72" s="341"/>
      <c r="K72" s="341"/>
      <c r="L72" s="342"/>
      <c r="M72" s="342"/>
      <c r="N72" s="304"/>
      <c r="O72" s="304"/>
      <c r="P72" s="304"/>
      <c r="Q72" s="304"/>
      <c r="R72" s="304"/>
      <c r="S72" s="304"/>
      <c r="T72" s="304"/>
      <c r="U72" s="304"/>
      <c r="V72" s="304"/>
      <c r="W72" s="304"/>
      <c r="X72" s="304"/>
      <c r="Y72" s="304"/>
      <c r="Z72" s="304"/>
    </row>
    <row r="73" ht="15.75" customHeight="1">
      <c r="A73" s="352"/>
      <c r="B73" s="341"/>
      <c r="C73" s="341"/>
      <c r="D73" s="341"/>
      <c r="E73" s="341"/>
      <c r="F73" s="341"/>
      <c r="G73" s="341"/>
      <c r="H73" s="341"/>
      <c r="I73" s="341"/>
      <c r="J73" s="341"/>
      <c r="K73" s="341"/>
      <c r="L73" s="342"/>
      <c r="M73" s="342"/>
      <c r="N73" s="304"/>
      <c r="O73" s="304"/>
      <c r="P73" s="304"/>
      <c r="Q73" s="304"/>
      <c r="R73" s="304"/>
      <c r="S73" s="304"/>
      <c r="T73" s="304"/>
      <c r="U73" s="304"/>
      <c r="V73" s="304"/>
      <c r="W73" s="304"/>
      <c r="X73" s="304"/>
      <c r="Y73" s="304"/>
      <c r="Z73" s="304"/>
    </row>
    <row r="74" ht="15.75" customHeight="1">
      <c r="A74" s="373"/>
      <c r="B74" s="357"/>
      <c r="C74" s="373"/>
      <c r="D74" s="393"/>
      <c r="E74" s="393"/>
      <c r="F74" s="393"/>
      <c r="G74" s="393"/>
      <c r="H74" s="393"/>
      <c r="I74" s="393"/>
      <c r="J74" s="393"/>
      <c r="K74" s="341"/>
      <c r="L74" s="342"/>
      <c r="M74" s="342"/>
      <c r="N74" s="304"/>
      <c r="O74" s="304"/>
      <c r="P74" s="304"/>
      <c r="Q74" s="304"/>
      <c r="R74" s="304"/>
      <c r="S74" s="304"/>
      <c r="T74" s="304"/>
      <c r="U74" s="304"/>
      <c r="V74" s="304"/>
      <c r="W74" s="304"/>
      <c r="X74" s="304"/>
      <c r="Y74" s="304"/>
      <c r="Z74" s="304"/>
    </row>
    <row r="75" ht="15.75" customHeight="1">
      <c r="A75" s="341"/>
      <c r="B75" s="341"/>
      <c r="C75" s="341"/>
      <c r="D75" s="341"/>
      <c r="E75" s="341"/>
      <c r="F75" s="341"/>
      <c r="G75" s="341"/>
      <c r="H75" s="341"/>
      <c r="I75" s="341"/>
      <c r="J75" s="341"/>
      <c r="K75" s="341"/>
      <c r="L75" s="342"/>
      <c r="M75" s="342"/>
      <c r="N75" s="304"/>
      <c r="O75" s="304"/>
      <c r="P75" s="304"/>
      <c r="Q75" s="304"/>
      <c r="R75" s="304"/>
      <c r="S75" s="304"/>
      <c r="T75" s="304"/>
      <c r="U75" s="304"/>
      <c r="V75" s="304"/>
      <c r="W75" s="304"/>
      <c r="X75" s="304"/>
      <c r="Y75" s="304"/>
      <c r="Z75" s="304"/>
    </row>
    <row r="76" ht="15.75" customHeight="1">
      <c r="A76" s="341"/>
      <c r="B76" s="341"/>
      <c r="C76" s="341"/>
      <c r="D76" s="341"/>
      <c r="E76" s="341"/>
      <c r="F76" s="341"/>
      <c r="G76" s="341"/>
      <c r="H76" s="341"/>
      <c r="I76" s="341"/>
      <c r="J76" s="341"/>
      <c r="K76" s="341"/>
      <c r="L76" s="342"/>
      <c r="M76" s="342"/>
      <c r="N76" s="304"/>
      <c r="O76" s="304"/>
      <c r="P76" s="304"/>
      <c r="Q76" s="304"/>
      <c r="R76" s="304"/>
      <c r="S76" s="304"/>
      <c r="T76" s="304"/>
      <c r="U76" s="304"/>
      <c r="V76" s="304"/>
      <c r="W76" s="304"/>
      <c r="X76" s="304"/>
      <c r="Y76" s="304"/>
      <c r="Z76" s="304"/>
    </row>
    <row r="77" ht="15.75" customHeight="1">
      <c r="A77" s="341"/>
      <c r="B77" s="341"/>
      <c r="C77" s="341"/>
      <c r="D77" s="341"/>
      <c r="E77" s="341"/>
      <c r="F77" s="341"/>
      <c r="G77" s="341"/>
      <c r="H77" s="341"/>
      <c r="I77" s="341"/>
      <c r="J77" s="341"/>
      <c r="K77" s="341"/>
      <c r="L77" s="342"/>
      <c r="M77" s="342"/>
      <c r="N77" s="304"/>
      <c r="O77" s="304"/>
      <c r="P77" s="304"/>
      <c r="Q77" s="304"/>
      <c r="R77" s="304"/>
      <c r="S77" s="304"/>
      <c r="T77" s="304"/>
      <c r="U77" s="304"/>
      <c r="V77" s="304"/>
      <c r="W77" s="304"/>
      <c r="X77" s="304"/>
      <c r="Y77" s="304"/>
      <c r="Z77" s="304"/>
    </row>
    <row r="78" ht="15.75" customHeight="1">
      <c r="A78" s="341"/>
      <c r="B78" s="341"/>
      <c r="C78" s="341"/>
      <c r="D78" s="341"/>
      <c r="E78" s="341"/>
      <c r="F78" s="341"/>
      <c r="G78" s="341"/>
      <c r="H78" s="341"/>
      <c r="I78" s="341"/>
      <c r="J78" s="341"/>
      <c r="K78" s="341"/>
      <c r="L78" s="342"/>
      <c r="M78" s="342"/>
      <c r="N78" s="304"/>
      <c r="O78" s="304"/>
      <c r="P78" s="304"/>
      <c r="Q78" s="304"/>
      <c r="R78" s="304"/>
      <c r="S78" s="304"/>
      <c r="T78" s="304"/>
      <c r="U78" s="304"/>
      <c r="V78" s="304"/>
      <c r="W78" s="304"/>
      <c r="X78" s="304"/>
      <c r="Y78" s="304"/>
      <c r="Z78" s="304"/>
    </row>
    <row r="79" ht="15.75" customHeight="1">
      <c r="A79" s="341"/>
      <c r="B79" s="341"/>
      <c r="C79" s="341"/>
      <c r="D79" s="341"/>
      <c r="E79" s="341"/>
      <c r="F79" s="341"/>
      <c r="G79" s="341"/>
      <c r="H79" s="341"/>
      <c r="I79" s="341"/>
      <c r="J79" s="341"/>
      <c r="K79" s="341"/>
      <c r="L79" s="342"/>
      <c r="M79" s="342"/>
      <c r="N79" s="304"/>
      <c r="O79" s="304"/>
      <c r="P79" s="304"/>
      <c r="Q79" s="304"/>
      <c r="R79" s="304"/>
      <c r="S79" s="304"/>
      <c r="T79" s="304"/>
      <c r="U79" s="304"/>
      <c r="V79" s="304"/>
      <c r="W79" s="304"/>
      <c r="X79" s="304"/>
      <c r="Y79" s="304"/>
      <c r="Z79" s="304"/>
    </row>
    <row r="80" ht="15.75" customHeight="1">
      <c r="A80" s="341"/>
      <c r="B80" s="341"/>
      <c r="C80" s="341"/>
      <c r="D80" s="341"/>
      <c r="E80" s="341"/>
      <c r="F80" s="341"/>
      <c r="G80" s="341"/>
      <c r="H80" s="341"/>
      <c r="I80" s="341"/>
      <c r="J80" s="341"/>
      <c r="K80" s="341"/>
      <c r="L80" s="342"/>
      <c r="M80" s="342"/>
      <c r="N80" s="304"/>
      <c r="O80" s="304"/>
      <c r="P80" s="304"/>
      <c r="Q80" s="304"/>
      <c r="R80" s="304"/>
      <c r="S80" s="304"/>
      <c r="T80" s="304"/>
      <c r="U80" s="304"/>
      <c r="V80" s="304"/>
      <c r="W80" s="304"/>
      <c r="X80" s="304"/>
      <c r="Y80" s="304"/>
      <c r="Z80" s="304"/>
    </row>
    <row r="81" ht="15.75" customHeight="1">
      <c r="A81" s="341"/>
      <c r="B81" s="341"/>
      <c r="C81" s="341"/>
      <c r="D81" s="341"/>
      <c r="E81" s="341"/>
      <c r="F81" s="341"/>
      <c r="G81" s="341"/>
      <c r="H81" s="341"/>
      <c r="I81" s="341"/>
      <c r="J81" s="341"/>
      <c r="K81" s="341"/>
      <c r="L81" s="342"/>
      <c r="M81" s="342"/>
      <c r="N81" s="304"/>
      <c r="O81" s="304"/>
      <c r="P81" s="304"/>
      <c r="Q81" s="304"/>
      <c r="R81" s="304"/>
      <c r="S81" s="304"/>
      <c r="T81" s="304"/>
      <c r="U81" s="304"/>
      <c r="V81" s="304"/>
      <c r="W81" s="304"/>
      <c r="X81" s="304"/>
      <c r="Y81" s="304"/>
      <c r="Z81" s="304"/>
    </row>
    <row r="82" ht="15.75" customHeight="1">
      <c r="A82" s="341"/>
      <c r="B82" s="341"/>
      <c r="C82" s="341"/>
      <c r="D82" s="341"/>
      <c r="E82" s="341"/>
      <c r="F82" s="341"/>
      <c r="G82" s="341"/>
      <c r="H82" s="341"/>
      <c r="I82" s="341"/>
      <c r="J82" s="341"/>
      <c r="K82" s="341"/>
      <c r="L82" s="342"/>
      <c r="M82" s="342"/>
      <c r="N82" s="304"/>
      <c r="O82" s="304"/>
      <c r="P82" s="304"/>
      <c r="Q82" s="304"/>
      <c r="R82" s="304"/>
      <c r="S82" s="304"/>
      <c r="T82" s="304"/>
      <c r="U82" s="304"/>
      <c r="V82" s="304"/>
      <c r="W82" s="304"/>
      <c r="X82" s="304"/>
      <c r="Y82" s="304"/>
      <c r="Z82" s="304"/>
    </row>
    <row r="83" ht="15.75" customHeight="1">
      <c r="A83" s="341"/>
      <c r="B83" s="341"/>
      <c r="C83" s="341"/>
      <c r="D83" s="341"/>
      <c r="E83" s="341"/>
      <c r="F83" s="341"/>
      <c r="G83" s="341"/>
      <c r="H83" s="341"/>
      <c r="I83" s="341"/>
      <c r="J83" s="341"/>
      <c r="K83" s="341"/>
      <c r="L83" s="342"/>
      <c r="M83" s="342"/>
      <c r="N83" s="304"/>
      <c r="O83" s="304"/>
      <c r="P83" s="304"/>
      <c r="Q83" s="304"/>
      <c r="R83" s="304"/>
      <c r="S83" s="304"/>
      <c r="T83" s="304"/>
      <c r="U83" s="304"/>
      <c r="V83" s="304"/>
      <c r="W83" s="304"/>
      <c r="X83" s="304"/>
      <c r="Y83" s="304"/>
      <c r="Z83" s="304"/>
    </row>
    <row r="84" ht="15.75" customHeight="1">
      <c r="A84" s="341"/>
      <c r="B84" s="341"/>
      <c r="C84" s="341"/>
      <c r="D84" s="341"/>
      <c r="E84" s="341"/>
      <c r="F84" s="341"/>
      <c r="G84" s="341"/>
      <c r="H84" s="341"/>
      <c r="I84" s="341"/>
      <c r="J84" s="341"/>
      <c r="K84" s="341"/>
      <c r="L84" s="342"/>
      <c r="M84" s="342"/>
      <c r="N84" s="304"/>
      <c r="O84" s="304"/>
      <c r="P84" s="304"/>
      <c r="Q84" s="304"/>
      <c r="R84" s="304"/>
      <c r="S84" s="304"/>
      <c r="T84" s="304"/>
      <c r="U84" s="304"/>
      <c r="V84" s="304"/>
      <c r="W84" s="304"/>
      <c r="X84" s="304"/>
      <c r="Y84" s="304"/>
      <c r="Z84" s="304"/>
    </row>
    <row r="85" ht="15.75" customHeight="1">
      <c r="A85" s="341"/>
      <c r="B85" s="341"/>
      <c r="C85" s="341"/>
      <c r="D85" s="341"/>
      <c r="E85" s="341"/>
      <c r="F85" s="341"/>
      <c r="G85" s="341"/>
      <c r="H85" s="341"/>
      <c r="I85" s="341"/>
      <c r="J85" s="341"/>
      <c r="K85" s="341"/>
      <c r="L85" s="342"/>
      <c r="M85" s="342"/>
      <c r="N85" s="304"/>
      <c r="O85" s="304"/>
      <c r="P85" s="304"/>
      <c r="Q85" s="304"/>
      <c r="R85" s="304"/>
      <c r="S85" s="304"/>
      <c r="T85" s="304"/>
      <c r="U85" s="304"/>
      <c r="V85" s="304"/>
      <c r="W85" s="304"/>
      <c r="X85" s="304"/>
      <c r="Y85" s="304"/>
      <c r="Z85" s="304"/>
    </row>
    <row r="86" ht="15.75" customHeight="1">
      <c r="A86" s="341"/>
      <c r="B86" s="341"/>
      <c r="C86" s="341"/>
      <c r="D86" s="341"/>
      <c r="E86" s="341"/>
      <c r="F86" s="341"/>
      <c r="G86" s="341"/>
      <c r="H86" s="341"/>
      <c r="I86" s="341"/>
      <c r="J86" s="341"/>
      <c r="K86" s="341"/>
      <c r="L86" s="342"/>
      <c r="M86" s="342"/>
      <c r="N86" s="304"/>
      <c r="O86" s="304"/>
      <c r="P86" s="304"/>
      <c r="Q86" s="304"/>
      <c r="R86" s="304"/>
      <c r="S86" s="304"/>
      <c r="T86" s="304"/>
      <c r="U86" s="304"/>
      <c r="V86" s="304"/>
      <c r="W86" s="304"/>
      <c r="X86" s="304"/>
      <c r="Y86" s="304"/>
      <c r="Z86" s="304"/>
    </row>
    <row r="87" ht="15.75" customHeight="1">
      <c r="A87" s="341"/>
      <c r="B87" s="341"/>
      <c r="C87" s="341"/>
      <c r="D87" s="341"/>
      <c r="E87" s="341"/>
      <c r="F87" s="341"/>
      <c r="G87" s="341"/>
      <c r="H87" s="341"/>
      <c r="I87" s="341"/>
      <c r="J87" s="341"/>
      <c r="K87" s="341"/>
      <c r="L87" s="342"/>
      <c r="M87" s="342"/>
      <c r="N87" s="304"/>
      <c r="O87" s="304"/>
      <c r="P87" s="304"/>
      <c r="Q87" s="304"/>
      <c r="R87" s="304"/>
      <c r="S87" s="304"/>
      <c r="T87" s="304"/>
      <c r="U87" s="304"/>
      <c r="V87" s="304"/>
      <c r="W87" s="304"/>
      <c r="X87" s="304"/>
      <c r="Y87" s="304"/>
      <c r="Z87" s="304"/>
    </row>
    <row r="88" ht="15.75" customHeight="1">
      <c r="A88" s="341"/>
      <c r="B88" s="341"/>
      <c r="C88" s="341"/>
      <c r="D88" s="341"/>
      <c r="E88" s="341"/>
      <c r="F88" s="341"/>
      <c r="G88" s="341"/>
      <c r="H88" s="341"/>
      <c r="I88" s="341"/>
      <c r="J88" s="341"/>
      <c r="K88" s="341"/>
      <c r="L88" s="342"/>
      <c r="M88" s="342"/>
      <c r="N88" s="304"/>
      <c r="O88" s="304"/>
      <c r="P88" s="304"/>
      <c r="Q88" s="304"/>
      <c r="R88" s="304"/>
      <c r="S88" s="304"/>
      <c r="T88" s="304"/>
      <c r="U88" s="304"/>
      <c r="V88" s="304"/>
      <c r="W88" s="304"/>
      <c r="X88" s="304"/>
      <c r="Y88" s="304"/>
      <c r="Z88" s="304"/>
    </row>
    <row r="89" ht="15.75" customHeight="1">
      <c r="A89" s="341"/>
      <c r="B89" s="341"/>
      <c r="C89" s="341"/>
      <c r="D89" s="341"/>
      <c r="E89" s="341"/>
      <c r="F89" s="341"/>
      <c r="G89" s="341"/>
      <c r="H89" s="341"/>
      <c r="I89" s="341"/>
      <c r="J89" s="341"/>
      <c r="K89" s="341"/>
      <c r="L89" s="342"/>
      <c r="M89" s="342"/>
      <c r="N89" s="304"/>
      <c r="O89" s="304"/>
      <c r="P89" s="304"/>
      <c r="Q89" s="304"/>
      <c r="R89" s="304"/>
      <c r="S89" s="304"/>
      <c r="T89" s="304"/>
      <c r="U89" s="304"/>
      <c r="V89" s="304"/>
      <c r="W89" s="304"/>
      <c r="X89" s="304"/>
      <c r="Y89" s="304"/>
      <c r="Z89" s="304"/>
    </row>
    <row r="90" ht="15.75" customHeight="1">
      <c r="A90" s="341"/>
      <c r="B90" s="341"/>
      <c r="C90" s="341"/>
      <c r="D90" s="341"/>
      <c r="E90" s="341"/>
      <c r="F90" s="341"/>
      <c r="G90" s="341"/>
      <c r="H90" s="341"/>
      <c r="I90" s="341"/>
      <c r="J90" s="341"/>
      <c r="K90" s="341"/>
      <c r="L90" s="342"/>
      <c r="M90" s="342"/>
      <c r="N90" s="304"/>
      <c r="O90" s="304"/>
      <c r="P90" s="304"/>
      <c r="Q90" s="304"/>
      <c r="R90" s="304"/>
      <c r="S90" s="304"/>
      <c r="T90" s="304"/>
      <c r="U90" s="304"/>
      <c r="V90" s="304"/>
      <c r="W90" s="304"/>
      <c r="X90" s="304"/>
      <c r="Y90" s="304"/>
      <c r="Z90" s="304"/>
    </row>
    <row r="91" ht="15.75" customHeight="1">
      <c r="A91" s="341"/>
      <c r="B91" s="341"/>
      <c r="C91" s="341"/>
      <c r="D91" s="341"/>
      <c r="E91" s="341"/>
      <c r="F91" s="341"/>
      <c r="G91" s="341"/>
      <c r="H91" s="341"/>
      <c r="I91" s="341"/>
      <c r="J91" s="341"/>
      <c r="K91" s="341"/>
      <c r="L91" s="342"/>
      <c r="M91" s="342"/>
      <c r="N91" s="304"/>
      <c r="O91" s="304"/>
      <c r="P91" s="304"/>
      <c r="Q91" s="304"/>
      <c r="R91" s="304"/>
      <c r="S91" s="304"/>
      <c r="T91" s="304"/>
      <c r="U91" s="304"/>
      <c r="V91" s="304"/>
      <c r="W91" s="304"/>
      <c r="X91" s="304"/>
      <c r="Y91" s="304"/>
      <c r="Z91" s="304"/>
    </row>
    <row r="92" ht="15.75" customHeight="1">
      <c r="A92" s="341"/>
      <c r="B92" s="341"/>
      <c r="C92" s="341"/>
      <c r="D92" s="341"/>
      <c r="E92" s="341"/>
      <c r="F92" s="341"/>
      <c r="G92" s="341"/>
      <c r="H92" s="341"/>
      <c r="I92" s="341"/>
      <c r="J92" s="341"/>
      <c r="K92" s="341"/>
      <c r="L92" s="342"/>
      <c r="M92" s="342"/>
      <c r="N92" s="304"/>
      <c r="O92" s="304"/>
      <c r="P92" s="304"/>
      <c r="Q92" s="304"/>
      <c r="R92" s="304"/>
      <c r="S92" s="304"/>
      <c r="T92" s="304"/>
      <c r="U92" s="304"/>
      <c r="V92" s="304"/>
      <c r="W92" s="304"/>
      <c r="X92" s="304"/>
      <c r="Y92" s="304"/>
      <c r="Z92" s="304"/>
    </row>
    <row r="93" ht="15.75" customHeight="1">
      <c r="A93" s="341"/>
      <c r="B93" s="341"/>
      <c r="C93" s="341"/>
      <c r="D93" s="341"/>
      <c r="E93" s="341"/>
      <c r="F93" s="341"/>
      <c r="G93" s="341"/>
      <c r="H93" s="341"/>
      <c r="I93" s="341"/>
      <c r="J93" s="341"/>
      <c r="K93" s="341"/>
      <c r="L93" s="342"/>
      <c r="M93" s="342"/>
      <c r="N93" s="304"/>
      <c r="O93" s="304"/>
      <c r="P93" s="304"/>
      <c r="Q93" s="304"/>
      <c r="R93" s="304"/>
      <c r="S93" s="304"/>
      <c r="T93" s="304"/>
      <c r="U93" s="304"/>
      <c r="V93" s="304"/>
      <c r="W93" s="304"/>
      <c r="X93" s="304"/>
      <c r="Y93" s="304"/>
      <c r="Z93" s="304"/>
    </row>
    <row r="94" ht="15.75" customHeight="1">
      <c r="A94" s="341"/>
      <c r="B94" s="341"/>
      <c r="C94" s="341"/>
      <c r="D94" s="341"/>
      <c r="E94" s="341"/>
      <c r="F94" s="341"/>
      <c r="G94" s="341"/>
      <c r="H94" s="341"/>
      <c r="I94" s="341"/>
      <c r="J94" s="341"/>
      <c r="K94" s="341"/>
      <c r="L94" s="342"/>
      <c r="M94" s="342"/>
      <c r="N94" s="304"/>
      <c r="O94" s="304"/>
      <c r="P94" s="304"/>
      <c r="Q94" s="304"/>
      <c r="R94" s="304"/>
      <c r="S94" s="304"/>
      <c r="T94" s="304"/>
      <c r="U94" s="304"/>
      <c r="V94" s="304"/>
      <c r="W94" s="304"/>
      <c r="X94" s="304"/>
      <c r="Y94" s="304"/>
      <c r="Z94" s="304"/>
    </row>
    <row r="95" ht="15.75" customHeight="1">
      <c r="A95" s="341"/>
      <c r="B95" s="341"/>
      <c r="C95" s="341"/>
      <c r="D95" s="341"/>
      <c r="E95" s="341"/>
      <c r="F95" s="341"/>
      <c r="G95" s="341"/>
      <c r="H95" s="341"/>
      <c r="I95" s="341"/>
      <c r="J95" s="341"/>
      <c r="K95" s="341"/>
      <c r="L95" s="342"/>
      <c r="M95" s="342"/>
      <c r="N95" s="304"/>
      <c r="O95" s="304"/>
      <c r="P95" s="304"/>
      <c r="Q95" s="304"/>
      <c r="R95" s="304"/>
      <c r="S95" s="304"/>
      <c r="T95" s="304"/>
      <c r="U95" s="304"/>
      <c r="V95" s="304"/>
      <c r="W95" s="304"/>
      <c r="X95" s="304"/>
      <c r="Y95" s="304"/>
      <c r="Z95" s="304"/>
    </row>
    <row r="96" ht="15.75" customHeight="1">
      <c r="A96" s="341"/>
      <c r="B96" s="341"/>
      <c r="C96" s="341"/>
      <c r="D96" s="341"/>
      <c r="E96" s="341"/>
      <c r="F96" s="341"/>
      <c r="G96" s="341"/>
      <c r="H96" s="341"/>
      <c r="I96" s="341"/>
      <c r="J96" s="341"/>
      <c r="K96" s="341"/>
      <c r="L96" s="342"/>
      <c r="M96" s="342"/>
      <c r="N96" s="304"/>
      <c r="O96" s="304"/>
      <c r="P96" s="304"/>
      <c r="Q96" s="304"/>
      <c r="R96" s="304"/>
      <c r="S96" s="304"/>
      <c r="T96" s="304"/>
      <c r="U96" s="304"/>
      <c r="V96" s="304"/>
      <c r="W96" s="304"/>
      <c r="X96" s="304"/>
      <c r="Y96" s="304"/>
      <c r="Z96" s="304"/>
    </row>
    <row r="97" ht="15.75" customHeight="1">
      <c r="A97" s="341"/>
      <c r="B97" s="341"/>
      <c r="C97" s="341"/>
      <c r="D97" s="341"/>
      <c r="E97" s="341"/>
      <c r="F97" s="341"/>
      <c r="G97" s="341"/>
      <c r="H97" s="341"/>
      <c r="I97" s="341"/>
      <c r="J97" s="341"/>
      <c r="K97" s="341"/>
      <c r="L97" s="342"/>
      <c r="M97" s="342"/>
      <c r="N97" s="304"/>
      <c r="O97" s="304"/>
      <c r="P97" s="304"/>
      <c r="Q97" s="304"/>
      <c r="R97" s="304"/>
      <c r="S97" s="304"/>
      <c r="T97" s="304"/>
      <c r="U97" s="304"/>
      <c r="V97" s="304"/>
      <c r="W97" s="304"/>
      <c r="X97" s="304"/>
      <c r="Y97" s="304"/>
      <c r="Z97" s="304"/>
    </row>
    <row r="98" ht="15.75" customHeight="1">
      <c r="A98" s="341"/>
      <c r="B98" s="341"/>
      <c r="C98" s="341"/>
      <c r="D98" s="341"/>
      <c r="E98" s="341"/>
      <c r="F98" s="341"/>
      <c r="G98" s="341"/>
      <c r="H98" s="341"/>
      <c r="I98" s="341"/>
      <c r="J98" s="341"/>
      <c r="K98" s="341"/>
      <c r="L98" s="342"/>
      <c r="M98" s="342"/>
      <c r="N98" s="304"/>
      <c r="O98" s="304"/>
      <c r="P98" s="304"/>
      <c r="Q98" s="304"/>
      <c r="R98" s="304"/>
      <c r="S98" s="304"/>
      <c r="T98" s="304"/>
      <c r="U98" s="304"/>
      <c r="V98" s="304"/>
      <c r="W98" s="304"/>
      <c r="X98" s="304"/>
      <c r="Y98" s="304"/>
      <c r="Z98" s="304"/>
    </row>
    <row r="99" ht="15.75" customHeight="1">
      <c r="A99" s="341"/>
      <c r="B99" s="341"/>
      <c r="C99" s="341"/>
      <c r="D99" s="341"/>
      <c r="E99" s="341"/>
      <c r="F99" s="341"/>
      <c r="G99" s="341"/>
      <c r="H99" s="341"/>
      <c r="I99" s="341"/>
      <c r="J99" s="341"/>
      <c r="K99" s="341"/>
      <c r="L99" s="342"/>
      <c r="M99" s="342"/>
      <c r="N99" s="304"/>
      <c r="O99" s="304"/>
      <c r="P99" s="304"/>
      <c r="Q99" s="304"/>
      <c r="R99" s="304"/>
      <c r="S99" s="304"/>
      <c r="T99" s="304"/>
      <c r="U99" s="304"/>
      <c r="V99" s="304"/>
      <c r="W99" s="304"/>
      <c r="X99" s="304"/>
      <c r="Y99" s="304"/>
      <c r="Z99" s="304"/>
    </row>
    <row r="100" ht="15.75" customHeight="1">
      <c r="A100" s="341"/>
      <c r="B100" s="341"/>
      <c r="C100" s="341"/>
      <c r="D100" s="341"/>
      <c r="E100" s="341"/>
      <c r="F100" s="341"/>
      <c r="G100" s="341"/>
      <c r="H100" s="341"/>
      <c r="I100" s="341"/>
      <c r="J100" s="341"/>
      <c r="K100" s="341"/>
      <c r="L100" s="342"/>
      <c r="M100" s="342"/>
      <c r="N100" s="304"/>
      <c r="O100" s="304"/>
      <c r="P100" s="304"/>
      <c r="Q100" s="304"/>
      <c r="R100" s="304"/>
      <c r="S100" s="304"/>
      <c r="T100" s="304"/>
      <c r="U100" s="304"/>
      <c r="V100" s="304"/>
      <c r="W100" s="304"/>
      <c r="X100" s="304"/>
      <c r="Y100" s="304"/>
      <c r="Z100" s="304"/>
    </row>
    <row r="101" ht="15.75" customHeight="1">
      <c r="A101" s="341"/>
      <c r="B101" s="341"/>
      <c r="C101" s="341"/>
      <c r="D101" s="341"/>
      <c r="E101" s="341"/>
      <c r="F101" s="341"/>
      <c r="G101" s="341"/>
      <c r="H101" s="341"/>
      <c r="I101" s="341"/>
      <c r="J101" s="341"/>
      <c r="K101" s="341"/>
      <c r="L101" s="342"/>
      <c r="M101" s="342"/>
      <c r="N101" s="304"/>
      <c r="O101" s="304"/>
      <c r="P101" s="304"/>
      <c r="Q101" s="304"/>
      <c r="R101" s="304"/>
      <c r="S101" s="304"/>
      <c r="T101" s="304"/>
      <c r="U101" s="304"/>
      <c r="V101" s="304"/>
      <c r="W101" s="304"/>
      <c r="X101" s="304"/>
      <c r="Y101" s="304"/>
      <c r="Z101" s="304"/>
    </row>
    <row r="102" ht="15.75" customHeight="1">
      <c r="A102" s="341"/>
      <c r="B102" s="341"/>
      <c r="C102" s="341"/>
      <c r="D102" s="341"/>
      <c r="E102" s="341"/>
      <c r="F102" s="341"/>
      <c r="G102" s="341"/>
      <c r="H102" s="341"/>
      <c r="I102" s="341"/>
      <c r="J102" s="341"/>
      <c r="K102" s="341"/>
      <c r="L102" s="342"/>
      <c r="M102" s="342"/>
      <c r="N102" s="304"/>
      <c r="O102" s="304"/>
      <c r="P102" s="304"/>
      <c r="Q102" s="304"/>
      <c r="R102" s="304"/>
      <c r="S102" s="304"/>
      <c r="T102" s="304"/>
      <c r="U102" s="304"/>
      <c r="V102" s="304"/>
      <c r="W102" s="304"/>
      <c r="X102" s="304"/>
      <c r="Y102" s="304"/>
      <c r="Z102" s="304"/>
    </row>
    <row r="103" ht="15.75" customHeight="1">
      <c r="A103" s="341"/>
      <c r="B103" s="341"/>
      <c r="C103" s="341"/>
      <c r="D103" s="341"/>
      <c r="E103" s="341"/>
      <c r="F103" s="341"/>
      <c r="G103" s="341"/>
      <c r="H103" s="341"/>
      <c r="I103" s="341"/>
      <c r="J103" s="341"/>
      <c r="K103" s="341"/>
      <c r="L103" s="342"/>
      <c r="M103" s="342"/>
      <c r="N103" s="304"/>
      <c r="O103" s="304"/>
      <c r="P103" s="304"/>
      <c r="Q103" s="304"/>
      <c r="R103" s="304"/>
      <c r="S103" s="304"/>
      <c r="T103" s="304"/>
      <c r="U103" s="304"/>
      <c r="V103" s="304"/>
      <c r="W103" s="304"/>
      <c r="X103" s="304"/>
      <c r="Y103" s="304"/>
      <c r="Z103" s="304"/>
    </row>
    <row r="104" ht="15.75" customHeight="1">
      <c r="A104" s="341"/>
      <c r="B104" s="341"/>
      <c r="C104" s="341"/>
      <c r="D104" s="341"/>
      <c r="E104" s="341"/>
      <c r="F104" s="341"/>
      <c r="G104" s="341"/>
      <c r="H104" s="341"/>
      <c r="I104" s="341"/>
      <c r="J104" s="341"/>
      <c r="K104" s="341"/>
      <c r="L104" s="342"/>
      <c r="M104" s="342"/>
      <c r="N104" s="304"/>
      <c r="O104" s="304"/>
      <c r="P104" s="304"/>
      <c r="Q104" s="304"/>
      <c r="R104" s="304"/>
      <c r="S104" s="304"/>
      <c r="T104" s="304"/>
      <c r="U104" s="304"/>
      <c r="V104" s="304"/>
      <c r="W104" s="304"/>
      <c r="X104" s="304"/>
      <c r="Y104" s="304"/>
      <c r="Z104" s="304"/>
    </row>
    <row r="105" ht="15.75" customHeight="1">
      <c r="A105" s="341"/>
      <c r="B105" s="341"/>
      <c r="C105" s="341"/>
      <c r="D105" s="341"/>
      <c r="E105" s="341"/>
      <c r="F105" s="341"/>
      <c r="G105" s="341"/>
      <c r="H105" s="341"/>
      <c r="I105" s="341"/>
      <c r="J105" s="341"/>
      <c r="K105" s="341"/>
      <c r="L105" s="342"/>
      <c r="M105" s="342"/>
      <c r="N105" s="304"/>
      <c r="O105" s="304"/>
      <c r="P105" s="304"/>
      <c r="Q105" s="304"/>
      <c r="R105" s="304"/>
      <c r="S105" s="304"/>
      <c r="T105" s="304"/>
      <c r="U105" s="304"/>
      <c r="V105" s="304"/>
      <c r="W105" s="304"/>
      <c r="X105" s="304"/>
      <c r="Y105" s="304"/>
      <c r="Z105" s="304"/>
    </row>
    <row r="106" ht="15.75" customHeight="1">
      <c r="A106" s="341"/>
      <c r="B106" s="341"/>
      <c r="C106" s="341"/>
      <c r="D106" s="341"/>
      <c r="E106" s="341"/>
      <c r="F106" s="341"/>
      <c r="G106" s="341"/>
      <c r="H106" s="341"/>
      <c r="I106" s="341"/>
      <c r="J106" s="341"/>
      <c r="K106" s="341"/>
      <c r="L106" s="342"/>
      <c r="M106" s="342"/>
      <c r="N106" s="304"/>
      <c r="O106" s="304"/>
      <c r="P106" s="304"/>
      <c r="Q106" s="304"/>
      <c r="R106" s="304"/>
      <c r="S106" s="304"/>
      <c r="T106" s="304"/>
      <c r="U106" s="304"/>
      <c r="V106" s="304"/>
      <c r="W106" s="304"/>
      <c r="X106" s="304"/>
      <c r="Y106" s="304"/>
      <c r="Z106" s="304"/>
    </row>
    <row r="107" ht="15.75" customHeight="1">
      <c r="A107" s="341"/>
      <c r="B107" s="341"/>
      <c r="C107" s="341"/>
      <c r="D107" s="341"/>
      <c r="E107" s="341"/>
      <c r="F107" s="341"/>
      <c r="G107" s="341"/>
      <c r="H107" s="341"/>
      <c r="I107" s="341"/>
      <c r="J107" s="341"/>
      <c r="K107" s="341"/>
      <c r="L107" s="342"/>
      <c r="M107" s="342"/>
      <c r="N107" s="304"/>
      <c r="O107" s="304"/>
      <c r="P107" s="304"/>
      <c r="Q107" s="304"/>
      <c r="R107" s="304"/>
      <c r="S107" s="304"/>
      <c r="T107" s="304"/>
      <c r="U107" s="304"/>
      <c r="V107" s="304"/>
      <c r="W107" s="304"/>
      <c r="X107" s="304"/>
      <c r="Y107" s="304"/>
      <c r="Z107" s="304"/>
    </row>
    <row r="108" ht="15.75" customHeight="1">
      <c r="A108" s="341"/>
      <c r="B108" s="341"/>
      <c r="C108" s="341"/>
      <c r="D108" s="341"/>
      <c r="E108" s="341"/>
      <c r="F108" s="341"/>
      <c r="G108" s="341"/>
      <c r="H108" s="341"/>
      <c r="I108" s="341"/>
      <c r="J108" s="341"/>
      <c r="K108" s="341"/>
      <c r="L108" s="342"/>
      <c r="M108" s="342"/>
      <c r="N108" s="304"/>
      <c r="O108" s="304"/>
      <c r="P108" s="304"/>
      <c r="Q108" s="304"/>
      <c r="R108" s="304"/>
      <c r="S108" s="304"/>
      <c r="T108" s="304"/>
      <c r="U108" s="304"/>
      <c r="V108" s="304"/>
      <c r="W108" s="304"/>
      <c r="X108" s="304"/>
      <c r="Y108" s="304"/>
      <c r="Z108" s="304"/>
    </row>
    <row r="109" ht="15.75" customHeight="1">
      <c r="A109" s="341"/>
      <c r="B109" s="341"/>
      <c r="C109" s="341"/>
      <c r="D109" s="341"/>
      <c r="E109" s="341"/>
      <c r="F109" s="341"/>
      <c r="G109" s="341"/>
      <c r="H109" s="341"/>
      <c r="I109" s="341"/>
      <c r="J109" s="341"/>
      <c r="K109" s="341"/>
      <c r="L109" s="342"/>
      <c r="M109" s="342"/>
      <c r="N109" s="304"/>
      <c r="O109" s="304"/>
      <c r="P109" s="304"/>
      <c r="Q109" s="304"/>
      <c r="R109" s="304"/>
      <c r="S109" s="304"/>
      <c r="T109" s="304"/>
      <c r="U109" s="304"/>
      <c r="V109" s="304"/>
      <c r="W109" s="304"/>
      <c r="X109" s="304"/>
      <c r="Y109" s="304"/>
      <c r="Z109" s="304"/>
    </row>
    <row r="110" ht="15.75" customHeight="1">
      <c r="A110" s="341"/>
      <c r="B110" s="341"/>
      <c r="C110" s="341"/>
      <c r="D110" s="341"/>
      <c r="E110" s="341"/>
      <c r="F110" s="341"/>
      <c r="G110" s="341"/>
      <c r="H110" s="341"/>
      <c r="I110" s="341"/>
      <c r="J110" s="341"/>
      <c r="K110" s="341"/>
      <c r="L110" s="342"/>
      <c r="M110" s="342"/>
      <c r="N110" s="304"/>
      <c r="O110" s="304"/>
      <c r="P110" s="304"/>
      <c r="Q110" s="304"/>
      <c r="R110" s="304"/>
      <c r="S110" s="304"/>
      <c r="T110" s="304"/>
      <c r="U110" s="304"/>
      <c r="V110" s="304"/>
      <c r="W110" s="304"/>
      <c r="X110" s="304"/>
      <c r="Y110" s="304"/>
      <c r="Z110" s="304"/>
    </row>
    <row r="111" ht="15.75" customHeight="1">
      <c r="A111" s="341"/>
      <c r="B111" s="341"/>
      <c r="C111" s="341"/>
      <c r="D111" s="341"/>
      <c r="E111" s="341"/>
      <c r="F111" s="341"/>
      <c r="G111" s="341"/>
      <c r="H111" s="341"/>
      <c r="I111" s="341"/>
      <c r="J111" s="341"/>
      <c r="K111" s="341"/>
      <c r="L111" s="342"/>
      <c r="M111" s="342"/>
      <c r="N111" s="304"/>
      <c r="O111" s="304"/>
      <c r="P111" s="304"/>
      <c r="Q111" s="304"/>
      <c r="R111" s="304"/>
      <c r="S111" s="304"/>
      <c r="T111" s="304"/>
      <c r="U111" s="304"/>
      <c r="V111" s="304"/>
      <c r="W111" s="304"/>
      <c r="X111" s="304"/>
      <c r="Y111" s="304"/>
      <c r="Z111" s="304"/>
    </row>
    <row r="112" ht="15.75" customHeight="1">
      <c r="A112" s="341"/>
      <c r="B112" s="341"/>
      <c r="C112" s="341"/>
      <c r="D112" s="341"/>
      <c r="E112" s="341"/>
      <c r="F112" s="341"/>
      <c r="G112" s="341"/>
      <c r="H112" s="341"/>
      <c r="I112" s="341"/>
      <c r="J112" s="341"/>
      <c r="K112" s="341"/>
      <c r="L112" s="342"/>
      <c r="M112" s="342"/>
      <c r="N112" s="304"/>
      <c r="O112" s="304"/>
      <c r="P112" s="304"/>
      <c r="Q112" s="304"/>
      <c r="R112" s="304"/>
      <c r="S112" s="304"/>
      <c r="T112" s="304"/>
      <c r="U112" s="304"/>
      <c r="V112" s="304"/>
      <c r="W112" s="304"/>
      <c r="X112" s="304"/>
      <c r="Y112" s="304"/>
      <c r="Z112" s="304"/>
    </row>
    <row r="113" ht="15.75" customHeight="1">
      <c r="A113" s="341"/>
      <c r="B113" s="341"/>
      <c r="C113" s="341"/>
      <c r="D113" s="341"/>
      <c r="E113" s="341"/>
      <c r="F113" s="341"/>
      <c r="G113" s="341"/>
      <c r="H113" s="341"/>
      <c r="I113" s="341"/>
      <c r="J113" s="341"/>
      <c r="K113" s="341"/>
      <c r="L113" s="342"/>
      <c r="M113" s="342"/>
      <c r="N113" s="304"/>
      <c r="O113" s="304"/>
      <c r="P113" s="304"/>
      <c r="Q113" s="304"/>
      <c r="R113" s="304"/>
      <c r="S113" s="304"/>
      <c r="T113" s="304"/>
      <c r="U113" s="304"/>
      <c r="V113" s="304"/>
      <c r="W113" s="304"/>
      <c r="X113" s="304"/>
      <c r="Y113" s="304"/>
      <c r="Z113" s="304"/>
    </row>
    <row r="114" ht="15.75" customHeight="1">
      <c r="A114" s="341"/>
      <c r="B114" s="341"/>
      <c r="C114" s="341"/>
      <c r="D114" s="341"/>
      <c r="E114" s="341"/>
      <c r="F114" s="341"/>
      <c r="G114" s="341"/>
      <c r="H114" s="341"/>
      <c r="I114" s="341"/>
      <c r="J114" s="341"/>
      <c r="K114" s="341"/>
      <c r="L114" s="342"/>
      <c r="M114" s="342"/>
      <c r="N114" s="304"/>
      <c r="O114" s="304"/>
      <c r="P114" s="304"/>
      <c r="Q114" s="304"/>
      <c r="R114" s="304"/>
      <c r="S114" s="304"/>
      <c r="T114" s="304"/>
      <c r="U114" s="304"/>
      <c r="V114" s="304"/>
      <c r="W114" s="304"/>
      <c r="X114" s="304"/>
      <c r="Y114" s="304"/>
      <c r="Z114" s="304"/>
    </row>
    <row r="115" ht="15.75" customHeight="1">
      <c r="A115" s="341"/>
      <c r="B115" s="341"/>
      <c r="C115" s="341"/>
      <c r="D115" s="341"/>
      <c r="E115" s="341"/>
      <c r="F115" s="341"/>
      <c r="G115" s="341"/>
      <c r="H115" s="341"/>
      <c r="I115" s="341"/>
      <c r="J115" s="341"/>
      <c r="K115" s="341"/>
      <c r="L115" s="342"/>
      <c r="M115" s="342"/>
      <c r="N115" s="304"/>
      <c r="O115" s="304"/>
      <c r="P115" s="304"/>
      <c r="Q115" s="304"/>
      <c r="R115" s="304"/>
      <c r="S115" s="304"/>
      <c r="T115" s="304"/>
      <c r="U115" s="304"/>
      <c r="V115" s="304"/>
      <c r="W115" s="304"/>
      <c r="X115" s="304"/>
      <c r="Y115" s="304"/>
      <c r="Z115" s="304"/>
    </row>
    <row r="116" ht="15.75" customHeight="1">
      <c r="A116" s="341"/>
      <c r="B116" s="341"/>
      <c r="C116" s="341"/>
      <c r="D116" s="341"/>
      <c r="E116" s="341"/>
      <c r="F116" s="341"/>
      <c r="G116" s="341"/>
      <c r="H116" s="341"/>
      <c r="I116" s="341"/>
      <c r="J116" s="341"/>
      <c r="K116" s="341"/>
      <c r="L116" s="342"/>
      <c r="M116" s="342"/>
      <c r="N116" s="304"/>
      <c r="O116" s="304"/>
      <c r="P116" s="304"/>
      <c r="Q116" s="304"/>
      <c r="R116" s="304"/>
      <c r="S116" s="304"/>
      <c r="T116" s="304"/>
      <c r="U116" s="304"/>
      <c r="V116" s="304"/>
      <c r="W116" s="304"/>
      <c r="X116" s="304"/>
      <c r="Y116" s="304"/>
      <c r="Z116" s="304"/>
    </row>
    <row r="117" ht="15.75" customHeight="1">
      <c r="A117" s="341"/>
      <c r="B117" s="341"/>
      <c r="C117" s="341"/>
      <c r="D117" s="341"/>
      <c r="E117" s="341"/>
      <c r="F117" s="341"/>
      <c r="G117" s="341"/>
      <c r="H117" s="341"/>
      <c r="I117" s="341"/>
      <c r="J117" s="341"/>
      <c r="K117" s="341"/>
      <c r="L117" s="342"/>
      <c r="M117" s="342"/>
      <c r="N117" s="304"/>
      <c r="O117" s="304"/>
      <c r="P117" s="304"/>
      <c r="Q117" s="304"/>
      <c r="R117" s="304"/>
      <c r="S117" s="304"/>
      <c r="T117" s="304"/>
      <c r="U117" s="304"/>
      <c r="V117" s="304"/>
      <c r="W117" s="304"/>
      <c r="X117" s="304"/>
      <c r="Y117" s="304"/>
      <c r="Z117" s="304"/>
    </row>
    <row r="118" ht="15.75" customHeight="1">
      <c r="A118" s="341"/>
      <c r="B118" s="341"/>
      <c r="C118" s="341"/>
      <c r="D118" s="341"/>
      <c r="E118" s="341"/>
      <c r="F118" s="341"/>
      <c r="G118" s="341"/>
      <c r="H118" s="341"/>
      <c r="I118" s="341"/>
      <c r="J118" s="341"/>
      <c r="K118" s="341"/>
      <c r="L118" s="342"/>
      <c r="M118" s="342"/>
      <c r="N118" s="304"/>
      <c r="O118" s="304"/>
      <c r="P118" s="304"/>
      <c r="Q118" s="304"/>
      <c r="R118" s="304"/>
      <c r="S118" s="304"/>
      <c r="T118" s="304"/>
      <c r="U118" s="304"/>
      <c r="V118" s="304"/>
      <c r="W118" s="304"/>
      <c r="X118" s="304"/>
      <c r="Y118" s="304"/>
      <c r="Z118" s="304"/>
    </row>
    <row r="119" ht="15.75" customHeight="1">
      <c r="A119" s="341"/>
      <c r="B119" s="341"/>
      <c r="C119" s="341"/>
      <c r="D119" s="341"/>
      <c r="E119" s="341"/>
      <c r="F119" s="341"/>
      <c r="G119" s="341"/>
      <c r="H119" s="341"/>
      <c r="I119" s="341"/>
      <c r="J119" s="341"/>
      <c r="K119" s="341"/>
      <c r="L119" s="342"/>
      <c r="M119" s="342"/>
      <c r="N119" s="304"/>
      <c r="O119" s="304"/>
      <c r="P119" s="304"/>
      <c r="Q119" s="304"/>
      <c r="R119" s="304"/>
      <c r="S119" s="304"/>
      <c r="T119" s="304"/>
      <c r="U119" s="304"/>
      <c r="V119" s="304"/>
      <c r="W119" s="304"/>
      <c r="X119" s="304"/>
      <c r="Y119" s="304"/>
      <c r="Z119" s="304"/>
    </row>
    <row r="120" ht="15.75" customHeight="1">
      <c r="A120" s="341"/>
      <c r="B120" s="341"/>
      <c r="C120" s="341"/>
      <c r="D120" s="341"/>
      <c r="E120" s="341"/>
      <c r="F120" s="341"/>
      <c r="G120" s="341"/>
      <c r="H120" s="341"/>
      <c r="I120" s="341"/>
      <c r="J120" s="341"/>
      <c r="K120" s="341"/>
      <c r="L120" s="342"/>
      <c r="M120" s="342"/>
      <c r="N120" s="304"/>
      <c r="O120" s="304"/>
      <c r="P120" s="304"/>
      <c r="Q120" s="304"/>
      <c r="R120" s="304"/>
      <c r="S120" s="304"/>
      <c r="T120" s="304"/>
      <c r="U120" s="304"/>
      <c r="V120" s="304"/>
      <c r="W120" s="304"/>
      <c r="X120" s="304"/>
      <c r="Y120" s="304"/>
      <c r="Z120" s="304"/>
    </row>
    <row r="121" ht="15.75" customHeight="1">
      <c r="A121" s="341"/>
      <c r="B121" s="341"/>
      <c r="C121" s="341"/>
      <c r="D121" s="341"/>
      <c r="E121" s="341"/>
      <c r="F121" s="341"/>
      <c r="G121" s="341"/>
      <c r="H121" s="341"/>
      <c r="I121" s="341"/>
      <c r="J121" s="341"/>
      <c r="K121" s="341"/>
      <c r="L121" s="342"/>
      <c r="M121" s="342"/>
      <c r="N121" s="304"/>
      <c r="O121" s="304"/>
      <c r="P121" s="304"/>
      <c r="Q121" s="304"/>
      <c r="R121" s="304"/>
      <c r="S121" s="304"/>
      <c r="T121" s="304"/>
      <c r="U121" s="304"/>
      <c r="V121" s="304"/>
      <c r="W121" s="304"/>
      <c r="X121" s="304"/>
      <c r="Y121" s="304"/>
      <c r="Z121" s="304"/>
    </row>
    <row r="122" ht="15.75" customHeight="1">
      <c r="A122" s="341"/>
      <c r="B122" s="341"/>
      <c r="C122" s="341"/>
      <c r="D122" s="341"/>
      <c r="E122" s="341"/>
      <c r="F122" s="341"/>
      <c r="G122" s="341"/>
      <c r="H122" s="341"/>
      <c r="I122" s="341"/>
      <c r="J122" s="341"/>
      <c r="K122" s="341"/>
      <c r="L122" s="342"/>
      <c r="M122" s="342"/>
      <c r="N122" s="304"/>
      <c r="O122" s="304"/>
      <c r="P122" s="304"/>
      <c r="Q122" s="304"/>
      <c r="R122" s="304"/>
      <c r="S122" s="304"/>
      <c r="T122" s="304"/>
      <c r="U122" s="304"/>
      <c r="V122" s="304"/>
      <c r="W122" s="304"/>
      <c r="X122" s="304"/>
      <c r="Y122" s="304"/>
      <c r="Z122" s="304"/>
    </row>
    <row r="123" ht="15.75" customHeight="1">
      <c r="A123" s="341"/>
      <c r="B123" s="341"/>
      <c r="C123" s="341"/>
      <c r="D123" s="341"/>
      <c r="E123" s="341"/>
      <c r="F123" s="341"/>
      <c r="G123" s="341"/>
      <c r="H123" s="341"/>
      <c r="I123" s="341"/>
      <c r="J123" s="341"/>
      <c r="K123" s="341"/>
      <c r="L123" s="342"/>
      <c r="M123" s="342"/>
      <c r="N123" s="304"/>
      <c r="O123" s="304"/>
      <c r="P123" s="304"/>
      <c r="Q123" s="304"/>
      <c r="R123" s="304"/>
      <c r="S123" s="304"/>
      <c r="T123" s="304"/>
      <c r="U123" s="304"/>
      <c r="V123" s="304"/>
      <c r="W123" s="304"/>
      <c r="X123" s="304"/>
      <c r="Y123" s="304"/>
      <c r="Z123" s="304"/>
    </row>
    <row r="124" ht="15.75" customHeight="1">
      <c r="A124" s="341"/>
      <c r="B124" s="341"/>
      <c r="C124" s="341"/>
      <c r="D124" s="341"/>
      <c r="E124" s="341"/>
      <c r="F124" s="341"/>
      <c r="G124" s="341"/>
      <c r="H124" s="341"/>
      <c r="I124" s="341"/>
      <c r="J124" s="341"/>
      <c r="K124" s="341"/>
      <c r="L124" s="342"/>
      <c r="M124" s="342"/>
      <c r="N124" s="304"/>
      <c r="O124" s="304"/>
      <c r="P124" s="304"/>
      <c r="Q124" s="304"/>
      <c r="R124" s="304"/>
      <c r="S124" s="304"/>
      <c r="T124" s="304"/>
      <c r="U124" s="304"/>
      <c r="V124" s="304"/>
      <c r="W124" s="304"/>
      <c r="X124" s="304"/>
      <c r="Y124" s="304"/>
      <c r="Z124" s="304"/>
    </row>
    <row r="125" ht="15.75" customHeight="1">
      <c r="A125" s="341"/>
      <c r="B125" s="341"/>
      <c r="C125" s="341"/>
      <c r="D125" s="341"/>
      <c r="E125" s="341"/>
      <c r="F125" s="341"/>
      <c r="G125" s="341"/>
      <c r="H125" s="341"/>
      <c r="I125" s="341"/>
      <c r="J125" s="341"/>
      <c r="K125" s="341"/>
      <c r="L125" s="342"/>
      <c r="M125" s="342"/>
      <c r="N125" s="304"/>
      <c r="O125" s="304"/>
      <c r="P125" s="304"/>
      <c r="Q125" s="304"/>
      <c r="R125" s="304"/>
      <c r="S125" s="304"/>
      <c r="T125" s="304"/>
      <c r="U125" s="304"/>
      <c r="V125" s="304"/>
      <c r="W125" s="304"/>
      <c r="X125" s="304"/>
      <c r="Y125" s="304"/>
      <c r="Z125" s="304"/>
    </row>
    <row r="126" ht="15.75" customHeight="1">
      <c r="A126" s="341"/>
      <c r="B126" s="341"/>
      <c r="C126" s="341"/>
      <c r="D126" s="341"/>
      <c r="E126" s="341"/>
      <c r="F126" s="341"/>
      <c r="G126" s="341"/>
      <c r="H126" s="341"/>
      <c r="I126" s="341"/>
      <c r="J126" s="341"/>
      <c r="K126" s="341"/>
      <c r="L126" s="342"/>
      <c r="M126" s="342"/>
      <c r="N126" s="304"/>
      <c r="O126" s="304"/>
      <c r="P126" s="304"/>
      <c r="Q126" s="304"/>
      <c r="R126" s="304"/>
      <c r="S126" s="304"/>
      <c r="T126" s="304"/>
      <c r="U126" s="304"/>
      <c r="V126" s="304"/>
      <c r="W126" s="304"/>
      <c r="X126" s="304"/>
      <c r="Y126" s="304"/>
      <c r="Z126" s="304"/>
    </row>
    <row r="127" ht="15.75" customHeight="1">
      <c r="A127" s="341"/>
      <c r="B127" s="341"/>
      <c r="C127" s="341"/>
      <c r="D127" s="341"/>
      <c r="E127" s="341"/>
      <c r="F127" s="341"/>
      <c r="G127" s="341"/>
      <c r="H127" s="341"/>
      <c r="I127" s="341"/>
      <c r="J127" s="341"/>
      <c r="K127" s="341"/>
      <c r="L127" s="342"/>
      <c r="M127" s="342"/>
      <c r="N127" s="304"/>
      <c r="O127" s="304"/>
      <c r="P127" s="304"/>
      <c r="Q127" s="304"/>
      <c r="R127" s="304"/>
      <c r="S127" s="304"/>
      <c r="T127" s="304"/>
      <c r="U127" s="304"/>
      <c r="V127" s="304"/>
      <c r="W127" s="304"/>
      <c r="X127" s="304"/>
      <c r="Y127" s="304"/>
      <c r="Z127" s="304"/>
    </row>
    <row r="128" ht="15.75" customHeight="1">
      <c r="A128" s="341"/>
      <c r="B128" s="341"/>
      <c r="C128" s="341"/>
      <c r="D128" s="341"/>
      <c r="E128" s="341"/>
      <c r="F128" s="341"/>
      <c r="G128" s="341"/>
      <c r="H128" s="341"/>
      <c r="I128" s="341"/>
      <c r="J128" s="341"/>
      <c r="K128" s="341"/>
      <c r="L128" s="342"/>
      <c r="M128" s="342"/>
      <c r="N128" s="304"/>
      <c r="O128" s="304"/>
      <c r="P128" s="304"/>
      <c r="Q128" s="304"/>
      <c r="R128" s="304"/>
      <c r="S128" s="304"/>
      <c r="T128" s="304"/>
      <c r="U128" s="304"/>
      <c r="V128" s="304"/>
      <c r="W128" s="304"/>
      <c r="X128" s="304"/>
      <c r="Y128" s="304"/>
      <c r="Z128" s="304"/>
    </row>
    <row r="129" ht="15.75" customHeight="1">
      <c r="A129" s="341"/>
      <c r="B129" s="341"/>
      <c r="C129" s="341"/>
      <c r="D129" s="341"/>
      <c r="E129" s="341"/>
      <c r="F129" s="341"/>
      <c r="G129" s="341"/>
      <c r="H129" s="341"/>
      <c r="I129" s="341"/>
      <c r="J129" s="341"/>
      <c r="K129" s="341"/>
      <c r="L129" s="342"/>
      <c r="M129" s="342"/>
      <c r="N129" s="304"/>
      <c r="O129" s="304"/>
      <c r="P129" s="304"/>
      <c r="Q129" s="304"/>
      <c r="R129" s="304"/>
      <c r="S129" s="304"/>
      <c r="T129" s="304"/>
      <c r="U129" s="304"/>
      <c r="V129" s="304"/>
      <c r="W129" s="304"/>
      <c r="X129" s="304"/>
      <c r="Y129" s="304"/>
      <c r="Z129" s="304"/>
    </row>
    <row r="130" ht="15.75" customHeight="1">
      <c r="A130" s="341"/>
      <c r="B130" s="341"/>
      <c r="C130" s="341"/>
      <c r="D130" s="341"/>
      <c r="E130" s="341"/>
      <c r="F130" s="341"/>
      <c r="G130" s="341"/>
      <c r="H130" s="341"/>
      <c r="I130" s="341"/>
      <c r="J130" s="341"/>
      <c r="K130" s="341"/>
      <c r="L130" s="342"/>
      <c r="M130" s="342"/>
      <c r="N130" s="304"/>
      <c r="O130" s="304"/>
      <c r="P130" s="304"/>
      <c r="Q130" s="304"/>
      <c r="R130" s="304"/>
      <c r="S130" s="304"/>
      <c r="T130" s="304"/>
      <c r="U130" s="304"/>
      <c r="V130" s="304"/>
      <c r="W130" s="304"/>
      <c r="X130" s="304"/>
      <c r="Y130" s="304"/>
      <c r="Z130" s="304"/>
    </row>
    <row r="131" ht="15.75" customHeight="1">
      <c r="A131" s="341"/>
      <c r="B131" s="341"/>
      <c r="C131" s="341"/>
      <c r="D131" s="341"/>
      <c r="E131" s="341"/>
      <c r="F131" s="341"/>
      <c r="G131" s="341"/>
      <c r="H131" s="341"/>
      <c r="I131" s="341"/>
      <c r="J131" s="341"/>
      <c r="K131" s="341"/>
      <c r="L131" s="342"/>
      <c r="M131" s="342"/>
      <c r="N131" s="304"/>
      <c r="O131" s="304"/>
      <c r="P131" s="304"/>
      <c r="Q131" s="304"/>
      <c r="R131" s="304"/>
      <c r="S131" s="304"/>
      <c r="T131" s="304"/>
      <c r="U131" s="304"/>
      <c r="V131" s="304"/>
      <c r="W131" s="304"/>
      <c r="X131" s="304"/>
      <c r="Y131" s="304"/>
      <c r="Z131" s="304"/>
    </row>
    <row r="132" ht="15.75" customHeight="1">
      <c r="A132" s="302"/>
      <c r="B132" s="302"/>
      <c r="C132" s="302"/>
      <c r="D132" s="302"/>
      <c r="E132" s="302"/>
      <c r="F132" s="302"/>
      <c r="G132" s="302"/>
      <c r="H132" s="302"/>
      <c r="I132" s="302"/>
      <c r="J132" s="302"/>
      <c r="K132" s="341"/>
      <c r="L132" s="342"/>
      <c r="M132" s="342"/>
      <c r="N132" s="304"/>
      <c r="O132" s="304"/>
      <c r="P132" s="304"/>
      <c r="Q132" s="304"/>
      <c r="R132" s="304"/>
      <c r="S132" s="304"/>
      <c r="T132" s="304"/>
      <c r="U132" s="304"/>
      <c r="V132" s="304"/>
      <c r="W132" s="304"/>
      <c r="X132" s="304"/>
      <c r="Y132" s="304"/>
      <c r="Z132" s="304"/>
    </row>
    <row r="133" ht="15.75" customHeight="1">
      <c r="A133" s="302"/>
      <c r="B133" s="302"/>
      <c r="C133" s="302"/>
      <c r="D133" s="302"/>
      <c r="E133" s="302"/>
      <c r="F133" s="302"/>
      <c r="G133" s="302"/>
      <c r="H133" s="302"/>
      <c r="I133" s="302"/>
      <c r="J133" s="302"/>
      <c r="K133" s="341"/>
      <c r="L133" s="342"/>
      <c r="M133" s="342"/>
      <c r="N133" s="304"/>
      <c r="O133" s="304"/>
      <c r="P133" s="304"/>
      <c r="Q133" s="304"/>
      <c r="R133" s="304"/>
      <c r="S133" s="304"/>
      <c r="T133" s="304"/>
      <c r="U133" s="304"/>
      <c r="V133" s="304"/>
      <c r="W133" s="304"/>
      <c r="X133" s="304"/>
      <c r="Y133" s="304"/>
      <c r="Z133" s="304"/>
    </row>
    <row r="134" ht="15.75" customHeight="1">
      <c r="A134" s="302"/>
      <c r="B134" s="302"/>
      <c r="C134" s="302"/>
      <c r="D134" s="302"/>
      <c r="E134" s="302"/>
      <c r="F134" s="302"/>
      <c r="G134" s="302"/>
      <c r="H134" s="302"/>
      <c r="I134" s="302"/>
      <c r="J134" s="302"/>
      <c r="K134" s="341"/>
      <c r="L134" s="342"/>
      <c r="M134" s="342"/>
      <c r="N134" s="304"/>
      <c r="O134" s="304"/>
      <c r="P134" s="304"/>
      <c r="Q134" s="304"/>
      <c r="R134" s="304"/>
      <c r="S134" s="304"/>
      <c r="T134" s="304"/>
      <c r="U134" s="304"/>
      <c r="V134" s="304"/>
      <c r="W134" s="304"/>
      <c r="X134" s="304"/>
      <c r="Y134" s="304"/>
      <c r="Z134" s="304"/>
    </row>
    <row r="135" ht="15.75" customHeight="1">
      <c r="A135" s="302"/>
      <c r="B135" s="302"/>
      <c r="C135" s="302"/>
      <c r="D135" s="302"/>
      <c r="E135" s="302"/>
      <c r="F135" s="302"/>
      <c r="G135" s="302"/>
      <c r="H135" s="302"/>
      <c r="I135" s="302"/>
      <c r="J135" s="302"/>
      <c r="K135" s="341"/>
      <c r="L135" s="342"/>
      <c r="M135" s="342"/>
      <c r="N135" s="304"/>
      <c r="O135" s="304"/>
      <c r="P135" s="304"/>
      <c r="Q135" s="304"/>
      <c r="R135" s="304"/>
      <c r="S135" s="304"/>
      <c r="T135" s="304"/>
      <c r="U135" s="304"/>
      <c r="V135" s="304"/>
      <c r="W135" s="304"/>
      <c r="X135" s="304"/>
      <c r="Y135" s="304"/>
      <c r="Z135" s="304"/>
    </row>
    <row r="136" ht="15.75" customHeight="1">
      <c r="A136" s="302"/>
      <c r="B136" s="302"/>
      <c r="C136" s="302"/>
      <c r="D136" s="302"/>
      <c r="E136" s="302"/>
      <c r="F136" s="302"/>
      <c r="G136" s="302"/>
      <c r="H136" s="302"/>
      <c r="I136" s="302"/>
      <c r="J136" s="302"/>
      <c r="K136" s="341"/>
      <c r="L136" s="342"/>
      <c r="M136" s="342"/>
      <c r="N136" s="304"/>
      <c r="O136" s="304"/>
      <c r="P136" s="304"/>
      <c r="Q136" s="304"/>
      <c r="R136" s="304"/>
      <c r="S136" s="304"/>
      <c r="T136" s="304"/>
      <c r="U136" s="304"/>
      <c r="V136" s="304"/>
      <c r="W136" s="304"/>
      <c r="X136" s="304"/>
      <c r="Y136" s="304"/>
      <c r="Z136" s="304"/>
    </row>
    <row r="137" ht="15.75" customHeight="1">
      <c r="A137" s="302"/>
      <c r="B137" s="302"/>
      <c r="C137" s="302"/>
      <c r="D137" s="302"/>
      <c r="E137" s="302"/>
      <c r="F137" s="302"/>
      <c r="G137" s="302"/>
      <c r="H137" s="302"/>
      <c r="I137" s="302"/>
      <c r="J137" s="302"/>
      <c r="K137" s="341"/>
      <c r="L137" s="342"/>
      <c r="M137" s="342"/>
      <c r="N137" s="304"/>
      <c r="O137" s="304"/>
      <c r="P137" s="304"/>
      <c r="Q137" s="304"/>
      <c r="R137" s="304"/>
      <c r="S137" s="304"/>
      <c r="T137" s="304"/>
      <c r="U137" s="304"/>
      <c r="V137" s="304"/>
      <c r="W137" s="304"/>
      <c r="X137" s="304"/>
      <c r="Y137" s="304"/>
      <c r="Z137" s="304"/>
    </row>
    <row r="138" ht="15.75" customHeight="1">
      <c r="A138" s="302"/>
      <c r="B138" s="302"/>
      <c r="C138" s="302"/>
      <c r="D138" s="302"/>
      <c r="E138" s="302"/>
      <c r="F138" s="302"/>
      <c r="G138" s="302"/>
      <c r="H138" s="302"/>
      <c r="I138" s="302"/>
      <c r="J138" s="302"/>
      <c r="K138" s="341"/>
      <c r="L138" s="342"/>
      <c r="M138" s="342"/>
      <c r="N138" s="304"/>
      <c r="O138" s="304"/>
      <c r="P138" s="304"/>
      <c r="Q138" s="304"/>
      <c r="R138" s="304"/>
      <c r="S138" s="304"/>
      <c r="T138" s="304"/>
      <c r="U138" s="304"/>
      <c r="V138" s="304"/>
      <c r="W138" s="304"/>
      <c r="X138" s="304"/>
      <c r="Y138" s="304"/>
      <c r="Z138" s="304"/>
    </row>
    <row r="139" ht="15.75" customHeight="1">
      <c r="A139" s="302"/>
      <c r="B139" s="302"/>
      <c r="C139" s="302"/>
      <c r="D139" s="302"/>
      <c r="E139" s="302"/>
      <c r="F139" s="302"/>
      <c r="G139" s="302"/>
      <c r="H139" s="302"/>
      <c r="I139" s="302"/>
      <c r="J139" s="302"/>
      <c r="K139" s="341"/>
      <c r="L139" s="342"/>
      <c r="M139" s="342"/>
      <c r="N139" s="304"/>
      <c r="O139" s="304"/>
      <c r="P139" s="304"/>
      <c r="Q139" s="304"/>
      <c r="R139" s="304"/>
      <c r="S139" s="304"/>
      <c r="T139" s="304"/>
      <c r="U139" s="304"/>
      <c r="V139" s="304"/>
      <c r="W139" s="304"/>
      <c r="X139" s="304"/>
      <c r="Y139" s="304"/>
      <c r="Z139" s="304"/>
    </row>
    <row r="140" ht="15.75" customHeight="1">
      <c r="A140" s="302"/>
      <c r="B140" s="302"/>
      <c r="C140" s="302"/>
      <c r="D140" s="302"/>
      <c r="E140" s="302"/>
      <c r="F140" s="302"/>
      <c r="G140" s="302"/>
      <c r="H140" s="302"/>
      <c r="I140" s="302"/>
      <c r="J140" s="302"/>
      <c r="K140" s="302"/>
      <c r="L140" s="304"/>
      <c r="M140" s="304"/>
      <c r="N140" s="304"/>
      <c r="O140" s="304"/>
      <c r="P140" s="304"/>
      <c r="Q140" s="304"/>
      <c r="R140" s="304"/>
      <c r="S140" s="304"/>
      <c r="T140" s="304"/>
      <c r="U140" s="304"/>
      <c r="V140" s="304"/>
      <c r="W140" s="304"/>
      <c r="X140" s="304"/>
      <c r="Y140" s="304"/>
      <c r="Z140" s="304"/>
    </row>
    <row r="141" ht="15.75" customHeight="1">
      <c r="A141" s="302"/>
      <c r="B141" s="302"/>
      <c r="C141" s="302"/>
      <c r="D141" s="302"/>
      <c r="E141" s="302"/>
      <c r="F141" s="302"/>
      <c r="G141" s="302"/>
      <c r="H141" s="302"/>
      <c r="I141" s="302"/>
      <c r="J141" s="302"/>
      <c r="K141" s="302"/>
      <c r="L141" s="304"/>
      <c r="M141" s="304"/>
      <c r="N141" s="304"/>
      <c r="O141" s="304"/>
      <c r="P141" s="304"/>
      <c r="Q141" s="304"/>
      <c r="R141" s="304"/>
      <c r="S141" s="304"/>
      <c r="T141" s="304"/>
      <c r="U141" s="304"/>
      <c r="V141" s="304"/>
      <c r="W141" s="304"/>
      <c r="X141" s="304"/>
      <c r="Y141" s="304"/>
      <c r="Z141" s="304"/>
    </row>
    <row r="142" ht="15.75" customHeight="1">
      <c r="A142" s="302"/>
      <c r="B142" s="302"/>
      <c r="C142" s="302"/>
      <c r="D142" s="302"/>
      <c r="E142" s="302"/>
      <c r="F142" s="302"/>
      <c r="G142" s="302"/>
      <c r="H142" s="302"/>
      <c r="I142" s="302"/>
      <c r="J142" s="302"/>
      <c r="K142" s="302"/>
      <c r="L142" s="304"/>
      <c r="M142" s="304"/>
      <c r="N142" s="304"/>
      <c r="O142" s="304"/>
      <c r="P142" s="304"/>
      <c r="Q142" s="304"/>
      <c r="R142" s="304"/>
      <c r="S142" s="304"/>
      <c r="T142" s="304"/>
      <c r="U142" s="304"/>
      <c r="V142" s="304"/>
      <c r="W142" s="304"/>
      <c r="X142" s="304"/>
      <c r="Y142" s="304"/>
      <c r="Z142" s="304"/>
    </row>
    <row r="143" ht="15.75" customHeight="1">
      <c r="A143" s="302"/>
      <c r="B143" s="302"/>
      <c r="C143" s="302"/>
      <c r="D143" s="302"/>
      <c r="E143" s="302"/>
      <c r="F143" s="302"/>
      <c r="G143" s="302"/>
      <c r="H143" s="302"/>
      <c r="I143" s="302"/>
      <c r="J143" s="302"/>
      <c r="K143" s="302"/>
      <c r="L143" s="304"/>
      <c r="M143" s="304"/>
      <c r="N143" s="304"/>
      <c r="O143" s="304"/>
      <c r="P143" s="304"/>
      <c r="Q143" s="304"/>
      <c r="R143" s="304"/>
      <c r="S143" s="304"/>
      <c r="T143" s="304"/>
      <c r="U143" s="304"/>
      <c r="V143" s="304"/>
      <c r="W143" s="304"/>
      <c r="X143" s="304"/>
      <c r="Y143" s="304"/>
      <c r="Z143" s="304"/>
    </row>
    <row r="144" ht="15.75" customHeight="1">
      <c r="A144" s="302"/>
      <c r="B144" s="302"/>
      <c r="C144" s="302"/>
      <c r="D144" s="302"/>
      <c r="E144" s="302"/>
      <c r="F144" s="302"/>
      <c r="G144" s="302"/>
      <c r="H144" s="302"/>
      <c r="I144" s="302"/>
      <c r="J144" s="302"/>
      <c r="K144" s="302"/>
      <c r="L144" s="304"/>
      <c r="M144" s="304"/>
      <c r="N144" s="304"/>
      <c r="O144" s="304"/>
      <c r="P144" s="304"/>
      <c r="Q144" s="304"/>
      <c r="R144" s="304"/>
      <c r="S144" s="304"/>
      <c r="T144" s="304"/>
      <c r="U144" s="304"/>
      <c r="V144" s="304"/>
      <c r="W144" s="304"/>
      <c r="X144" s="304"/>
      <c r="Y144" s="304"/>
      <c r="Z144" s="304"/>
    </row>
    <row r="145" ht="15.75" customHeight="1">
      <c r="A145" s="302"/>
      <c r="B145" s="302"/>
      <c r="C145" s="302"/>
      <c r="D145" s="302"/>
      <c r="E145" s="302"/>
      <c r="F145" s="302"/>
      <c r="G145" s="302"/>
      <c r="H145" s="302"/>
      <c r="I145" s="302"/>
      <c r="J145" s="302"/>
      <c r="K145" s="302"/>
      <c r="L145" s="304"/>
      <c r="M145" s="304"/>
      <c r="N145" s="304"/>
      <c r="O145" s="304"/>
      <c r="P145" s="304"/>
      <c r="Q145" s="304"/>
      <c r="R145" s="304"/>
      <c r="S145" s="304"/>
      <c r="T145" s="304"/>
      <c r="U145" s="304"/>
      <c r="V145" s="304"/>
      <c r="W145" s="304"/>
      <c r="X145" s="304"/>
      <c r="Y145" s="304"/>
      <c r="Z145" s="304"/>
    </row>
    <row r="146" ht="15.75" customHeight="1">
      <c r="A146" s="302"/>
      <c r="B146" s="302"/>
      <c r="C146" s="302"/>
      <c r="D146" s="302"/>
      <c r="E146" s="302"/>
      <c r="F146" s="302"/>
      <c r="G146" s="302"/>
      <c r="H146" s="302"/>
      <c r="I146" s="302"/>
      <c r="J146" s="302"/>
      <c r="K146" s="302"/>
      <c r="L146" s="304"/>
      <c r="M146" s="304"/>
      <c r="N146" s="304"/>
      <c r="O146" s="304"/>
      <c r="P146" s="304"/>
      <c r="Q146" s="304"/>
      <c r="R146" s="304"/>
      <c r="S146" s="304"/>
      <c r="T146" s="304"/>
      <c r="U146" s="304"/>
      <c r="V146" s="304"/>
      <c r="W146" s="304"/>
      <c r="X146" s="304"/>
      <c r="Y146" s="304"/>
      <c r="Z146" s="304"/>
    </row>
    <row r="147" ht="15.75" customHeight="1">
      <c r="A147" s="302"/>
      <c r="B147" s="302"/>
      <c r="C147" s="302"/>
      <c r="D147" s="302"/>
      <c r="E147" s="302"/>
      <c r="F147" s="302"/>
      <c r="G147" s="302"/>
      <c r="H147" s="302"/>
      <c r="I147" s="302"/>
      <c r="J147" s="302"/>
      <c r="K147" s="302"/>
      <c r="L147" s="304"/>
      <c r="M147" s="304"/>
      <c r="N147" s="304"/>
      <c r="O147" s="304"/>
      <c r="P147" s="304"/>
      <c r="Q147" s="304"/>
      <c r="R147" s="304"/>
      <c r="S147" s="304"/>
      <c r="T147" s="304"/>
      <c r="U147" s="304"/>
      <c r="V147" s="304"/>
      <c r="W147" s="304"/>
      <c r="X147" s="304"/>
      <c r="Y147" s="304"/>
      <c r="Z147" s="304"/>
    </row>
    <row r="148" ht="15.75" customHeight="1">
      <c r="A148" s="302"/>
      <c r="B148" s="302"/>
      <c r="C148" s="302"/>
      <c r="D148" s="302"/>
      <c r="E148" s="302"/>
      <c r="F148" s="302"/>
      <c r="G148" s="302"/>
      <c r="H148" s="302"/>
      <c r="I148" s="302"/>
      <c r="J148" s="302"/>
      <c r="K148" s="302"/>
      <c r="L148" s="304"/>
      <c r="M148" s="304"/>
      <c r="N148" s="304"/>
      <c r="O148" s="304"/>
      <c r="P148" s="304"/>
      <c r="Q148" s="304"/>
      <c r="R148" s="304"/>
      <c r="S148" s="304"/>
      <c r="T148" s="304"/>
      <c r="U148" s="304"/>
      <c r="V148" s="304"/>
      <c r="W148" s="304"/>
      <c r="X148" s="304"/>
      <c r="Y148" s="304"/>
      <c r="Z148" s="304"/>
    </row>
    <row r="149" ht="15.75" customHeight="1">
      <c r="A149" s="302"/>
      <c r="B149" s="302"/>
      <c r="C149" s="302"/>
      <c r="D149" s="302"/>
      <c r="E149" s="302"/>
      <c r="F149" s="302"/>
      <c r="G149" s="302"/>
      <c r="H149" s="302"/>
      <c r="I149" s="302"/>
      <c r="J149" s="302"/>
      <c r="K149" s="302"/>
      <c r="L149" s="304"/>
      <c r="M149" s="304"/>
      <c r="N149" s="304"/>
      <c r="O149" s="304"/>
      <c r="P149" s="304"/>
      <c r="Q149" s="304"/>
      <c r="R149" s="304"/>
      <c r="S149" s="304"/>
      <c r="T149" s="304"/>
      <c r="U149" s="304"/>
      <c r="V149" s="304"/>
      <c r="W149" s="304"/>
      <c r="X149" s="304"/>
      <c r="Y149" s="304"/>
      <c r="Z149" s="304"/>
    </row>
    <row r="150" ht="15.75" customHeight="1">
      <c r="A150" s="302"/>
      <c r="B150" s="302"/>
      <c r="C150" s="302"/>
      <c r="D150" s="302"/>
      <c r="E150" s="302"/>
      <c r="F150" s="302"/>
      <c r="G150" s="302"/>
      <c r="H150" s="302"/>
      <c r="I150" s="302"/>
      <c r="J150" s="302"/>
      <c r="K150" s="302"/>
      <c r="L150" s="304"/>
      <c r="M150" s="304"/>
      <c r="N150" s="304"/>
      <c r="O150" s="304"/>
      <c r="P150" s="304"/>
      <c r="Q150" s="304"/>
      <c r="R150" s="304"/>
      <c r="S150" s="304"/>
      <c r="T150" s="304"/>
      <c r="U150" s="304"/>
      <c r="V150" s="304"/>
      <c r="W150" s="304"/>
      <c r="X150" s="304"/>
      <c r="Y150" s="304"/>
      <c r="Z150" s="304"/>
    </row>
    <row r="151" ht="15.75" customHeight="1">
      <c r="A151" s="302"/>
      <c r="B151" s="302"/>
      <c r="C151" s="302"/>
      <c r="D151" s="302"/>
      <c r="E151" s="302"/>
      <c r="F151" s="302"/>
      <c r="G151" s="302"/>
      <c r="H151" s="302"/>
      <c r="I151" s="302"/>
      <c r="J151" s="302"/>
      <c r="K151" s="302"/>
      <c r="L151" s="304"/>
      <c r="M151" s="304"/>
      <c r="N151" s="304"/>
      <c r="O151" s="304"/>
      <c r="P151" s="304"/>
      <c r="Q151" s="304"/>
      <c r="R151" s="304"/>
      <c r="S151" s="304"/>
      <c r="T151" s="304"/>
      <c r="U151" s="304"/>
      <c r="V151" s="304"/>
      <c r="W151" s="304"/>
      <c r="X151" s="304"/>
      <c r="Y151" s="304"/>
      <c r="Z151" s="304"/>
    </row>
    <row r="152" ht="15.75" customHeight="1">
      <c r="A152" s="302"/>
      <c r="B152" s="302"/>
      <c r="C152" s="302"/>
      <c r="D152" s="302"/>
      <c r="E152" s="302"/>
      <c r="F152" s="302"/>
      <c r="G152" s="302"/>
      <c r="H152" s="302"/>
      <c r="I152" s="302"/>
      <c r="J152" s="302"/>
      <c r="K152" s="302"/>
      <c r="L152" s="304"/>
      <c r="M152" s="304"/>
      <c r="N152" s="304"/>
      <c r="O152" s="304"/>
      <c r="P152" s="304"/>
      <c r="Q152" s="304"/>
      <c r="R152" s="304"/>
      <c r="S152" s="304"/>
      <c r="T152" s="304"/>
      <c r="U152" s="304"/>
      <c r="V152" s="304"/>
      <c r="W152" s="304"/>
      <c r="X152" s="304"/>
      <c r="Y152" s="304"/>
      <c r="Z152" s="304"/>
    </row>
    <row r="153" ht="15.75" customHeight="1">
      <c r="A153" s="302"/>
      <c r="B153" s="302"/>
      <c r="C153" s="302"/>
      <c r="D153" s="302"/>
      <c r="E153" s="302"/>
      <c r="F153" s="302"/>
      <c r="G153" s="302"/>
      <c r="H153" s="302"/>
      <c r="I153" s="302"/>
      <c r="J153" s="302"/>
      <c r="K153" s="302"/>
      <c r="L153" s="304"/>
      <c r="M153" s="304"/>
      <c r="N153" s="304"/>
      <c r="O153" s="304"/>
      <c r="P153" s="304"/>
      <c r="Q153" s="304"/>
      <c r="R153" s="304"/>
      <c r="S153" s="304"/>
      <c r="T153" s="304"/>
      <c r="U153" s="304"/>
      <c r="V153" s="304"/>
      <c r="W153" s="304"/>
      <c r="X153" s="304"/>
      <c r="Y153" s="304"/>
      <c r="Z153" s="304"/>
    </row>
    <row r="154" ht="15.75" customHeight="1">
      <c r="A154" s="302"/>
      <c r="B154" s="302"/>
      <c r="C154" s="302"/>
      <c r="D154" s="302"/>
      <c r="E154" s="302"/>
      <c r="F154" s="302"/>
      <c r="G154" s="302"/>
      <c r="H154" s="302"/>
      <c r="I154" s="302"/>
      <c r="J154" s="302"/>
      <c r="K154" s="302"/>
      <c r="L154" s="304"/>
      <c r="M154" s="304"/>
      <c r="N154" s="304"/>
      <c r="O154" s="304"/>
      <c r="P154" s="304"/>
      <c r="Q154" s="304"/>
      <c r="R154" s="304"/>
      <c r="S154" s="304"/>
      <c r="T154" s="304"/>
      <c r="U154" s="304"/>
      <c r="V154" s="304"/>
      <c r="W154" s="304"/>
      <c r="X154" s="304"/>
      <c r="Y154" s="304"/>
      <c r="Z154" s="304"/>
    </row>
    <row r="155" ht="15.75" customHeight="1">
      <c r="A155" s="302"/>
      <c r="B155" s="302"/>
      <c r="C155" s="302"/>
      <c r="D155" s="302"/>
      <c r="E155" s="302"/>
      <c r="F155" s="302"/>
      <c r="G155" s="302"/>
      <c r="H155" s="302"/>
      <c r="I155" s="302"/>
      <c r="J155" s="302"/>
      <c r="K155" s="302"/>
      <c r="L155" s="304"/>
      <c r="M155" s="304"/>
      <c r="N155" s="304"/>
      <c r="O155" s="304"/>
      <c r="P155" s="304"/>
      <c r="Q155" s="304"/>
      <c r="R155" s="304"/>
      <c r="S155" s="304"/>
      <c r="T155" s="304"/>
      <c r="U155" s="304"/>
      <c r="V155" s="304"/>
      <c r="W155" s="304"/>
      <c r="X155" s="304"/>
      <c r="Y155" s="304"/>
      <c r="Z155" s="304"/>
    </row>
    <row r="156" ht="15.75" customHeight="1">
      <c r="A156" s="302"/>
      <c r="B156" s="302"/>
      <c r="C156" s="302"/>
      <c r="D156" s="302"/>
      <c r="E156" s="302"/>
      <c r="F156" s="302"/>
      <c r="G156" s="302"/>
      <c r="H156" s="302"/>
      <c r="I156" s="302"/>
      <c r="J156" s="302"/>
      <c r="K156" s="302"/>
      <c r="L156" s="304"/>
      <c r="M156" s="304"/>
      <c r="N156" s="304"/>
      <c r="O156" s="304"/>
      <c r="P156" s="304"/>
      <c r="Q156" s="304"/>
      <c r="R156" s="304"/>
      <c r="S156" s="304"/>
      <c r="T156" s="304"/>
      <c r="U156" s="304"/>
      <c r="V156" s="304"/>
      <c r="W156" s="304"/>
      <c r="X156" s="304"/>
      <c r="Y156" s="304"/>
      <c r="Z156" s="304"/>
    </row>
    <row r="157" ht="15.75" customHeight="1">
      <c r="A157" s="302"/>
      <c r="B157" s="302"/>
      <c r="C157" s="302"/>
      <c r="D157" s="302"/>
      <c r="E157" s="302"/>
      <c r="F157" s="302"/>
      <c r="G157" s="302"/>
      <c r="H157" s="302"/>
      <c r="I157" s="302"/>
      <c r="J157" s="302"/>
      <c r="K157" s="302"/>
      <c r="L157" s="304"/>
      <c r="M157" s="304"/>
      <c r="N157" s="304"/>
      <c r="O157" s="304"/>
      <c r="P157" s="304"/>
      <c r="Q157" s="304"/>
      <c r="R157" s="304"/>
      <c r="S157" s="304"/>
      <c r="T157" s="304"/>
      <c r="U157" s="304"/>
      <c r="V157" s="304"/>
      <c r="W157" s="304"/>
      <c r="X157" s="304"/>
      <c r="Y157" s="304"/>
      <c r="Z157" s="304"/>
    </row>
    <row r="158" ht="15.75" customHeight="1">
      <c r="A158" s="302"/>
      <c r="B158" s="302"/>
      <c r="C158" s="302"/>
      <c r="D158" s="302"/>
      <c r="E158" s="302"/>
      <c r="F158" s="302"/>
      <c r="G158" s="302"/>
      <c r="H158" s="302"/>
      <c r="I158" s="302"/>
      <c r="J158" s="302"/>
      <c r="K158" s="302"/>
      <c r="L158" s="304"/>
      <c r="M158" s="304"/>
      <c r="N158" s="304"/>
      <c r="O158" s="304"/>
      <c r="P158" s="304"/>
      <c r="Q158" s="304"/>
      <c r="R158" s="304"/>
      <c r="S158" s="304"/>
      <c r="T158" s="304"/>
      <c r="U158" s="304"/>
      <c r="V158" s="304"/>
      <c r="W158" s="304"/>
      <c r="X158" s="304"/>
      <c r="Y158" s="304"/>
      <c r="Z158" s="304"/>
    </row>
    <row r="159" ht="15.75" customHeight="1">
      <c r="A159" s="302"/>
      <c r="B159" s="302"/>
      <c r="C159" s="302"/>
      <c r="D159" s="302"/>
      <c r="E159" s="302"/>
      <c r="F159" s="302"/>
      <c r="G159" s="302"/>
      <c r="H159" s="302"/>
      <c r="I159" s="302"/>
      <c r="J159" s="302"/>
      <c r="K159" s="302"/>
      <c r="L159" s="304"/>
      <c r="M159" s="304"/>
      <c r="N159" s="304"/>
      <c r="O159" s="304"/>
      <c r="P159" s="304"/>
      <c r="Q159" s="304"/>
      <c r="R159" s="304"/>
      <c r="S159" s="304"/>
      <c r="T159" s="304"/>
      <c r="U159" s="304"/>
      <c r="V159" s="304"/>
      <c r="W159" s="304"/>
      <c r="X159" s="304"/>
      <c r="Y159" s="304"/>
      <c r="Z159" s="304"/>
    </row>
    <row r="160" ht="15.75" customHeight="1">
      <c r="A160" s="302"/>
      <c r="B160" s="302"/>
      <c r="C160" s="302"/>
      <c r="D160" s="302"/>
      <c r="E160" s="302"/>
      <c r="F160" s="302"/>
      <c r="G160" s="302"/>
      <c r="H160" s="302"/>
      <c r="I160" s="302"/>
      <c r="J160" s="302"/>
      <c r="K160" s="302"/>
      <c r="L160" s="304"/>
      <c r="M160" s="304"/>
      <c r="N160" s="304"/>
      <c r="O160" s="304"/>
      <c r="P160" s="304"/>
      <c r="Q160" s="304"/>
      <c r="R160" s="304"/>
      <c r="S160" s="304"/>
      <c r="T160" s="304"/>
      <c r="U160" s="304"/>
      <c r="V160" s="304"/>
      <c r="W160" s="304"/>
      <c r="X160" s="304"/>
      <c r="Y160" s="304"/>
      <c r="Z160" s="304"/>
    </row>
    <row r="161" ht="15.75" customHeight="1">
      <c r="A161" s="302"/>
      <c r="B161" s="302"/>
      <c r="C161" s="302"/>
      <c r="D161" s="302"/>
      <c r="E161" s="302"/>
      <c r="F161" s="302"/>
      <c r="G161" s="302"/>
      <c r="H161" s="302"/>
      <c r="I161" s="302"/>
      <c r="J161" s="302"/>
      <c r="K161" s="302"/>
      <c r="L161" s="304"/>
      <c r="M161" s="304"/>
      <c r="N161" s="304"/>
      <c r="O161" s="304"/>
      <c r="P161" s="304"/>
      <c r="Q161" s="304"/>
      <c r="R161" s="304"/>
      <c r="S161" s="304"/>
      <c r="T161" s="304"/>
      <c r="U161" s="304"/>
      <c r="V161" s="304"/>
      <c r="W161" s="304"/>
      <c r="X161" s="304"/>
      <c r="Y161" s="304"/>
      <c r="Z161" s="304"/>
    </row>
    <row r="162" ht="15.75" customHeight="1">
      <c r="A162" s="302"/>
      <c r="B162" s="302"/>
      <c r="C162" s="302"/>
      <c r="D162" s="302"/>
      <c r="E162" s="302"/>
      <c r="F162" s="302"/>
      <c r="G162" s="302"/>
      <c r="H162" s="302"/>
      <c r="I162" s="302"/>
      <c r="J162" s="302"/>
      <c r="K162" s="302"/>
      <c r="L162" s="304"/>
      <c r="M162" s="304"/>
      <c r="N162" s="304"/>
      <c r="O162" s="304"/>
      <c r="P162" s="304"/>
      <c r="Q162" s="304"/>
      <c r="R162" s="304"/>
      <c r="S162" s="304"/>
      <c r="T162" s="304"/>
      <c r="U162" s="304"/>
      <c r="V162" s="304"/>
      <c r="W162" s="304"/>
      <c r="X162" s="304"/>
      <c r="Y162" s="304"/>
      <c r="Z162" s="304"/>
    </row>
    <row r="163" ht="15.75" customHeight="1">
      <c r="A163" s="302"/>
      <c r="B163" s="302"/>
      <c r="C163" s="302"/>
      <c r="D163" s="302"/>
      <c r="E163" s="302"/>
      <c r="F163" s="302"/>
      <c r="G163" s="302"/>
      <c r="H163" s="302"/>
      <c r="I163" s="302"/>
      <c r="J163" s="302"/>
      <c r="K163" s="302"/>
      <c r="L163" s="304"/>
      <c r="M163" s="304"/>
      <c r="N163" s="304"/>
      <c r="O163" s="304"/>
      <c r="P163" s="304"/>
      <c r="Q163" s="304"/>
      <c r="R163" s="304"/>
      <c r="S163" s="304"/>
      <c r="T163" s="304"/>
      <c r="U163" s="304"/>
      <c r="V163" s="304"/>
      <c r="W163" s="304"/>
      <c r="X163" s="304"/>
      <c r="Y163" s="304"/>
      <c r="Z163" s="304"/>
    </row>
    <row r="164" ht="15.75" customHeight="1">
      <c r="A164" s="302"/>
      <c r="B164" s="302"/>
      <c r="C164" s="302"/>
      <c r="D164" s="302"/>
      <c r="E164" s="302"/>
      <c r="F164" s="302"/>
      <c r="G164" s="302"/>
      <c r="H164" s="302"/>
      <c r="I164" s="302"/>
      <c r="J164" s="302"/>
      <c r="K164" s="302"/>
      <c r="L164" s="304"/>
      <c r="M164" s="304"/>
      <c r="N164" s="304"/>
      <c r="O164" s="304"/>
      <c r="P164" s="304"/>
      <c r="Q164" s="304"/>
      <c r="R164" s="304"/>
      <c r="S164" s="304"/>
      <c r="T164" s="304"/>
      <c r="U164" s="304"/>
      <c r="V164" s="304"/>
      <c r="W164" s="304"/>
      <c r="X164" s="304"/>
      <c r="Y164" s="304"/>
      <c r="Z164" s="304"/>
    </row>
    <row r="165" ht="15.75" customHeight="1">
      <c r="A165" s="302"/>
      <c r="B165" s="302"/>
      <c r="C165" s="302"/>
      <c r="D165" s="302"/>
      <c r="E165" s="302"/>
      <c r="F165" s="302"/>
      <c r="G165" s="302"/>
      <c r="H165" s="302"/>
      <c r="I165" s="302"/>
      <c r="J165" s="302"/>
      <c r="K165" s="302"/>
      <c r="L165" s="304"/>
      <c r="M165" s="304"/>
      <c r="N165" s="304"/>
      <c r="O165" s="304"/>
      <c r="P165" s="304"/>
      <c r="Q165" s="304"/>
      <c r="R165" s="304"/>
      <c r="S165" s="304"/>
      <c r="T165" s="304"/>
      <c r="U165" s="304"/>
      <c r="V165" s="304"/>
      <c r="W165" s="304"/>
      <c r="X165" s="304"/>
      <c r="Y165" s="304"/>
      <c r="Z165" s="304"/>
    </row>
    <row r="166" ht="15.75" customHeight="1">
      <c r="A166" s="302"/>
      <c r="B166" s="302"/>
      <c r="C166" s="302"/>
      <c r="D166" s="302"/>
      <c r="E166" s="302"/>
      <c r="F166" s="302"/>
      <c r="G166" s="302"/>
      <c r="H166" s="302"/>
      <c r="I166" s="302"/>
      <c r="J166" s="302"/>
      <c r="K166" s="302"/>
      <c r="L166" s="304"/>
      <c r="M166" s="304"/>
      <c r="N166" s="304"/>
      <c r="O166" s="304"/>
      <c r="P166" s="304"/>
      <c r="Q166" s="304"/>
      <c r="R166" s="304"/>
      <c r="S166" s="304"/>
      <c r="T166" s="304"/>
      <c r="U166" s="304"/>
      <c r="V166" s="304"/>
      <c r="W166" s="304"/>
      <c r="X166" s="304"/>
      <c r="Y166" s="304"/>
      <c r="Z166" s="304"/>
    </row>
    <row r="167" ht="15.75" customHeight="1">
      <c r="A167" s="302"/>
      <c r="B167" s="302"/>
      <c r="C167" s="302"/>
      <c r="D167" s="302"/>
      <c r="E167" s="302"/>
      <c r="F167" s="302"/>
      <c r="G167" s="302"/>
      <c r="H167" s="302"/>
      <c r="I167" s="302"/>
      <c r="J167" s="302"/>
      <c r="K167" s="302"/>
      <c r="L167" s="304"/>
      <c r="M167" s="304"/>
      <c r="N167" s="304"/>
      <c r="O167" s="304"/>
      <c r="P167" s="304"/>
      <c r="Q167" s="304"/>
      <c r="R167" s="304"/>
      <c r="S167" s="304"/>
      <c r="T167" s="304"/>
      <c r="U167" s="304"/>
      <c r="V167" s="304"/>
      <c r="W167" s="304"/>
      <c r="X167" s="304"/>
      <c r="Y167" s="304"/>
      <c r="Z167" s="304"/>
    </row>
    <row r="168" ht="15.75" customHeight="1">
      <c r="A168" s="302"/>
      <c r="B168" s="302"/>
      <c r="C168" s="302"/>
      <c r="D168" s="302"/>
      <c r="E168" s="302"/>
      <c r="F168" s="302"/>
      <c r="G168" s="302"/>
      <c r="H168" s="302"/>
      <c r="I168" s="302"/>
      <c r="J168" s="302"/>
      <c r="K168" s="302"/>
      <c r="L168" s="304"/>
      <c r="M168" s="304"/>
      <c r="N168" s="304"/>
      <c r="O168" s="304"/>
      <c r="P168" s="304"/>
      <c r="Q168" s="304"/>
      <c r="R168" s="304"/>
      <c r="S168" s="304"/>
      <c r="T168" s="304"/>
      <c r="U168" s="304"/>
      <c r="V168" s="304"/>
      <c r="W168" s="304"/>
      <c r="X168" s="304"/>
      <c r="Y168" s="304"/>
      <c r="Z168" s="304"/>
    </row>
    <row r="169" ht="15.75" customHeight="1">
      <c r="A169" s="302"/>
      <c r="B169" s="302"/>
      <c r="C169" s="302"/>
      <c r="D169" s="302"/>
      <c r="E169" s="302"/>
      <c r="F169" s="302"/>
      <c r="G169" s="302"/>
      <c r="H169" s="302"/>
      <c r="I169" s="302"/>
      <c r="J169" s="302"/>
      <c r="K169" s="302"/>
      <c r="L169" s="304"/>
      <c r="M169" s="304"/>
      <c r="N169" s="304"/>
      <c r="O169" s="304"/>
      <c r="P169" s="304"/>
      <c r="Q169" s="304"/>
      <c r="R169" s="304"/>
      <c r="S169" s="304"/>
      <c r="T169" s="304"/>
      <c r="U169" s="304"/>
      <c r="V169" s="304"/>
      <c r="W169" s="304"/>
      <c r="X169" s="304"/>
      <c r="Y169" s="304"/>
      <c r="Z169" s="304"/>
    </row>
    <row r="170" ht="15.75" customHeight="1">
      <c r="A170" s="302"/>
      <c r="B170" s="302"/>
      <c r="C170" s="302"/>
      <c r="D170" s="302"/>
      <c r="E170" s="302"/>
      <c r="F170" s="302"/>
      <c r="G170" s="302"/>
      <c r="H170" s="302"/>
      <c r="I170" s="302"/>
      <c r="J170" s="302"/>
      <c r="K170" s="302"/>
      <c r="L170" s="304"/>
      <c r="M170" s="304"/>
      <c r="N170" s="304"/>
      <c r="O170" s="304"/>
      <c r="P170" s="304"/>
      <c r="Q170" s="304"/>
      <c r="R170" s="304"/>
      <c r="S170" s="304"/>
      <c r="T170" s="304"/>
      <c r="U170" s="304"/>
      <c r="V170" s="304"/>
      <c r="W170" s="304"/>
      <c r="X170" s="304"/>
      <c r="Y170" s="304"/>
      <c r="Z170" s="304"/>
    </row>
    <row r="171" ht="15.75" customHeight="1">
      <c r="A171" s="302"/>
      <c r="B171" s="302"/>
      <c r="C171" s="302"/>
      <c r="D171" s="302"/>
      <c r="E171" s="302"/>
      <c r="F171" s="302"/>
      <c r="G171" s="302"/>
      <c r="H171" s="302"/>
      <c r="I171" s="302"/>
      <c r="J171" s="302"/>
      <c r="K171" s="302"/>
      <c r="L171" s="304"/>
      <c r="M171" s="304"/>
      <c r="N171" s="304"/>
      <c r="O171" s="304"/>
      <c r="P171" s="304"/>
      <c r="Q171" s="304"/>
      <c r="R171" s="304"/>
      <c r="S171" s="304"/>
      <c r="T171" s="304"/>
      <c r="U171" s="304"/>
      <c r="V171" s="304"/>
      <c r="W171" s="304"/>
      <c r="X171" s="304"/>
      <c r="Y171" s="304"/>
      <c r="Z171" s="304"/>
    </row>
    <row r="172" ht="15.75" customHeight="1">
      <c r="A172" s="302"/>
      <c r="B172" s="302"/>
      <c r="C172" s="302"/>
      <c r="D172" s="302"/>
      <c r="E172" s="302"/>
      <c r="F172" s="302"/>
      <c r="G172" s="302"/>
      <c r="H172" s="302"/>
      <c r="I172" s="302"/>
      <c r="J172" s="302"/>
      <c r="K172" s="302"/>
      <c r="L172" s="304"/>
      <c r="M172" s="304"/>
      <c r="N172" s="304"/>
      <c r="O172" s="304"/>
      <c r="P172" s="304"/>
      <c r="Q172" s="304"/>
      <c r="R172" s="304"/>
      <c r="S172" s="304"/>
      <c r="T172" s="304"/>
      <c r="U172" s="304"/>
      <c r="V172" s="304"/>
      <c r="W172" s="304"/>
      <c r="X172" s="304"/>
      <c r="Y172" s="304"/>
      <c r="Z172" s="304"/>
    </row>
    <row r="173" ht="15.75" customHeight="1">
      <c r="A173" s="302"/>
      <c r="B173" s="302"/>
      <c r="C173" s="302"/>
      <c r="D173" s="302"/>
      <c r="E173" s="302"/>
      <c r="F173" s="302"/>
      <c r="G173" s="302"/>
      <c r="H173" s="302"/>
      <c r="I173" s="302"/>
      <c r="J173" s="302"/>
      <c r="K173" s="302"/>
      <c r="L173" s="304"/>
      <c r="M173" s="304"/>
      <c r="N173" s="304"/>
      <c r="O173" s="304"/>
      <c r="P173" s="304"/>
      <c r="Q173" s="304"/>
      <c r="R173" s="304"/>
      <c r="S173" s="304"/>
      <c r="T173" s="304"/>
      <c r="U173" s="304"/>
      <c r="V173" s="304"/>
      <c r="W173" s="304"/>
      <c r="X173" s="304"/>
      <c r="Y173" s="304"/>
      <c r="Z173" s="304"/>
    </row>
    <row r="174" ht="15.75" customHeight="1">
      <c r="A174" s="302"/>
      <c r="B174" s="302"/>
      <c r="C174" s="302"/>
      <c r="D174" s="302"/>
      <c r="E174" s="302"/>
      <c r="F174" s="302"/>
      <c r="G174" s="302"/>
      <c r="H174" s="302"/>
      <c r="I174" s="302"/>
      <c r="J174" s="302"/>
      <c r="K174" s="302"/>
      <c r="L174" s="304"/>
      <c r="M174" s="304"/>
      <c r="N174" s="304"/>
      <c r="O174" s="304"/>
      <c r="P174" s="304"/>
      <c r="Q174" s="304"/>
      <c r="R174" s="304"/>
      <c r="S174" s="304"/>
      <c r="T174" s="304"/>
      <c r="U174" s="304"/>
      <c r="V174" s="304"/>
      <c r="W174" s="304"/>
      <c r="X174" s="304"/>
      <c r="Y174" s="304"/>
      <c r="Z174" s="304"/>
    </row>
    <row r="175" ht="15.75" customHeight="1">
      <c r="A175" s="302"/>
      <c r="B175" s="302"/>
      <c r="C175" s="302"/>
      <c r="D175" s="302"/>
      <c r="E175" s="302"/>
      <c r="F175" s="302"/>
      <c r="G175" s="302"/>
      <c r="H175" s="302"/>
      <c r="I175" s="302"/>
      <c r="J175" s="302"/>
      <c r="K175" s="302"/>
      <c r="L175" s="304"/>
      <c r="M175" s="304"/>
      <c r="N175" s="304"/>
      <c r="O175" s="304"/>
      <c r="P175" s="304"/>
      <c r="Q175" s="304"/>
      <c r="R175" s="304"/>
      <c r="S175" s="304"/>
      <c r="T175" s="304"/>
      <c r="U175" s="304"/>
      <c r="V175" s="304"/>
      <c r="W175" s="304"/>
      <c r="X175" s="304"/>
      <c r="Y175" s="304"/>
      <c r="Z175" s="304"/>
    </row>
    <row r="176" ht="15.75" customHeight="1">
      <c r="A176" s="302"/>
      <c r="B176" s="302"/>
      <c r="C176" s="302"/>
      <c r="D176" s="302"/>
      <c r="E176" s="302"/>
      <c r="F176" s="302"/>
      <c r="G176" s="302"/>
      <c r="H176" s="302"/>
      <c r="I176" s="302"/>
      <c r="J176" s="302"/>
      <c r="K176" s="302"/>
      <c r="L176" s="304"/>
      <c r="M176" s="304"/>
      <c r="N176" s="304"/>
      <c r="O176" s="304"/>
      <c r="P176" s="304"/>
      <c r="Q176" s="304"/>
      <c r="R176" s="304"/>
      <c r="S176" s="304"/>
      <c r="T176" s="304"/>
      <c r="U176" s="304"/>
      <c r="V176" s="304"/>
      <c r="W176" s="304"/>
      <c r="X176" s="304"/>
      <c r="Y176" s="304"/>
      <c r="Z176" s="304"/>
    </row>
    <row r="177" ht="15.75" customHeight="1">
      <c r="A177" s="302"/>
      <c r="B177" s="302"/>
      <c r="C177" s="302"/>
      <c r="D177" s="302"/>
      <c r="E177" s="302"/>
      <c r="F177" s="302"/>
      <c r="G177" s="302"/>
      <c r="H177" s="302"/>
      <c r="I177" s="302"/>
      <c r="J177" s="302"/>
      <c r="K177" s="302"/>
      <c r="L177" s="304"/>
      <c r="M177" s="304"/>
      <c r="N177" s="304"/>
      <c r="O177" s="304"/>
      <c r="P177" s="304"/>
      <c r="Q177" s="304"/>
      <c r="R177" s="304"/>
      <c r="S177" s="304"/>
      <c r="T177" s="304"/>
      <c r="U177" s="304"/>
      <c r="V177" s="304"/>
      <c r="W177" s="304"/>
      <c r="X177" s="304"/>
      <c r="Y177" s="304"/>
      <c r="Z177" s="304"/>
    </row>
    <row r="178" ht="15.75" customHeight="1">
      <c r="A178" s="302"/>
      <c r="B178" s="302"/>
      <c r="C178" s="302"/>
      <c r="D178" s="302"/>
      <c r="E178" s="302"/>
      <c r="F178" s="302"/>
      <c r="G178" s="302"/>
      <c r="H178" s="302"/>
      <c r="I178" s="302"/>
      <c r="J178" s="302"/>
      <c r="K178" s="302"/>
      <c r="L178" s="304"/>
      <c r="M178" s="304"/>
      <c r="N178" s="304"/>
      <c r="O178" s="304"/>
      <c r="P178" s="304"/>
      <c r="Q178" s="304"/>
      <c r="R178" s="304"/>
      <c r="S178" s="304"/>
      <c r="T178" s="304"/>
      <c r="U178" s="304"/>
      <c r="V178" s="304"/>
      <c r="W178" s="304"/>
      <c r="X178" s="304"/>
      <c r="Y178" s="304"/>
      <c r="Z178" s="304"/>
    </row>
    <row r="179" ht="15.75" customHeight="1">
      <c r="A179" s="302"/>
      <c r="B179" s="302"/>
      <c r="C179" s="302"/>
      <c r="D179" s="302"/>
      <c r="E179" s="302"/>
      <c r="F179" s="302"/>
      <c r="G179" s="302"/>
      <c r="H179" s="302"/>
      <c r="I179" s="302"/>
      <c r="J179" s="302"/>
      <c r="K179" s="302"/>
      <c r="L179" s="304"/>
      <c r="M179" s="304"/>
      <c r="N179" s="304"/>
      <c r="O179" s="304"/>
      <c r="P179" s="304"/>
      <c r="Q179" s="304"/>
      <c r="R179" s="304"/>
      <c r="S179" s="304"/>
      <c r="T179" s="304"/>
      <c r="U179" s="304"/>
      <c r="V179" s="304"/>
      <c r="W179" s="304"/>
      <c r="X179" s="304"/>
      <c r="Y179" s="304"/>
      <c r="Z179" s="304"/>
    </row>
    <row r="180" ht="15.75" customHeight="1">
      <c r="A180" s="302"/>
      <c r="B180" s="302"/>
      <c r="C180" s="302"/>
      <c r="D180" s="302"/>
      <c r="E180" s="302"/>
      <c r="F180" s="302"/>
      <c r="G180" s="302"/>
      <c r="H180" s="302"/>
      <c r="I180" s="302"/>
      <c r="J180" s="302"/>
      <c r="K180" s="302"/>
      <c r="L180" s="304"/>
      <c r="M180" s="304"/>
      <c r="N180" s="304"/>
      <c r="O180" s="304"/>
      <c r="P180" s="304"/>
      <c r="Q180" s="304"/>
      <c r="R180" s="304"/>
      <c r="S180" s="304"/>
      <c r="T180" s="304"/>
      <c r="U180" s="304"/>
      <c r="V180" s="304"/>
      <c r="W180" s="304"/>
      <c r="X180" s="304"/>
      <c r="Y180" s="304"/>
      <c r="Z180" s="304"/>
    </row>
    <row r="181" ht="15.75" customHeight="1">
      <c r="A181" s="302"/>
      <c r="B181" s="302"/>
      <c r="C181" s="302"/>
      <c r="D181" s="302"/>
      <c r="E181" s="302"/>
      <c r="F181" s="302"/>
      <c r="G181" s="302"/>
      <c r="H181" s="302"/>
      <c r="I181" s="302"/>
      <c r="J181" s="302"/>
      <c r="K181" s="302"/>
      <c r="L181" s="304"/>
      <c r="M181" s="304"/>
      <c r="N181" s="304"/>
      <c r="O181" s="304"/>
      <c r="P181" s="304"/>
      <c r="Q181" s="304"/>
      <c r="R181" s="304"/>
      <c r="S181" s="304"/>
      <c r="T181" s="304"/>
      <c r="U181" s="304"/>
      <c r="V181" s="304"/>
      <c r="W181" s="304"/>
      <c r="X181" s="304"/>
      <c r="Y181" s="304"/>
      <c r="Z181" s="304"/>
    </row>
    <row r="182" ht="15.75" customHeight="1">
      <c r="A182" s="302"/>
      <c r="B182" s="302"/>
      <c r="C182" s="302"/>
      <c r="D182" s="302"/>
      <c r="E182" s="302"/>
      <c r="F182" s="302"/>
      <c r="G182" s="302"/>
      <c r="H182" s="302"/>
      <c r="I182" s="302"/>
      <c r="J182" s="302"/>
      <c r="K182" s="302"/>
      <c r="L182" s="304"/>
      <c r="M182" s="304"/>
      <c r="N182" s="304"/>
      <c r="O182" s="304"/>
      <c r="P182" s="304"/>
      <c r="Q182" s="304"/>
      <c r="R182" s="304"/>
      <c r="S182" s="304"/>
      <c r="T182" s="304"/>
      <c r="U182" s="304"/>
      <c r="V182" s="304"/>
      <c r="W182" s="304"/>
      <c r="X182" s="304"/>
      <c r="Y182" s="304"/>
      <c r="Z182" s="304"/>
    </row>
    <row r="183" ht="15.75" customHeight="1">
      <c r="A183" s="302"/>
      <c r="B183" s="302"/>
      <c r="C183" s="302"/>
      <c r="D183" s="302"/>
      <c r="E183" s="302"/>
      <c r="F183" s="302"/>
      <c r="G183" s="302"/>
      <c r="H183" s="302"/>
      <c r="I183" s="302"/>
      <c r="J183" s="302"/>
      <c r="K183" s="302"/>
      <c r="L183" s="304"/>
      <c r="M183" s="304"/>
      <c r="N183" s="304"/>
      <c r="O183" s="304"/>
      <c r="P183" s="304"/>
      <c r="Q183" s="304"/>
      <c r="R183" s="304"/>
      <c r="S183" s="304"/>
      <c r="T183" s="304"/>
      <c r="U183" s="304"/>
      <c r="V183" s="304"/>
      <c r="W183" s="304"/>
      <c r="X183" s="304"/>
      <c r="Y183" s="304"/>
      <c r="Z183" s="304"/>
    </row>
    <row r="184" ht="15.75" customHeight="1">
      <c r="A184" s="302"/>
      <c r="B184" s="302"/>
      <c r="C184" s="302"/>
      <c r="D184" s="302"/>
      <c r="E184" s="302"/>
      <c r="F184" s="302"/>
      <c r="G184" s="302"/>
      <c r="H184" s="302"/>
      <c r="I184" s="302"/>
      <c r="J184" s="302"/>
      <c r="K184" s="302"/>
      <c r="L184" s="304"/>
      <c r="M184" s="304"/>
      <c r="N184" s="304"/>
      <c r="O184" s="304"/>
      <c r="P184" s="304"/>
      <c r="Q184" s="304"/>
      <c r="R184" s="304"/>
      <c r="S184" s="304"/>
      <c r="T184" s="304"/>
      <c r="U184" s="304"/>
      <c r="V184" s="304"/>
      <c r="W184" s="304"/>
      <c r="X184" s="304"/>
      <c r="Y184" s="304"/>
      <c r="Z184" s="304"/>
    </row>
    <row r="185" ht="15.75" customHeight="1">
      <c r="A185" s="302"/>
      <c r="B185" s="302"/>
      <c r="C185" s="302"/>
      <c r="D185" s="302"/>
      <c r="E185" s="302"/>
      <c r="F185" s="302"/>
      <c r="G185" s="302"/>
      <c r="H185" s="302"/>
      <c r="I185" s="302"/>
      <c r="J185" s="302"/>
      <c r="K185" s="302"/>
      <c r="L185" s="304"/>
      <c r="M185" s="304"/>
      <c r="N185" s="304"/>
      <c r="O185" s="304"/>
      <c r="P185" s="304"/>
      <c r="Q185" s="304"/>
      <c r="R185" s="304"/>
      <c r="S185" s="304"/>
      <c r="T185" s="304"/>
      <c r="U185" s="304"/>
      <c r="V185" s="304"/>
      <c r="W185" s="304"/>
      <c r="X185" s="304"/>
      <c r="Y185" s="304"/>
      <c r="Z185" s="304"/>
    </row>
    <row r="186" ht="15.75" customHeight="1">
      <c r="A186" s="302"/>
      <c r="B186" s="302"/>
      <c r="C186" s="302"/>
      <c r="D186" s="302"/>
      <c r="E186" s="302"/>
      <c r="F186" s="302"/>
      <c r="G186" s="302"/>
      <c r="H186" s="302"/>
      <c r="I186" s="302"/>
      <c r="J186" s="302"/>
      <c r="K186" s="302"/>
      <c r="L186" s="304"/>
      <c r="M186" s="304"/>
      <c r="N186" s="304"/>
      <c r="O186" s="304"/>
      <c r="P186" s="304"/>
      <c r="Q186" s="304"/>
      <c r="R186" s="304"/>
      <c r="S186" s="304"/>
      <c r="T186" s="304"/>
      <c r="U186" s="304"/>
      <c r="V186" s="304"/>
      <c r="W186" s="304"/>
      <c r="X186" s="304"/>
      <c r="Y186" s="304"/>
      <c r="Z186" s="304"/>
    </row>
    <row r="187" ht="15.75" customHeight="1">
      <c r="A187" s="302"/>
      <c r="B187" s="302"/>
      <c r="C187" s="302"/>
      <c r="D187" s="302"/>
      <c r="E187" s="302"/>
      <c r="F187" s="302"/>
      <c r="G187" s="302"/>
      <c r="H187" s="302"/>
      <c r="I187" s="302"/>
      <c r="J187" s="302"/>
      <c r="K187" s="302"/>
      <c r="L187" s="304"/>
      <c r="M187" s="304"/>
      <c r="N187" s="304"/>
      <c r="O187" s="304"/>
      <c r="P187" s="304"/>
      <c r="Q187" s="304"/>
      <c r="R187" s="304"/>
      <c r="S187" s="304"/>
      <c r="T187" s="304"/>
      <c r="U187" s="304"/>
      <c r="V187" s="304"/>
      <c r="W187" s="304"/>
      <c r="X187" s="304"/>
      <c r="Y187" s="304"/>
      <c r="Z187" s="304"/>
    </row>
    <row r="188" ht="15.75" customHeight="1">
      <c r="A188" s="302"/>
      <c r="B188" s="302"/>
      <c r="C188" s="302"/>
      <c r="D188" s="302"/>
      <c r="E188" s="302"/>
      <c r="F188" s="302"/>
      <c r="G188" s="302"/>
      <c r="H188" s="302"/>
      <c r="I188" s="302"/>
      <c r="J188" s="302"/>
      <c r="K188" s="302"/>
      <c r="L188" s="304"/>
      <c r="M188" s="304"/>
      <c r="N188" s="304"/>
      <c r="O188" s="304"/>
      <c r="P188" s="304"/>
      <c r="Q188" s="304"/>
      <c r="R188" s="304"/>
      <c r="S188" s="304"/>
      <c r="T188" s="304"/>
      <c r="U188" s="304"/>
      <c r="V188" s="304"/>
      <c r="W188" s="304"/>
      <c r="X188" s="304"/>
      <c r="Y188" s="304"/>
      <c r="Z188" s="304"/>
    </row>
    <row r="189" ht="15.75" customHeight="1">
      <c r="A189" s="302"/>
      <c r="B189" s="302"/>
      <c r="C189" s="302"/>
      <c r="D189" s="302"/>
      <c r="E189" s="302"/>
      <c r="F189" s="302"/>
      <c r="G189" s="302"/>
      <c r="H189" s="302"/>
      <c r="I189" s="302"/>
      <c r="J189" s="302"/>
      <c r="K189" s="302"/>
      <c r="L189" s="304"/>
      <c r="M189" s="304"/>
      <c r="N189" s="304"/>
      <c r="O189" s="304"/>
      <c r="P189" s="304"/>
      <c r="Q189" s="304"/>
      <c r="R189" s="304"/>
      <c r="S189" s="304"/>
      <c r="T189" s="304"/>
      <c r="U189" s="304"/>
      <c r="V189" s="304"/>
      <c r="W189" s="304"/>
      <c r="X189" s="304"/>
      <c r="Y189" s="304"/>
      <c r="Z189" s="304"/>
    </row>
    <row r="190" ht="15.75" customHeight="1">
      <c r="A190" s="302"/>
      <c r="B190" s="302"/>
      <c r="C190" s="302"/>
      <c r="D190" s="302"/>
      <c r="E190" s="302"/>
      <c r="F190" s="302"/>
      <c r="G190" s="302"/>
      <c r="H190" s="302"/>
      <c r="I190" s="302"/>
      <c r="J190" s="302"/>
      <c r="K190" s="302"/>
      <c r="L190" s="304"/>
      <c r="M190" s="304"/>
      <c r="N190" s="304"/>
      <c r="O190" s="304"/>
      <c r="P190" s="304"/>
      <c r="Q190" s="304"/>
      <c r="R190" s="304"/>
      <c r="S190" s="304"/>
      <c r="T190" s="304"/>
      <c r="U190" s="304"/>
      <c r="V190" s="304"/>
      <c r="W190" s="304"/>
      <c r="X190" s="304"/>
      <c r="Y190" s="304"/>
      <c r="Z190" s="304"/>
    </row>
    <row r="191" ht="15.75" customHeight="1">
      <c r="A191" s="302"/>
      <c r="B191" s="302"/>
      <c r="C191" s="302"/>
      <c r="D191" s="302"/>
      <c r="E191" s="302"/>
      <c r="F191" s="302"/>
      <c r="G191" s="302"/>
      <c r="H191" s="302"/>
      <c r="I191" s="302"/>
      <c r="J191" s="302"/>
      <c r="K191" s="302"/>
      <c r="L191" s="304"/>
      <c r="M191" s="304"/>
      <c r="N191" s="304"/>
      <c r="O191" s="304"/>
      <c r="P191" s="304"/>
      <c r="Q191" s="304"/>
      <c r="R191" s="304"/>
      <c r="S191" s="304"/>
      <c r="T191" s="304"/>
      <c r="U191" s="304"/>
      <c r="V191" s="304"/>
      <c r="W191" s="304"/>
      <c r="X191" s="304"/>
      <c r="Y191" s="304"/>
      <c r="Z191" s="304"/>
    </row>
    <row r="192" ht="15.75" customHeight="1">
      <c r="A192" s="302"/>
      <c r="B192" s="302"/>
      <c r="C192" s="302"/>
      <c r="D192" s="302"/>
      <c r="E192" s="302"/>
      <c r="F192" s="302"/>
      <c r="G192" s="302"/>
      <c r="H192" s="302"/>
      <c r="I192" s="302"/>
      <c r="J192" s="302"/>
      <c r="K192" s="302"/>
      <c r="L192" s="304"/>
      <c r="M192" s="304"/>
      <c r="N192" s="304"/>
      <c r="O192" s="304"/>
      <c r="P192" s="304"/>
      <c r="Q192" s="304"/>
      <c r="R192" s="304"/>
      <c r="S192" s="304"/>
      <c r="T192" s="304"/>
      <c r="U192" s="304"/>
      <c r="V192" s="304"/>
      <c r="W192" s="304"/>
      <c r="X192" s="304"/>
      <c r="Y192" s="304"/>
      <c r="Z192" s="304"/>
    </row>
    <row r="193" ht="15.75" customHeight="1">
      <c r="A193" s="302"/>
      <c r="B193" s="302"/>
      <c r="C193" s="302"/>
      <c r="D193" s="302"/>
      <c r="E193" s="302"/>
      <c r="F193" s="302"/>
      <c r="G193" s="302"/>
      <c r="H193" s="302"/>
      <c r="I193" s="302"/>
      <c r="J193" s="302"/>
      <c r="K193" s="302"/>
      <c r="L193" s="304"/>
      <c r="M193" s="304"/>
      <c r="N193" s="304"/>
      <c r="O193" s="304"/>
      <c r="P193" s="304"/>
      <c r="Q193" s="304"/>
      <c r="R193" s="304"/>
      <c r="S193" s="304"/>
      <c r="T193" s="304"/>
      <c r="U193" s="304"/>
      <c r="V193" s="304"/>
      <c r="W193" s="304"/>
      <c r="X193" s="304"/>
      <c r="Y193" s="304"/>
      <c r="Z193" s="304"/>
    </row>
    <row r="194" ht="15.75" customHeight="1">
      <c r="A194" s="302"/>
      <c r="B194" s="302"/>
      <c r="C194" s="302"/>
      <c r="D194" s="302"/>
      <c r="E194" s="302"/>
      <c r="F194" s="302"/>
      <c r="G194" s="302"/>
      <c r="H194" s="302"/>
      <c r="I194" s="302"/>
      <c r="J194" s="302"/>
      <c r="K194" s="302"/>
      <c r="L194" s="304"/>
      <c r="M194" s="304"/>
      <c r="N194" s="304"/>
      <c r="O194" s="304"/>
      <c r="P194" s="304"/>
      <c r="Q194" s="304"/>
      <c r="R194" s="304"/>
      <c r="S194" s="304"/>
      <c r="T194" s="304"/>
      <c r="U194" s="304"/>
      <c r="V194" s="304"/>
      <c r="W194" s="304"/>
      <c r="X194" s="304"/>
      <c r="Y194" s="304"/>
      <c r="Z194" s="304"/>
    </row>
    <row r="195" ht="15.75" customHeight="1">
      <c r="A195" s="302"/>
      <c r="B195" s="302"/>
      <c r="C195" s="302"/>
      <c r="D195" s="302"/>
      <c r="E195" s="302"/>
      <c r="F195" s="302"/>
      <c r="G195" s="302"/>
      <c r="H195" s="302"/>
      <c r="I195" s="302"/>
      <c r="J195" s="302"/>
      <c r="K195" s="302"/>
      <c r="L195" s="304"/>
      <c r="M195" s="304"/>
      <c r="N195" s="304"/>
      <c r="O195" s="304"/>
      <c r="P195" s="304"/>
      <c r="Q195" s="304"/>
      <c r="R195" s="304"/>
      <c r="S195" s="304"/>
      <c r="T195" s="304"/>
      <c r="U195" s="304"/>
      <c r="V195" s="304"/>
      <c r="W195" s="304"/>
      <c r="X195" s="304"/>
      <c r="Y195" s="304"/>
      <c r="Z195" s="304"/>
    </row>
    <row r="196" ht="15.75" customHeight="1">
      <c r="A196" s="302"/>
      <c r="B196" s="302"/>
      <c r="C196" s="302"/>
      <c r="D196" s="302"/>
      <c r="E196" s="302"/>
      <c r="F196" s="302"/>
      <c r="G196" s="302"/>
      <c r="H196" s="302"/>
      <c r="I196" s="302"/>
      <c r="J196" s="302"/>
      <c r="K196" s="302"/>
      <c r="L196" s="304"/>
      <c r="M196" s="304"/>
      <c r="N196" s="304"/>
      <c r="O196" s="304"/>
      <c r="P196" s="304"/>
      <c r="Q196" s="304"/>
      <c r="R196" s="304"/>
      <c r="S196" s="304"/>
      <c r="T196" s="304"/>
      <c r="U196" s="304"/>
      <c r="V196" s="304"/>
      <c r="W196" s="304"/>
      <c r="X196" s="304"/>
      <c r="Y196" s="304"/>
      <c r="Z196" s="304"/>
    </row>
    <row r="197" ht="15.75" customHeight="1">
      <c r="A197" s="302"/>
      <c r="B197" s="302"/>
      <c r="C197" s="302"/>
      <c r="D197" s="302"/>
      <c r="E197" s="302"/>
      <c r="F197" s="302"/>
      <c r="G197" s="302"/>
      <c r="H197" s="302"/>
      <c r="I197" s="302"/>
      <c r="J197" s="302"/>
      <c r="K197" s="302"/>
      <c r="L197" s="304"/>
      <c r="M197" s="304"/>
      <c r="N197" s="304"/>
      <c r="O197" s="304"/>
      <c r="P197" s="304"/>
      <c r="Q197" s="304"/>
      <c r="R197" s="304"/>
      <c r="S197" s="304"/>
      <c r="T197" s="304"/>
      <c r="U197" s="304"/>
      <c r="V197" s="304"/>
      <c r="W197" s="304"/>
      <c r="X197" s="304"/>
      <c r="Y197" s="304"/>
      <c r="Z197" s="304"/>
    </row>
    <row r="198" ht="15.75" customHeight="1">
      <c r="A198" s="302"/>
      <c r="B198" s="302"/>
      <c r="C198" s="302"/>
      <c r="D198" s="302"/>
      <c r="E198" s="302"/>
      <c r="F198" s="302"/>
      <c r="G198" s="302"/>
      <c r="H198" s="302"/>
      <c r="I198" s="302"/>
      <c r="J198" s="302"/>
      <c r="K198" s="302"/>
      <c r="L198" s="304"/>
      <c r="M198" s="304"/>
      <c r="N198" s="304"/>
      <c r="O198" s="304"/>
      <c r="P198" s="304"/>
      <c r="Q198" s="304"/>
      <c r="R198" s="304"/>
      <c r="S198" s="304"/>
      <c r="T198" s="304"/>
      <c r="U198" s="304"/>
      <c r="V198" s="304"/>
      <c r="W198" s="304"/>
      <c r="X198" s="304"/>
      <c r="Y198" s="304"/>
      <c r="Z198" s="304"/>
    </row>
    <row r="199" ht="15.75" customHeight="1">
      <c r="A199" s="302"/>
      <c r="B199" s="302"/>
      <c r="C199" s="302"/>
      <c r="D199" s="302"/>
      <c r="E199" s="302"/>
      <c r="F199" s="302"/>
      <c r="G199" s="302"/>
      <c r="H199" s="302"/>
      <c r="I199" s="302"/>
      <c r="J199" s="302"/>
      <c r="K199" s="302"/>
      <c r="L199" s="304"/>
      <c r="M199" s="304"/>
      <c r="N199" s="304"/>
      <c r="O199" s="304"/>
      <c r="P199" s="304"/>
      <c r="Q199" s="304"/>
      <c r="R199" s="304"/>
      <c r="S199" s="304"/>
      <c r="T199" s="304"/>
      <c r="U199" s="304"/>
      <c r="V199" s="304"/>
      <c r="W199" s="304"/>
      <c r="X199" s="304"/>
      <c r="Y199" s="304"/>
      <c r="Z199" s="304"/>
    </row>
    <row r="200" ht="15.75" customHeight="1">
      <c r="A200" s="302"/>
      <c r="B200" s="302"/>
      <c r="C200" s="302"/>
      <c r="D200" s="302"/>
      <c r="E200" s="302"/>
      <c r="F200" s="302"/>
      <c r="G200" s="302"/>
      <c r="H200" s="302"/>
      <c r="I200" s="302"/>
      <c r="J200" s="302"/>
      <c r="K200" s="302"/>
      <c r="L200" s="304"/>
      <c r="M200" s="304"/>
      <c r="N200" s="304"/>
      <c r="O200" s="304"/>
      <c r="P200" s="304"/>
      <c r="Q200" s="304"/>
      <c r="R200" s="304"/>
      <c r="S200" s="304"/>
      <c r="T200" s="304"/>
      <c r="U200" s="304"/>
      <c r="V200" s="304"/>
      <c r="W200" s="304"/>
      <c r="X200" s="304"/>
      <c r="Y200" s="304"/>
      <c r="Z200" s="304"/>
    </row>
    <row r="201" ht="15.75" customHeight="1">
      <c r="A201" s="302"/>
      <c r="B201" s="302"/>
      <c r="C201" s="302"/>
      <c r="D201" s="302"/>
      <c r="E201" s="302"/>
      <c r="F201" s="302"/>
      <c r="G201" s="302"/>
      <c r="H201" s="302"/>
      <c r="I201" s="302"/>
      <c r="J201" s="302"/>
      <c r="K201" s="302"/>
      <c r="L201" s="304"/>
      <c r="M201" s="304"/>
      <c r="N201" s="304"/>
      <c r="O201" s="304"/>
      <c r="P201" s="304"/>
      <c r="Q201" s="304"/>
      <c r="R201" s="304"/>
      <c r="S201" s="304"/>
      <c r="T201" s="304"/>
      <c r="U201" s="304"/>
      <c r="V201" s="304"/>
      <c r="W201" s="304"/>
      <c r="X201" s="304"/>
      <c r="Y201" s="304"/>
      <c r="Z201" s="304"/>
    </row>
    <row r="202" ht="15.75" customHeight="1">
      <c r="A202" s="302"/>
      <c r="B202" s="302"/>
      <c r="C202" s="302"/>
      <c r="D202" s="302"/>
      <c r="E202" s="302"/>
      <c r="F202" s="302"/>
      <c r="G202" s="302"/>
      <c r="H202" s="302"/>
      <c r="I202" s="302"/>
      <c r="J202" s="302"/>
      <c r="K202" s="302"/>
      <c r="L202" s="304"/>
      <c r="M202" s="304"/>
      <c r="N202" s="304"/>
      <c r="O202" s="304"/>
      <c r="P202" s="304"/>
      <c r="Q202" s="304"/>
      <c r="R202" s="304"/>
      <c r="S202" s="304"/>
      <c r="T202" s="304"/>
      <c r="U202" s="304"/>
      <c r="V202" s="304"/>
      <c r="W202" s="304"/>
      <c r="X202" s="304"/>
      <c r="Y202" s="304"/>
      <c r="Z202" s="304"/>
    </row>
    <row r="203" ht="15.75" customHeight="1">
      <c r="A203" s="302"/>
      <c r="B203" s="302"/>
      <c r="C203" s="302"/>
      <c r="D203" s="302"/>
      <c r="E203" s="302"/>
      <c r="F203" s="302"/>
      <c r="G203" s="302"/>
      <c r="H203" s="302"/>
      <c r="I203" s="302"/>
      <c r="J203" s="302"/>
      <c r="K203" s="302"/>
      <c r="L203" s="304"/>
      <c r="M203" s="304"/>
      <c r="N203" s="304"/>
      <c r="O203" s="304"/>
      <c r="P203" s="304"/>
      <c r="Q203" s="304"/>
      <c r="R203" s="304"/>
      <c r="S203" s="304"/>
      <c r="T203" s="304"/>
      <c r="U203" s="304"/>
      <c r="V203" s="304"/>
      <c r="W203" s="304"/>
      <c r="X203" s="304"/>
      <c r="Y203" s="304"/>
      <c r="Z203" s="304"/>
    </row>
    <row r="204" ht="15.75" customHeight="1">
      <c r="A204" s="302"/>
      <c r="B204" s="302"/>
      <c r="C204" s="302"/>
      <c r="D204" s="302"/>
      <c r="E204" s="302"/>
      <c r="F204" s="302"/>
      <c r="G204" s="302"/>
      <c r="H204" s="302"/>
      <c r="I204" s="302"/>
      <c r="J204" s="302"/>
      <c r="K204" s="302"/>
      <c r="L204" s="304"/>
      <c r="M204" s="304"/>
      <c r="N204" s="304"/>
      <c r="O204" s="304"/>
      <c r="P204" s="304"/>
      <c r="Q204" s="304"/>
      <c r="R204" s="304"/>
      <c r="S204" s="304"/>
      <c r="T204" s="304"/>
      <c r="U204" s="304"/>
      <c r="V204" s="304"/>
      <c r="W204" s="304"/>
      <c r="X204" s="304"/>
      <c r="Y204" s="304"/>
      <c r="Z204" s="304"/>
    </row>
    <row r="205" ht="15.75" customHeight="1">
      <c r="A205" s="302"/>
      <c r="B205" s="302"/>
      <c r="C205" s="302"/>
      <c r="D205" s="302"/>
      <c r="E205" s="302"/>
      <c r="F205" s="302"/>
      <c r="G205" s="302"/>
      <c r="H205" s="302"/>
      <c r="I205" s="302"/>
      <c r="J205" s="302"/>
      <c r="K205" s="302"/>
      <c r="L205" s="304"/>
      <c r="M205" s="304"/>
      <c r="N205" s="304"/>
      <c r="O205" s="304"/>
      <c r="P205" s="304"/>
      <c r="Q205" s="304"/>
      <c r="R205" s="304"/>
      <c r="S205" s="304"/>
      <c r="T205" s="304"/>
      <c r="U205" s="304"/>
      <c r="V205" s="304"/>
      <c r="W205" s="304"/>
      <c r="X205" s="304"/>
      <c r="Y205" s="304"/>
      <c r="Z205" s="304"/>
    </row>
    <row r="206" ht="15.75" customHeight="1">
      <c r="A206" s="302"/>
      <c r="B206" s="302"/>
      <c r="C206" s="302"/>
      <c r="D206" s="302"/>
      <c r="E206" s="302"/>
      <c r="F206" s="302"/>
      <c r="G206" s="302"/>
      <c r="H206" s="302"/>
      <c r="I206" s="302"/>
      <c r="J206" s="302"/>
      <c r="K206" s="302"/>
      <c r="L206" s="304"/>
      <c r="M206" s="304"/>
      <c r="N206" s="304"/>
      <c r="O206" s="304"/>
      <c r="P206" s="304"/>
      <c r="Q206" s="304"/>
      <c r="R206" s="304"/>
      <c r="S206" s="304"/>
      <c r="T206" s="304"/>
      <c r="U206" s="304"/>
      <c r="V206" s="304"/>
      <c r="W206" s="304"/>
      <c r="X206" s="304"/>
      <c r="Y206" s="304"/>
      <c r="Z206" s="304"/>
    </row>
    <row r="207" ht="15.75" customHeight="1">
      <c r="A207" s="302"/>
      <c r="B207" s="302"/>
      <c r="C207" s="302"/>
      <c r="D207" s="302"/>
      <c r="E207" s="302"/>
      <c r="F207" s="302"/>
      <c r="G207" s="302"/>
      <c r="H207" s="302"/>
      <c r="I207" s="302"/>
      <c r="J207" s="302"/>
      <c r="K207" s="302"/>
      <c r="L207" s="304"/>
      <c r="M207" s="304"/>
      <c r="N207" s="304"/>
      <c r="O207" s="304"/>
      <c r="P207" s="304"/>
      <c r="Q207" s="304"/>
      <c r="R207" s="304"/>
      <c r="S207" s="304"/>
      <c r="T207" s="304"/>
      <c r="U207" s="304"/>
      <c r="V207" s="304"/>
      <c r="W207" s="304"/>
      <c r="X207" s="304"/>
      <c r="Y207" s="304"/>
      <c r="Z207" s="304"/>
    </row>
    <row r="208" ht="15.75" customHeight="1">
      <c r="A208" s="302"/>
      <c r="B208" s="302"/>
      <c r="C208" s="302"/>
      <c r="D208" s="302"/>
      <c r="E208" s="302"/>
      <c r="F208" s="302"/>
      <c r="G208" s="302"/>
      <c r="H208" s="302"/>
      <c r="I208" s="302"/>
      <c r="J208" s="302"/>
      <c r="K208" s="302"/>
      <c r="L208" s="304"/>
      <c r="M208" s="304"/>
      <c r="N208" s="304"/>
      <c r="O208" s="304"/>
      <c r="P208" s="304"/>
      <c r="Q208" s="304"/>
      <c r="R208" s="304"/>
      <c r="S208" s="304"/>
      <c r="T208" s="304"/>
      <c r="U208" s="304"/>
      <c r="V208" s="304"/>
      <c r="W208" s="304"/>
      <c r="X208" s="304"/>
      <c r="Y208" s="304"/>
      <c r="Z208" s="304"/>
    </row>
    <row r="209" ht="15.75" customHeight="1">
      <c r="A209" s="302"/>
      <c r="B209" s="302"/>
      <c r="C209" s="302"/>
      <c r="D209" s="302"/>
      <c r="E209" s="302"/>
      <c r="F209" s="302"/>
      <c r="G209" s="302"/>
      <c r="H209" s="302"/>
      <c r="I209" s="302"/>
      <c r="J209" s="302"/>
      <c r="K209" s="302"/>
      <c r="L209" s="304"/>
      <c r="M209" s="304"/>
      <c r="N209" s="304"/>
      <c r="O209" s="304"/>
      <c r="P209" s="304"/>
      <c r="Q209" s="304"/>
      <c r="R209" s="304"/>
      <c r="S209" s="304"/>
      <c r="T209" s="304"/>
      <c r="U209" s="304"/>
      <c r="V209" s="304"/>
      <c r="W209" s="304"/>
      <c r="X209" s="304"/>
      <c r="Y209" s="304"/>
      <c r="Z209" s="304"/>
    </row>
    <row r="210" ht="15.75" customHeight="1">
      <c r="A210" s="302"/>
      <c r="B210" s="302"/>
      <c r="C210" s="302"/>
      <c r="D210" s="302"/>
      <c r="E210" s="302"/>
      <c r="F210" s="302"/>
      <c r="G210" s="302"/>
      <c r="H210" s="302"/>
      <c r="I210" s="302"/>
      <c r="J210" s="302"/>
      <c r="K210" s="302"/>
      <c r="L210" s="304"/>
      <c r="M210" s="304"/>
      <c r="N210" s="304"/>
      <c r="O210" s="304"/>
      <c r="P210" s="304"/>
      <c r="Q210" s="304"/>
      <c r="R210" s="304"/>
      <c r="S210" s="304"/>
      <c r="T210" s="304"/>
      <c r="U210" s="304"/>
      <c r="V210" s="304"/>
      <c r="W210" s="304"/>
      <c r="X210" s="304"/>
      <c r="Y210" s="304"/>
      <c r="Z210" s="304"/>
    </row>
    <row r="211" ht="15.75" customHeight="1">
      <c r="A211" s="302"/>
      <c r="B211" s="302"/>
      <c r="C211" s="302"/>
      <c r="D211" s="302"/>
      <c r="E211" s="302"/>
      <c r="F211" s="302"/>
      <c r="G211" s="302"/>
      <c r="H211" s="302"/>
      <c r="I211" s="302"/>
      <c r="J211" s="302"/>
      <c r="K211" s="302"/>
      <c r="L211" s="304"/>
      <c r="M211" s="304"/>
      <c r="N211" s="304"/>
      <c r="O211" s="304"/>
      <c r="P211" s="304"/>
      <c r="Q211" s="304"/>
      <c r="R211" s="304"/>
      <c r="S211" s="304"/>
      <c r="T211" s="304"/>
      <c r="U211" s="304"/>
      <c r="V211" s="304"/>
      <c r="W211" s="304"/>
      <c r="X211" s="304"/>
      <c r="Y211" s="304"/>
      <c r="Z211" s="304"/>
    </row>
    <row r="212" ht="15.75" customHeight="1">
      <c r="A212" s="302"/>
      <c r="B212" s="302"/>
      <c r="C212" s="302"/>
      <c r="D212" s="302"/>
      <c r="E212" s="302"/>
      <c r="F212" s="302"/>
      <c r="G212" s="302"/>
      <c r="H212" s="302"/>
      <c r="I212" s="302"/>
      <c r="J212" s="302"/>
      <c r="K212" s="302"/>
      <c r="L212" s="304"/>
      <c r="M212" s="304"/>
      <c r="N212" s="304"/>
      <c r="O212" s="304"/>
      <c r="P212" s="304"/>
      <c r="Q212" s="304"/>
      <c r="R212" s="304"/>
      <c r="S212" s="304"/>
      <c r="T212" s="304"/>
      <c r="U212" s="304"/>
      <c r="V212" s="304"/>
      <c r="W212" s="304"/>
      <c r="X212" s="304"/>
      <c r="Y212" s="304"/>
      <c r="Z212" s="304"/>
    </row>
    <row r="213" ht="15.75" customHeight="1">
      <c r="A213" s="302"/>
      <c r="B213" s="302"/>
      <c r="C213" s="302"/>
      <c r="D213" s="302"/>
      <c r="E213" s="302"/>
      <c r="F213" s="302"/>
      <c r="G213" s="302"/>
      <c r="H213" s="302"/>
      <c r="I213" s="302"/>
      <c r="J213" s="302"/>
      <c r="K213" s="302"/>
      <c r="L213" s="304"/>
      <c r="M213" s="304"/>
      <c r="N213" s="304"/>
      <c r="O213" s="304"/>
      <c r="P213" s="304"/>
      <c r="Q213" s="304"/>
      <c r="R213" s="304"/>
      <c r="S213" s="304"/>
      <c r="T213" s="304"/>
      <c r="U213" s="304"/>
      <c r="V213" s="304"/>
      <c r="W213" s="304"/>
      <c r="X213" s="304"/>
      <c r="Y213" s="304"/>
      <c r="Z213" s="304"/>
    </row>
    <row r="214" ht="15.75" customHeight="1">
      <c r="A214" s="302"/>
      <c r="B214" s="302"/>
      <c r="C214" s="302"/>
      <c r="D214" s="302"/>
      <c r="E214" s="302"/>
      <c r="F214" s="302"/>
      <c r="G214" s="302"/>
      <c r="H214" s="302"/>
      <c r="I214" s="302"/>
      <c r="J214" s="302"/>
      <c r="K214" s="302"/>
      <c r="L214" s="304"/>
      <c r="M214" s="304"/>
      <c r="N214" s="304"/>
      <c r="O214" s="304"/>
      <c r="P214" s="304"/>
      <c r="Q214" s="304"/>
      <c r="R214" s="304"/>
      <c r="S214" s="304"/>
      <c r="T214" s="304"/>
      <c r="U214" s="304"/>
      <c r="V214" s="304"/>
      <c r="W214" s="304"/>
      <c r="X214" s="304"/>
      <c r="Y214" s="304"/>
      <c r="Z214" s="304"/>
    </row>
    <row r="215" ht="15.75" customHeight="1">
      <c r="A215" s="302"/>
      <c r="B215" s="302"/>
      <c r="C215" s="302"/>
      <c r="D215" s="302"/>
      <c r="E215" s="302"/>
      <c r="F215" s="302"/>
      <c r="G215" s="302"/>
      <c r="H215" s="302"/>
      <c r="I215" s="302"/>
      <c r="J215" s="302"/>
      <c r="K215" s="302"/>
      <c r="L215" s="304"/>
      <c r="M215" s="304"/>
      <c r="N215" s="304"/>
      <c r="O215" s="304"/>
      <c r="P215" s="304"/>
      <c r="Q215" s="304"/>
      <c r="R215" s="304"/>
      <c r="S215" s="304"/>
      <c r="T215" s="304"/>
      <c r="U215" s="304"/>
      <c r="V215" s="304"/>
      <c r="W215" s="304"/>
      <c r="X215" s="304"/>
      <c r="Y215" s="304"/>
      <c r="Z215" s="304"/>
    </row>
    <row r="216" ht="15.75" customHeight="1">
      <c r="A216" s="302"/>
      <c r="B216" s="302"/>
      <c r="C216" s="302"/>
      <c r="D216" s="302"/>
      <c r="E216" s="302"/>
      <c r="F216" s="302"/>
      <c r="G216" s="302"/>
      <c r="H216" s="302"/>
      <c r="I216" s="302"/>
      <c r="J216" s="302"/>
      <c r="K216" s="302"/>
      <c r="L216" s="304"/>
      <c r="M216" s="304"/>
      <c r="N216" s="304"/>
      <c r="O216" s="304"/>
      <c r="P216" s="304"/>
      <c r="Q216" s="304"/>
      <c r="R216" s="304"/>
      <c r="S216" s="304"/>
      <c r="T216" s="304"/>
      <c r="U216" s="304"/>
      <c r="V216" s="304"/>
      <c r="W216" s="304"/>
      <c r="X216" s="304"/>
      <c r="Y216" s="304"/>
      <c r="Z216" s="304"/>
    </row>
    <row r="217" ht="15.75" customHeight="1">
      <c r="A217" s="302"/>
      <c r="B217" s="302"/>
      <c r="C217" s="302"/>
      <c r="D217" s="302"/>
      <c r="E217" s="302"/>
      <c r="F217" s="302"/>
      <c r="G217" s="302"/>
      <c r="H217" s="302"/>
      <c r="I217" s="302"/>
      <c r="J217" s="302"/>
      <c r="K217" s="302"/>
      <c r="L217" s="304"/>
      <c r="M217" s="304"/>
      <c r="N217" s="304"/>
      <c r="O217" s="304"/>
      <c r="P217" s="304"/>
      <c r="Q217" s="304"/>
      <c r="R217" s="304"/>
      <c r="S217" s="304"/>
      <c r="T217" s="304"/>
      <c r="U217" s="304"/>
      <c r="V217" s="304"/>
      <c r="W217" s="304"/>
      <c r="X217" s="304"/>
      <c r="Y217" s="304"/>
      <c r="Z217" s="304"/>
    </row>
    <row r="218" ht="15.75" customHeight="1">
      <c r="A218" s="302"/>
      <c r="B218" s="302"/>
      <c r="C218" s="302"/>
      <c r="D218" s="302"/>
      <c r="E218" s="302"/>
      <c r="F218" s="302"/>
      <c r="G218" s="302"/>
      <c r="H218" s="302"/>
      <c r="I218" s="302"/>
      <c r="J218" s="302"/>
      <c r="K218" s="302"/>
      <c r="L218" s="304"/>
      <c r="M218" s="304"/>
      <c r="N218" s="304"/>
      <c r="O218" s="304"/>
      <c r="P218" s="304"/>
      <c r="Q218" s="304"/>
      <c r="R218" s="304"/>
      <c r="S218" s="304"/>
      <c r="T218" s="304"/>
      <c r="U218" s="304"/>
      <c r="V218" s="304"/>
      <c r="W218" s="304"/>
      <c r="X218" s="304"/>
      <c r="Y218" s="304"/>
      <c r="Z218" s="304"/>
    </row>
    <row r="219" ht="15.75" customHeight="1">
      <c r="A219" s="302"/>
      <c r="B219" s="302"/>
      <c r="C219" s="302"/>
      <c r="D219" s="302"/>
      <c r="E219" s="302"/>
      <c r="F219" s="302"/>
      <c r="G219" s="302"/>
      <c r="H219" s="302"/>
      <c r="I219" s="302"/>
      <c r="J219" s="302"/>
      <c r="K219" s="302"/>
      <c r="L219" s="304"/>
      <c r="M219" s="304"/>
      <c r="N219" s="304"/>
      <c r="O219" s="304"/>
      <c r="P219" s="304"/>
      <c r="Q219" s="304"/>
      <c r="R219" s="304"/>
      <c r="S219" s="304"/>
      <c r="T219" s="304"/>
      <c r="U219" s="304"/>
      <c r="V219" s="304"/>
      <c r="W219" s="304"/>
      <c r="X219" s="304"/>
      <c r="Y219" s="304"/>
      <c r="Z219" s="304"/>
    </row>
    <row r="220" ht="15.75" customHeight="1">
      <c r="A220" s="302"/>
      <c r="B220" s="302"/>
      <c r="C220" s="302"/>
      <c r="D220" s="302"/>
      <c r="E220" s="302"/>
      <c r="F220" s="302"/>
      <c r="G220" s="302"/>
      <c r="H220" s="302"/>
      <c r="I220" s="302"/>
      <c r="J220" s="302"/>
      <c r="K220" s="302"/>
      <c r="L220" s="304"/>
      <c r="M220" s="304"/>
      <c r="N220" s="304"/>
      <c r="O220" s="304"/>
      <c r="P220" s="304"/>
      <c r="Q220" s="304"/>
      <c r="R220" s="304"/>
      <c r="S220" s="304"/>
      <c r="T220" s="304"/>
      <c r="U220" s="304"/>
      <c r="V220" s="304"/>
      <c r="W220" s="304"/>
      <c r="X220" s="304"/>
      <c r="Y220" s="304"/>
      <c r="Z220" s="304"/>
    </row>
    <row r="221" ht="15.75" customHeight="1">
      <c r="A221" s="302"/>
      <c r="B221" s="302"/>
      <c r="C221" s="302"/>
      <c r="D221" s="302"/>
      <c r="E221" s="302"/>
      <c r="F221" s="302"/>
      <c r="G221" s="302"/>
      <c r="H221" s="302"/>
      <c r="I221" s="302"/>
      <c r="J221" s="302"/>
      <c r="K221" s="302"/>
      <c r="L221" s="304"/>
      <c r="M221" s="304"/>
      <c r="N221" s="304"/>
      <c r="O221" s="304"/>
      <c r="P221" s="304"/>
      <c r="Q221" s="304"/>
      <c r="R221" s="304"/>
      <c r="S221" s="304"/>
      <c r="T221" s="304"/>
      <c r="U221" s="304"/>
      <c r="V221" s="304"/>
      <c r="W221" s="304"/>
      <c r="X221" s="304"/>
      <c r="Y221" s="304"/>
      <c r="Z221" s="304"/>
    </row>
    <row r="222" ht="15.75" customHeight="1">
      <c r="A222" s="302"/>
      <c r="B222" s="302"/>
      <c r="C222" s="302"/>
      <c r="D222" s="302"/>
      <c r="E222" s="302"/>
      <c r="F222" s="302"/>
      <c r="G222" s="302"/>
      <c r="H222" s="302"/>
      <c r="I222" s="302"/>
      <c r="J222" s="302"/>
      <c r="K222" s="302"/>
      <c r="L222" s="304"/>
      <c r="M222" s="304"/>
      <c r="N222" s="304"/>
      <c r="O222" s="304"/>
      <c r="P222" s="304"/>
      <c r="Q222" s="304"/>
      <c r="R222" s="304"/>
      <c r="S222" s="304"/>
      <c r="T222" s="304"/>
      <c r="U222" s="304"/>
      <c r="V222" s="304"/>
      <c r="W222" s="304"/>
      <c r="X222" s="304"/>
      <c r="Y222" s="304"/>
      <c r="Z222" s="304"/>
    </row>
    <row r="223" ht="15.75" customHeight="1">
      <c r="A223" s="302"/>
      <c r="B223" s="302"/>
      <c r="C223" s="302"/>
      <c r="D223" s="302"/>
      <c r="E223" s="302"/>
      <c r="F223" s="302"/>
      <c r="G223" s="302"/>
      <c r="H223" s="302"/>
      <c r="I223" s="302"/>
      <c r="J223" s="302"/>
      <c r="K223" s="302"/>
      <c r="L223" s="304"/>
      <c r="M223" s="304"/>
      <c r="N223" s="304"/>
      <c r="O223" s="304"/>
      <c r="P223" s="304"/>
      <c r="Q223" s="304"/>
      <c r="R223" s="304"/>
      <c r="S223" s="304"/>
      <c r="T223" s="304"/>
      <c r="U223" s="304"/>
      <c r="V223" s="304"/>
      <c r="W223" s="304"/>
      <c r="X223" s="304"/>
      <c r="Y223" s="304"/>
      <c r="Z223" s="304"/>
    </row>
    <row r="224" ht="15.75" customHeight="1">
      <c r="A224" s="302"/>
      <c r="B224" s="302"/>
      <c r="C224" s="302"/>
      <c r="D224" s="302"/>
      <c r="E224" s="302"/>
      <c r="F224" s="302"/>
      <c r="G224" s="302"/>
      <c r="H224" s="302"/>
      <c r="I224" s="302"/>
      <c r="J224" s="302"/>
      <c r="K224" s="302"/>
      <c r="L224" s="304"/>
      <c r="M224" s="304"/>
      <c r="N224" s="304"/>
      <c r="O224" s="304"/>
      <c r="P224" s="304"/>
      <c r="Q224" s="304"/>
      <c r="R224" s="304"/>
      <c r="S224" s="304"/>
      <c r="T224" s="304"/>
      <c r="U224" s="304"/>
      <c r="V224" s="304"/>
      <c r="W224" s="304"/>
      <c r="X224" s="304"/>
      <c r="Y224" s="304"/>
      <c r="Z224" s="304"/>
    </row>
    <row r="225" ht="15.75" customHeight="1">
      <c r="A225" s="302"/>
      <c r="B225" s="302"/>
      <c r="C225" s="302"/>
      <c r="D225" s="302"/>
      <c r="E225" s="302"/>
      <c r="F225" s="302"/>
      <c r="G225" s="302"/>
      <c r="H225" s="302"/>
      <c r="I225" s="302"/>
      <c r="J225" s="302"/>
      <c r="K225" s="302"/>
      <c r="L225" s="304"/>
      <c r="M225" s="304"/>
      <c r="N225" s="304"/>
      <c r="O225" s="304"/>
      <c r="P225" s="304"/>
      <c r="Q225" s="304"/>
      <c r="R225" s="304"/>
      <c r="S225" s="304"/>
      <c r="T225" s="304"/>
      <c r="U225" s="304"/>
      <c r="V225" s="304"/>
      <c r="W225" s="304"/>
      <c r="X225" s="304"/>
      <c r="Y225" s="304"/>
      <c r="Z225" s="304"/>
    </row>
    <row r="226" ht="15.75" customHeight="1">
      <c r="A226" s="302"/>
      <c r="B226" s="302"/>
      <c r="C226" s="302"/>
      <c r="D226" s="302"/>
      <c r="E226" s="302"/>
      <c r="F226" s="302"/>
      <c r="G226" s="302"/>
      <c r="H226" s="302"/>
      <c r="I226" s="302"/>
      <c r="J226" s="302"/>
      <c r="K226" s="302"/>
      <c r="L226" s="304"/>
      <c r="M226" s="304"/>
      <c r="N226" s="304"/>
      <c r="O226" s="304"/>
      <c r="P226" s="304"/>
      <c r="Q226" s="304"/>
      <c r="R226" s="304"/>
      <c r="S226" s="304"/>
      <c r="T226" s="304"/>
      <c r="U226" s="304"/>
      <c r="V226" s="304"/>
      <c r="W226" s="304"/>
      <c r="X226" s="304"/>
      <c r="Y226" s="304"/>
      <c r="Z226" s="304"/>
    </row>
    <row r="227" ht="15.75" customHeight="1">
      <c r="A227" s="302"/>
      <c r="B227" s="302"/>
      <c r="C227" s="302"/>
      <c r="D227" s="302"/>
      <c r="E227" s="302"/>
      <c r="F227" s="302"/>
      <c r="G227" s="302"/>
      <c r="H227" s="302"/>
      <c r="I227" s="302"/>
      <c r="J227" s="302"/>
      <c r="K227" s="302"/>
      <c r="L227" s="304"/>
      <c r="M227" s="304"/>
      <c r="N227" s="304"/>
      <c r="O227" s="304"/>
      <c r="P227" s="304"/>
      <c r="Q227" s="304"/>
      <c r="R227" s="304"/>
      <c r="S227" s="304"/>
      <c r="T227" s="304"/>
      <c r="U227" s="304"/>
      <c r="V227" s="304"/>
      <c r="W227" s="304"/>
      <c r="X227" s="304"/>
      <c r="Y227" s="304"/>
      <c r="Z227" s="304"/>
    </row>
    <row r="228" ht="15.75" customHeight="1">
      <c r="A228" s="302"/>
      <c r="B228" s="302"/>
      <c r="C228" s="302"/>
      <c r="D228" s="302"/>
      <c r="E228" s="302"/>
      <c r="F228" s="302"/>
      <c r="G228" s="302"/>
      <c r="H228" s="302"/>
      <c r="I228" s="302"/>
      <c r="J228" s="302"/>
      <c r="K228" s="302"/>
      <c r="L228" s="304"/>
      <c r="M228" s="304"/>
      <c r="N228" s="304"/>
      <c r="O228" s="304"/>
      <c r="P228" s="304"/>
      <c r="Q228" s="304"/>
      <c r="R228" s="304"/>
      <c r="S228" s="304"/>
      <c r="T228" s="304"/>
      <c r="U228" s="304"/>
      <c r="V228" s="304"/>
      <c r="W228" s="304"/>
      <c r="X228" s="304"/>
      <c r="Y228" s="304"/>
      <c r="Z228" s="304"/>
    </row>
    <row r="229" ht="15.75" customHeight="1">
      <c r="A229" s="302"/>
      <c r="B229" s="302"/>
      <c r="C229" s="302"/>
      <c r="D229" s="302"/>
      <c r="E229" s="302"/>
      <c r="F229" s="302"/>
      <c r="G229" s="302"/>
      <c r="H229" s="302"/>
      <c r="I229" s="302"/>
      <c r="J229" s="302"/>
      <c r="K229" s="302"/>
      <c r="L229" s="304"/>
      <c r="M229" s="304"/>
      <c r="N229" s="304"/>
      <c r="O229" s="304"/>
      <c r="P229" s="304"/>
      <c r="Q229" s="304"/>
      <c r="R229" s="304"/>
      <c r="S229" s="304"/>
      <c r="T229" s="304"/>
      <c r="U229" s="304"/>
      <c r="V229" s="304"/>
      <c r="W229" s="304"/>
      <c r="X229" s="304"/>
      <c r="Y229" s="304"/>
      <c r="Z229" s="304"/>
    </row>
    <row r="230" ht="15.75" customHeight="1">
      <c r="A230" s="302"/>
      <c r="B230" s="302"/>
      <c r="C230" s="302"/>
      <c r="D230" s="302"/>
      <c r="E230" s="302"/>
      <c r="F230" s="302"/>
      <c r="G230" s="302"/>
      <c r="H230" s="302"/>
      <c r="I230" s="302"/>
      <c r="J230" s="302"/>
      <c r="K230" s="302"/>
      <c r="L230" s="304"/>
      <c r="M230" s="304"/>
      <c r="N230" s="304"/>
      <c r="O230" s="304"/>
      <c r="P230" s="304"/>
      <c r="Q230" s="304"/>
      <c r="R230" s="304"/>
      <c r="S230" s="304"/>
      <c r="T230" s="304"/>
      <c r="U230" s="304"/>
      <c r="V230" s="304"/>
      <c r="W230" s="304"/>
      <c r="X230" s="304"/>
      <c r="Y230" s="304"/>
      <c r="Z230" s="304"/>
    </row>
    <row r="231" ht="15.75" customHeight="1">
      <c r="A231" s="302"/>
      <c r="B231" s="302"/>
      <c r="C231" s="302"/>
      <c r="D231" s="302"/>
      <c r="E231" s="302"/>
      <c r="F231" s="302"/>
      <c r="G231" s="302"/>
      <c r="H231" s="302"/>
      <c r="I231" s="302"/>
      <c r="J231" s="302"/>
      <c r="K231" s="302"/>
      <c r="L231" s="304"/>
      <c r="M231" s="304"/>
      <c r="N231" s="304"/>
      <c r="O231" s="304"/>
      <c r="P231" s="304"/>
      <c r="Q231" s="304"/>
      <c r="R231" s="304"/>
      <c r="S231" s="304"/>
      <c r="T231" s="304"/>
      <c r="U231" s="304"/>
      <c r="V231" s="304"/>
      <c r="W231" s="304"/>
      <c r="X231" s="304"/>
      <c r="Y231" s="304"/>
      <c r="Z231" s="304"/>
    </row>
    <row r="232" ht="15.75" customHeight="1">
      <c r="A232" s="302"/>
      <c r="B232" s="302"/>
      <c r="C232" s="302"/>
      <c r="D232" s="302"/>
      <c r="E232" s="302"/>
      <c r="F232" s="302"/>
      <c r="G232" s="302"/>
      <c r="H232" s="302"/>
      <c r="I232" s="302"/>
      <c r="J232" s="302"/>
      <c r="K232" s="302"/>
      <c r="L232" s="304"/>
      <c r="M232" s="304"/>
      <c r="N232" s="304"/>
      <c r="O232" s="304"/>
      <c r="P232" s="304"/>
      <c r="Q232" s="304"/>
      <c r="R232" s="304"/>
      <c r="S232" s="304"/>
      <c r="T232" s="304"/>
      <c r="U232" s="304"/>
      <c r="V232" s="304"/>
      <c r="W232" s="304"/>
      <c r="X232" s="304"/>
      <c r="Y232" s="304"/>
      <c r="Z232" s="304"/>
    </row>
    <row r="233" ht="15.75" customHeight="1">
      <c r="A233" s="302"/>
      <c r="B233" s="302"/>
      <c r="C233" s="302"/>
      <c r="D233" s="302"/>
      <c r="E233" s="302"/>
      <c r="F233" s="302"/>
      <c r="G233" s="302"/>
      <c r="H233" s="302"/>
      <c r="I233" s="302"/>
      <c r="J233" s="302"/>
      <c r="K233" s="302"/>
      <c r="L233" s="304"/>
      <c r="M233" s="304"/>
      <c r="N233" s="304"/>
      <c r="O233" s="304"/>
      <c r="P233" s="304"/>
      <c r="Q233" s="304"/>
      <c r="R233" s="304"/>
      <c r="S233" s="304"/>
      <c r="T233" s="304"/>
      <c r="U233" s="304"/>
      <c r="V233" s="304"/>
      <c r="W233" s="304"/>
      <c r="X233" s="304"/>
      <c r="Y233" s="304"/>
      <c r="Z233" s="304"/>
    </row>
    <row r="234" ht="15.75" customHeight="1">
      <c r="A234" s="302"/>
      <c r="B234" s="302"/>
      <c r="C234" s="302"/>
      <c r="D234" s="302"/>
      <c r="E234" s="302"/>
      <c r="F234" s="302"/>
      <c r="G234" s="302"/>
      <c r="H234" s="302"/>
      <c r="I234" s="302"/>
      <c r="J234" s="302"/>
      <c r="K234" s="302"/>
      <c r="L234" s="304"/>
      <c r="M234" s="304"/>
      <c r="N234" s="304"/>
      <c r="O234" s="304"/>
      <c r="P234" s="304"/>
      <c r="Q234" s="304"/>
      <c r="R234" s="304"/>
      <c r="S234" s="304"/>
      <c r="T234" s="304"/>
      <c r="U234" s="304"/>
      <c r="V234" s="304"/>
      <c r="W234" s="304"/>
      <c r="X234" s="304"/>
      <c r="Y234" s="304"/>
      <c r="Z234" s="304"/>
    </row>
    <row r="235" ht="15.75" customHeight="1">
      <c r="A235" s="302"/>
      <c r="B235" s="302"/>
      <c r="C235" s="302"/>
      <c r="D235" s="302"/>
      <c r="E235" s="302"/>
      <c r="F235" s="302"/>
      <c r="G235" s="302"/>
      <c r="H235" s="302"/>
      <c r="I235" s="302"/>
      <c r="J235" s="302"/>
      <c r="K235" s="302"/>
      <c r="L235" s="304"/>
      <c r="M235" s="304"/>
      <c r="N235" s="304"/>
      <c r="O235" s="304"/>
      <c r="P235" s="304"/>
      <c r="Q235" s="304"/>
      <c r="R235" s="304"/>
      <c r="S235" s="304"/>
      <c r="T235" s="304"/>
      <c r="U235" s="304"/>
      <c r="V235" s="304"/>
      <c r="W235" s="304"/>
      <c r="X235" s="304"/>
      <c r="Y235" s="304"/>
      <c r="Z235" s="304"/>
    </row>
    <row r="236" ht="15.75" customHeight="1">
      <c r="A236" s="302"/>
      <c r="B236" s="302"/>
      <c r="C236" s="302"/>
      <c r="D236" s="302"/>
      <c r="E236" s="302"/>
      <c r="F236" s="302"/>
      <c r="G236" s="302"/>
      <c r="H236" s="302"/>
      <c r="I236" s="302"/>
      <c r="J236" s="302"/>
      <c r="K236" s="302"/>
      <c r="L236" s="304"/>
      <c r="M236" s="304"/>
      <c r="N236" s="304"/>
      <c r="O236" s="304"/>
      <c r="P236" s="304"/>
      <c r="Q236" s="304"/>
      <c r="R236" s="304"/>
      <c r="S236" s="304"/>
      <c r="T236" s="304"/>
      <c r="U236" s="304"/>
      <c r="V236" s="304"/>
      <c r="W236" s="304"/>
      <c r="X236" s="304"/>
      <c r="Y236" s="304"/>
      <c r="Z236" s="304"/>
    </row>
    <row r="237" ht="15.75" customHeight="1">
      <c r="A237" s="302"/>
      <c r="B237" s="302"/>
      <c r="C237" s="302"/>
      <c r="D237" s="302"/>
      <c r="E237" s="302"/>
      <c r="F237" s="302"/>
      <c r="G237" s="302"/>
      <c r="H237" s="302"/>
      <c r="I237" s="302"/>
      <c r="J237" s="302"/>
      <c r="K237" s="302"/>
      <c r="L237" s="304"/>
      <c r="M237" s="304"/>
      <c r="N237" s="304"/>
      <c r="O237" s="304"/>
      <c r="P237" s="304"/>
      <c r="Q237" s="304"/>
      <c r="R237" s="304"/>
      <c r="S237" s="304"/>
      <c r="T237" s="304"/>
      <c r="U237" s="304"/>
      <c r="V237" s="304"/>
      <c r="W237" s="304"/>
      <c r="X237" s="304"/>
      <c r="Y237" s="304"/>
      <c r="Z237" s="304"/>
    </row>
    <row r="238" ht="15.75" customHeight="1">
      <c r="A238" s="302"/>
      <c r="B238" s="302"/>
      <c r="C238" s="302"/>
      <c r="D238" s="302"/>
      <c r="E238" s="302"/>
      <c r="F238" s="302"/>
      <c r="G238" s="302"/>
      <c r="H238" s="302"/>
      <c r="I238" s="302"/>
      <c r="J238" s="302"/>
      <c r="K238" s="302"/>
      <c r="L238" s="304"/>
      <c r="M238" s="304"/>
      <c r="N238" s="304"/>
      <c r="O238" s="304"/>
      <c r="P238" s="304"/>
      <c r="Q238" s="304"/>
      <c r="R238" s="304"/>
      <c r="S238" s="304"/>
      <c r="T238" s="304"/>
      <c r="U238" s="304"/>
      <c r="V238" s="304"/>
      <c r="W238" s="304"/>
      <c r="X238" s="304"/>
      <c r="Y238" s="304"/>
      <c r="Z238" s="304"/>
    </row>
    <row r="239" ht="15.75" customHeight="1">
      <c r="A239" s="302"/>
      <c r="B239" s="302"/>
      <c r="C239" s="302"/>
      <c r="D239" s="302"/>
      <c r="E239" s="302"/>
      <c r="F239" s="302"/>
      <c r="G239" s="302"/>
      <c r="H239" s="302"/>
      <c r="I239" s="302"/>
      <c r="J239" s="302"/>
      <c r="K239" s="302"/>
      <c r="L239" s="304"/>
      <c r="M239" s="304"/>
      <c r="N239" s="304"/>
      <c r="O239" s="304"/>
      <c r="P239" s="304"/>
      <c r="Q239" s="304"/>
      <c r="R239" s="304"/>
      <c r="S239" s="304"/>
      <c r="T239" s="304"/>
      <c r="U239" s="304"/>
      <c r="V239" s="304"/>
      <c r="W239" s="304"/>
      <c r="X239" s="304"/>
      <c r="Y239" s="304"/>
      <c r="Z239" s="304"/>
    </row>
    <row r="240" ht="15.75" customHeight="1">
      <c r="A240" s="302"/>
      <c r="B240" s="302"/>
      <c r="C240" s="302"/>
      <c r="D240" s="302"/>
      <c r="E240" s="302"/>
      <c r="F240" s="302"/>
      <c r="G240" s="302"/>
      <c r="H240" s="302"/>
      <c r="I240" s="302"/>
      <c r="J240" s="302"/>
      <c r="K240" s="302"/>
      <c r="L240" s="304"/>
      <c r="M240" s="304"/>
      <c r="N240" s="304"/>
      <c r="O240" s="304"/>
      <c r="P240" s="304"/>
      <c r="Q240" s="304"/>
      <c r="R240" s="304"/>
      <c r="S240" s="304"/>
      <c r="T240" s="304"/>
      <c r="U240" s="304"/>
      <c r="V240" s="304"/>
      <c r="W240" s="304"/>
      <c r="X240" s="304"/>
      <c r="Y240" s="304"/>
      <c r="Z240" s="304"/>
    </row>
    <row r="241" ht="15.75" customHeight="1">
      <c r="A241" s="302"/>
      <c r="B241" s="302"/>
      <c r="C241" s="302"/>
      <c r="D241" s="302"/>
      <c r="E241" s="302"/>
      <c r="F241" s="302"/>
      <c r="G241" s="302"/>
      <c r="H241" s="302"/>
      <c r="I241" s="302"/>
      <c r="J241" s="302"/>
      <c r="K241" s="302"/>
      <c r="L241" s="304"/>
      <c r="M241" s="304"/>
      <c r="N241" s="304"/>
      <c r="O241" s="304"/>
      <c r="P241" s="304"/>
      <c r="Q241" s="304"/>
      <c r="R241" s="304"/>
      <c r="S241" s="304"/>
      <c r="T241" s="304"/>
      <c r="U241" s="304"/>
      <c r="V241" s="304"/>
      <c r="W241" s="304"/>
      <c r="X241" s="304"/>
      <c r="Y241" s="304"/>
      <c r="Z241" s="304"/>
    </row>
    <row r="242" ht="15.75" customHeight="1">
      <c r="A242" s="302"/>
      <c r="B242" s="302"/>
      <c r="C242" s="302"/>
      <c r="D242" s="302"/>
      <c r="E242" s="302"/>
      <c r="F242" s="302"/>
      <c r="G242" s="302"/>
      <c r="H242" s="302"/>
      <c r="I242" s="302"/>
      <c r="J242" s="302"/>
      <c r="K242" s="302"/>
      <c r="L242" s="304"/>
      <c r="M242" s="304"/>
      <c r="N242" s="304"/>
      <c r="O242" s="304"/>
      <c r="P242" s="304"/>
      <c r="Q242" s="304"/>
      <c r="R242" s="304"/>
      <c r="S242" s="304"/>
      <c r="T242" s="304"/>
      <c r="U242" s="304"/>
      <c r="V242" s="304"/>
      <c r="W242" s="304"/>
      <c r="X242" s="304"/>
      <c r="Y242" s="304"/>
      <c r="Z242" s="304"/>
    </row>
    <row r="243" ht="15.75" customHeight="1">
      <c r="A243" s="302"/>
      <c r="B243" s="302"/>
      <c r="C243" s="302"/>
      <c r="D243" s="302"/>
      <c r="E243" s="302"/>
      <c r="F243" s="302"/>
      <c r="G243" s="302"/>
      <c r="H243" s="302"/>
      <c r="I243" s="302"/>
      <c r="J243" s="302"/>
      <c r="K243" s="302"/>
      <c r="L243" s="304"/>
      <c r="M243" s="304"/>
      <c r="N243" s="304"/>
      <c r="O243" s="304"/>
      <c r="P243" s="304"/>
      <c r="Q243" s="304"/>
      <c r="R243" s="304"/>
      <c r="S243" s="304"/>
      <c r="T243" s="304"/>
      <c r="U243" s="304"/>
      <c r="V243" s="304"/>
      <c r="W243" s="304"/>
      <c r="X243" s="304"/>
      <c r="Y243" s="304"/>
      <c r="Z243" s="304"/>
    </row>
    <row r="244" ht="15.75" customHeight="1">
      <c r="A244" s="302"/>
      <c r="B244" s="302"/>
      <c r="C244" s="302"/>
      <c r="D244" s="302"/>
      <c r="E244" s="302"/>
      <c r="F244" s="302"/>
      <c r="G244" s="302"/>
      <c r="H244" s="302"/>
      <c r="I244" s="302"/>
      <c r="J244" s="302"/>
      <c r="K244" s="302"/>
      <c r="L244" s="304"/>
      <c r="M244" s="304"/>
      <c r="N244" s="304"/>
      <c r="O244" s="304"/>
      <c r="P244" s="304"/>
      <c r="Q244" s="304"/>
      <c r="R244" s="304"/>
      <c r="S244" s="304"/>
      <c r="T244" s="304"/>
      <c r="U244" s="304"/>
      <c r="V244" s="304"/>
      <c r="W244" s="304"/>
      <c r="X244" s="304"/>
      <c r="Y244" s="304"/>
      <c r="Z244" s="304"/>
    </row>
    <row r="245" ht="15.75" customHeight="1">
      <c r="A245" s="302"/>
      <c r="B245" s="302"/>
      <c r="C245" s="302"/>
      <c r="D245" s="302"/>
      <c r="E245" s="302"/>
      <c r="F245" s="302"/>
      <c r="G245" s="302"/>
      <c r="H245" s="302"/>
      <c r="I245" s="302"/>
      <c r="J245" s="302"/>
      <c r="K245" s="302"/>
      <c r="L245" s="304"/>
      <c r="M245" s="304"/>
      <c r="N245" s="304"/>
      <c r="O245" s="304"/>
      <c r="P245" s="304"/>
      <c r="Q245" s="304"/>
      <c r="R245" s="304"/>
      <c r="S245" s="304"/>
      <c r="T245" s="304"/>
      <c r="U245" s="304"/>
      <c r="V245" s="304"/>
      <c r="W245" s="304"/>
      <c r="X245" s="304"/>
      <c r="Y245" s="304"/>
      <c r="Z245" s="304"/>
    </row>
    <row r="246" ht="15.75" customHeight="1">
      <c r="A246" s="302"/>
      <c r="B246" s="302"/>
      <c r="C246" s="302"/>
      <c r="D246" s="302"/>
      <c r="E246" s="302"/>
      <c r="F246" s="302"/>
      <c r="G246" s="302"/>
      <c r="H246" s="302"/>
      <c r="I246" s="302"/>
      <c r="J246" s="302"/>
      <c r="K246" s="302"/>
      <c r="L246" s="304"/>
      <c r="M246" s="304"/>
      <c r="N246" s="304"/>
      <c r="O246" s="304"/>
      <c r="P246" s="304"/>
      <c r="Q246" s="304"/>
      <c r="R246" s="304"/>
      <c r="S246" s="304"/>
      <c r="T246" s="304"/>
      <c r="U246" s="304"/>
      <c r="V246" s="304"/>
      <c r="W246" s="304"/>
      <c r="X246" s="304"/>
      <c r="Y246" s="304"/>
      <c r="Z246" s="304"/>
    </row>
    <row r="247" ht="15.75" customHeight="1">
      <c r="A247" s="302"/>
      <c r="B247" s="302"/>
      <c r="C247" s="302"/>
      <c r="D247" s="302"/>
      <c r="E247" s="302"/>
      <c r="F247" s="302"/>
      <c r="G247" s="302"/>
      <c r="H247" s="302"/>
      <c r="I247" s="302"/>
      <c r="J247" s="302"/>
      <c r="K247" s="302"/>
      <c r="L247" s="304"/>
      <c r="M247" s="304"/>
      <c r="N247" s="304"/>
      <c r="O247" s="304"/>
      <c r="P247" s="304"/>
      <c r="Q247" s="304"/>
      <c r="R247" s="304"/>
      <c r="S247" s="304"/>
      <c r="T247" s="304"/>
      <c r="U247" s="304"/>
      <c r="V247" s="304"/>
      <c r="W247" s="304"/>
      <c r="X247" s="304"/>
      <c r="Y247" s="304"/>
      <c r="Z247" s="304"/>
    </row>
    <row r="248" ht="15.75" customHeight="1">
      <c r="A248" s="302"/>
      <c r="B248" s="302"/>
      <c r="C248" s="302"/>
      <c r="D248" s="302"/>
      <c r="E248" s="302"/>
      <c r="F248" s="302"/>
      <c r="G248" s="302"/>
      <c r="H248" s="302"/>
      <c r="I248" s="302"/>
      <c r="J248" s="302"/>
      <c r="K248" s="302"/>
      <c r="L248" s="304"/>
      <c r="M248" s="304"/>
      <c r="N248" s="304"/>
      <c r="O248" s="304"/>
      <c r="P248" s="304"/>
      <c r="Q248" s="304"/>
      <c r="R248" s="304"/>
      <c r="S248" s="304"/>
      <c r="T248" s="304"/>
      <c r="U248" s="304"/>
      <c r="V248" s="304"/>
      <c r="W248" s="304"/>
      <c r="X248" s="304"/>
      <c r="Y248" s="304"/>
      <c r="Z248" s="304"/>
    </row>
    <row r="249" ht="15.75" customHeight="1">
      <c r="A249" s="302"/>
      <c r="B249" s="302"/>
      <c r="C249" s="302"/>
      <c r="D249" s="302"/>
      <c r="E249" s="302"/>
      <c r="F249" s="302"/>
      <c r="G249" s="302"/>
      <c r="H249" s="302"/>
      <c r="I249" s="302"/>
      <c r="J249" s="302"/>
      <c r="K249" s="302"/>
      <c r="L249" s="304"/>
      <c r="M249" s="304"/>
      <c r="N249" s="304"/>
      <c r="O249" s="304"/>
      <c r="P249" s="304"/>
      <c r="Q249" s="304"/>
      <c r="R249" s="304"/>
      <c r="S249" s="304"/>
      <c r="T249" s="304"/>
      <c r="U249" s="304"/>
      <c r="V249" s="304"/>
      <c r="W249" s="304"/>
      <c r="X249" s="304"/>
      <c r="Y249" s="304"/>
      <c r="Z249" s="304"/>
    </row>
    <row r="250" ht="15.75" customHeight="1">
      <c r="A250" s="302"/>
      <c r="B250" s="302"/>
      <c r="C250" s="302"/>
      <c r="D250" s="302"/>
      <c r="E250" s="302"/>
      <c r="F250" s="302"/>
      <c r="G250" s="302"/>
      <c r="H250" s="302"/>
      <c r="I250" s="302"/>
      <c r="J250" s="302"/>
      <c r="K250" s="302"/>
      <c r="L250" s="304"/>
      <c r="M250" s="304"/>
      <c r="N250" s="304"/>
      <c r="O250" s="304"/>
      <c r="P250" s="304"/>
      <c r="Q250" s="304"/>
      <c r="R250" s="304"/>
      <c r="S250" s="304"/>
      <c r="T250" s="304"/>
      <c r="U250" s="304"/>
      <c r="V250" s="304"/>
      <c r="W250" s="304"/>
      <c r="X250" s="304"/>
      <c r="Y250" s="304"/>
      <c r="Z250" s="304"/>
    </row>
    <row r="251" ht="15.75" customHeight="1">
      <c r="A251" s="302"/>
      <c r="B251" s="302"/>
      <c r="C251" s="302"/>
      <c r="D251" s="302"/>
      <c r="E251" s="302"/>
      <c r="F251" s="302"/>
      <c r="G251" s="302"/>
      <c r="H251" s="302"/>
      <c r="I251" s="302"/>
      <c r="J251" s="302"/>
      <c r="K251" s="302"/>
      <c r="L251" s="304"/>
      <c r="M251" s="304"/>
      <c r="N251" s="304"/>
      <c r="O251" s="304"/>
      <c r="P251" s="304"/>
      <c r="Q251" s="304"/>
      <c r="R251" s="304"/>
      <c r="S251" s="304"/>
      <c r="T251" s="304"/>
      <c r="U251" s="304"/>
      <c r="V251" s="304"/>
      <c r="W251" s="304"/>
      <c r="X251" s="304"/>
      <c r="Y251" s="304"/>
      <c r="Z251" s="304"/>
    </row>
    <row r="252" ht="15.75" customHeight="1">
      <c r="A252" s="302"/>
      <c r="B252" s="302"/>
      <c r="C252" s="302"/>
      <c r="D252" s="302"/>
      <c r="E252" s="302"/>
      <c r="F252" s="302"/>
      <c r="G252" s="302"/>
      <c r="H252" s="302"/>
      <c r="I252" s="302"/>
      <c r="J252" s="302"/>
      <c r="K252" s="302"/>
      <c r="L252" s="304"/>
      <c r="M252" s="304"/>
      <c r="N252" s="304"/>
      <c r="O252" s="304"/>
      <c r="P252" s="304"/>
      <c r="Q252" s="304"/>
      <c r="R252" s="304"/>
      <c r="S252" s="304"/>
      <c r="T252" s="304"/>
      <c r="U252" s="304"/>
      <c r="V252" s="304"/>
      <c r="W252" s="304"/>
      <c r="X252" s="304"/>
      <c r="Y252" s="304"/>
      <c r="Z252" s="304"/>
    </row>
    <row r="253" ht="15.75" customHeight="1">
      <c r="A253" s="302"/>
      <c r="B253" s="302"/>
      <c r="C253" s="302"/>
      <c r="D253" s="302"/>
      <c r="E253" s="302"/>
      <c r="F253" s="302"/>
      <c r="G253" s="302"/>
      <c r="H253" s="302"/>
      <c r="I253" s="302"/>
      <c r="J253" s="302"/>
      <c r="K253" s="302"/>
      <c r="L253" s="304"/>
      <c r="M253" s="304"/>
      <c r="N253" s="304"/>
      <c r="O253" s="304"/>
      <c r="P253" s="304"/>
      <c r="Q253" s="304"/>
      <c r="R253" s="304"/>
      <c r="S253" s="304"/>
      <c r="T253" s="304"/>
      <c r="U253" s="304"/>
      <c r="V253" s="304"/>
      <c r="W253" s="304"/>
      <c r="X253" s="304"/>
      <c r="Y253" s="304"/>
      <c r="Z253" s="304"/>
    </row>
    <row r="254" ht="15.75" customHeight="1">
      <c r="A254" s="302"/>
      <c r="B254" s="302"/>
      <c r="C254" s="302"/>
      <c r="D254" s="302"/>
      <c r="E254" s="302"/>
      <c r="F254" s="302"/>
      <c r="G254" s="302"/>
      <c r="H254" s="302"/>
      <c r="I254" s="302"/>
      <c r="J254" s="302"/>
      <c r="K254" s="302"/>
      <c r="L254" s="304"/>
      <c r="M254" s="304"/>
      <c r="N254" s="304"/>
      <c r="O254" s="304"/>
      <c r="P254" s="304"/>
      <c r="Q254" s="304"/>
      <c r="R254" s="304"/>
      <c r="S254" s="304"/>
      <c r="T254" s="304"/>
      <c r="U254" s="304"/>
      <c r="V254" s="304"/>
      <c r="W254" s="304"/>
      <c r="X254" s="304"/>
      <c r="Y254" s="304"/>
      <c r="Z254" s="304"/>
    </row>
    <row r="255" ht="15.75" customHeight="1">
      <c r="A255" s="302"/>
      <c r="B255" s="302"/>
      <c r="C255" s="302"/>
      <c r="D255" s="302"/>
      <c r="E255" s="302"/>
      <c r="F255" s="302"/>
      <c r="G255" s="302"/>
      <c r="H255" s="302"/>
      <c r="I255" s="302"/>
      <c r="J255" s="302"/>
      <c r="K255" s="302"/>
      <c r="L255" s="304"/>
      <c r="M255" s="304"/>
      <c r="N255" s="304"/>
      <c r="O255" s="304"/>
      <c r="P255" s="304"/>
      <c r="Q255" s="304"/>
      <c r="R255" s="304"/>
      <c r="S255" s="304"/>
      <c r="T255" s="304"/>
      <c r="U255" s="304"/>
      <c r="V255" s="304"/>
      <c r="W255" s="304"/>
      <c r="X255" s="304"/>
      <c r="Y255" s="304"/>
      <c r="Z255" s="304"/>
    </row>
    <row r="256" ht="15.75" customHeight="1">
      <c r="A256" s="302"/>
      <c r="B256" s="302"/>
      <c r="C256" s="302"/>
      <c r="D256" s="302"/>
      <c r="E256" s="302"/>
      <c r="F256" s="302"/>
      <c r="G256" s="302"/>
      <c r="H256" s="302"/>
      <c r="I256" s="302"/>
      <c r="J256" s="302"/>
      <c r="K256" s="302"/>
      <c r="L256" s="304"/>
      <c r="M256" s="304"/>
      <c r="N256" s="304"/>
      <c r="O256" s="304"/>
      <c r="P256" s="304"/>
      <c r="Q256" s="304"/>
      <c r="R256" s="304"/>
      <c r="S256" s="304"/>
      <c r="T256" s="304"/>
      <c r="U256" s="304"/>
      <c r="V256" s="304"/>
      <c r="W256" s="304"/>
      <c r="X256" s="304"/>
      <c r="Y256" s="304"/>
      <c r="Z256" s="304"/>
    </row>
    <row r="257" ht="15.75" customHeight="1">
      <c r="A257" s="302"/>
      <c r="B257" s="302"/>
      <c r="C257" s="302"/>
      <c r="D257" s="302"/>
      <c r="E257" s="302"/>
      <c r="F257" s="302"/>
      <c r="G257" s="302"/>
      <c r="H257" s="302"/>
      <c r="I257" s="302"/>
      <c r="J257" s="302"/>
      <c r="K257" s="302"/>
      <c r="L257" s="304"/>
      <c r="M257" s="304"/>
      <c r="N257" s="304"/>
      <c r="O257" s="304"/>
      <c r="P257" s="304"/>
      <c r="Q257" s="304"/>
      <c r="R257" s="304"/>
      <c r="S257" s="304"/>
      <c r="T257" s="304"/>
      <c r="U257" s="304"/>
      <c r="V257" s="304"/>
      <c r="W257" s="304"/>
      <c r="X257" s="304"/>
      <c r="Y257" s="304"/>
      <c r="Z257" s="304"/>
    </row>
    <row r="258" ht="15.75" customHeight="1">
      <c r="A258" s="302"/>
      <c r="B258" s="302"/>
      <c r="C258" s="302"/>
      <c r="D258" s="302"/>
      <c r="E258" s="302"/>
      <c r="F258" s="302"/>
      <c r="G258" s="302"/>
      <c r="H258" s="302"/>
      <c r="I258" s="302"/>
      <c r="J258" s="302"/>
      <c r="K258" s="302"/>
      <c r="L258" s="304"/>
      <c r="M258" s="304"/>
      <c r="N258" s="304"/>
      <c r="O258" s="304"/>
      <c r="P258" s="304"/>
      <c r="Q258" s="304"/>
      <c r="R258" s="304"/>
      <c r="S258" s="304"/>
      <c r="T258" s="304"/>
      <c r="U258" s="304"/>
      <c r="V258" s="304"/>
      <c r="W258" s="304"/>
      <c r="X258" s="304"/>
      <c r="Y258" s="304"/>
      <c r="Z258" s="304"/>
    </row>
    <row r="259" ht="15.75" customHeight="1">
      <c r="A259" s="302"/>
      <c r="B259" s="302"/>
      <c r="C259" s="302"/>
      <c r="D259" s="302"/>
      <c r="E259" s="302"/>
      <c r="F259" s="302"/>
      <c r="G259" s="302"/>
      <c r="H259" s="302"/>
      <c r="I259" s="302"/>
      <c r="J259" s="302"/>
      <c r="K259" s="302"/>
      <c r="L259" s="304"/>
      <c r="M259" s="304"/>
      <c r="N259" s="304"/>
      <c r="O259" s="304"/>
      <c r="P259" s="304"/>
      <c r="Q259" s="304"/>
      <c r="R259" s="304"/>
      <c r="S259" s="304"/>
      <c r="T259" s="304"/>
      <c r="U259" s="304"/>
      <c r="V259" s="304"/>
      <c r="W259" s="304"/>
      <c r="X259" s="304"/>
      <c r="Y259" s="304"/>
      <c r="Z259" s="304"/>
    </row>
    <row r="260" ht="15.75" customHeight="1">
      <c r="A260" s="302"/>
      <c r="B260" s="302"/>
      <c r="C260" s="302"/>
      <c r="D260" s="302"/>
      <c r="E260" s="302"/>
      <c r="F260" s="302"/>
      <c r="G260" s="302"/>
      <c r="H260" s="302"/>
      <c r="I260" s="302"/>
      <c r="J260" s="302"/>
      <c r="K260" s="302"/>
      <c r="L260" s="304"/>
      <c r="M260" s="304"/>
      <c r="N260" s="304"/>
      <c r="O260" s="304"/>
      <c r="P260" s="304"/>
      <c r="Q260" s="304"/>
      <c r="R260" s="304"/>
      <c r="S260" s="304"/>
      <c r="T260" s="304"/>
      <c r="U260" s="304"/>
      <c r="V260" s="304"/>
      <c r="W260" s="304"/>
      <c r="X260" s="304"/>
      <c r="Y260" s="304"/>
      <c r="Z260" s="304"/>
    </row>
    <row r="261" ht="15.75" customHeight="1">
      <c r="A261" s="302"/>
      <c r="B261" s="302"/>
      <c r="C261" s="302"/>
      <c r="D261" s="302"/>
      <c r="E261" s="302"/>
      <c r="F261" s="302"/>
      <c r="G261" s="302"/>
      <c r="H261" s="302"/>
      <c r="I261" s="302"/>
      <c r="J261" s="302"/>
      <c r="K261" s="302"/>
      <c r="L261" s="304"/>
      <c r="M261" s="304"/>
      <c r="N261" s="304"/>
      <c r="O261" s="304"/>
      <c r="P261" s="304"/>
      <c r="Q261" s="304"/>
      <c r="R261" s="304"/>
      <c r="S261" s="304"/>
      <c r="T261" s="304"/>
      <c r="U261" s="304"/>
      <c r="V261" s="304"/>
      <c r="W261" s="304"/>
      <c r="X261" s="304"/>
      <c r="Y261" s="304"/>
      <c r="Z261" s="304"/>
    </row>
    <row r="262" ht="15.75" customHeight="1">
      <c r="A262" s="302"/>
      <c r="B262" s="302"/>
      <c r="C262" s="302"/>
      <c r="D262" s="302"/>
      <c r="E262" s="302"/>
      <c r="F262" s="302"/>
      <c r="G262" s="302"/>
      <c r="H262" s="302"/>
      <c r="I262" s="302"/>
      <c r="J262" s="302"/>
      <c r="K262" s="302"/>
      <c r="L262" s="304"/>
      <c r="M262" s="304"/>
      <c r="N262" s="304"/>
      <c r="O262" s="304"/>
      <c r="P262" s="304"/>
      <c r="Q262" s="304"/>
      <c r="R262" s="304"/>
      <c r="S262" s="304"/>
      <c r="T262" s="304"/>
      <c r="U262" s="304"/>
      <c r="V262" s="304"/>
      <c r="W262" s="304"/>
      <c r="X262" s="304"/>
      <c r="Y262" s="304"/>
      <c r="Z262" s="304"/>
    </row>
    <row r="263" ht="15.75" customHeight="1">
      <c r="A263" s="302"/>
      <c r="B263" s="302"/>
      <c r="C263" s="302"/>
      <c r="D263" s="302"/>
      <c r="E263" s="302"/>
      <c r="F263" s="302"/>
      <c r="G263" s="302"/>
      <c r="H263" s="302"/>
      <c r="I263" s="302"/>
      <c r="J263" s="302"/>
      <c r="K263" s="302"/>
      <c r="L263" s="304"/>
      <c r="M263" s="304"/>
      <c r="N263" s="304"/>
      <c r="O263" s="304"/>
      <c r="P263" s="304"/>
      <c r="Q263" s="304"/>
      <c r="R263" s="304"/>
      <c r="S263" s="304"/>
      <c r="T263" s="304"/>
      <c r="U263" s="304"/>
      <c r="V263" s="304"/>
      <c r="W263" s="304"/>
      <c r="X263" s="304"/>
      <c r="Y263" s="304"/>
      <c r="Z263" s="304"/>
    </row>
    <row r="264" ht="15.75" customHeight="1">
      <c r="A264" s="302"/>
      <c r="B264" s="302"/>
      <c r="C264" s="302"/>
      <c r="D264" s="302"/>
      <c r="E264" s="302"/>
      <c r="F264" s="302"/>
      <c r="G264" s="302"/>
      <c r="H264" s="302"/>
      <c r="I264" s="302"/>
      <c r="J264" s="302"/>
      <c r="K264" s="302"/>
      <c r="L264" s="304"/>
      <c r="M264" s="304"/>
      <c r="N264" s="304"/>
      <c r="O264" s="304"/>
      <c r="P264" s="304"/>
      <c r="Q264" s="304"/>
      <c r="R264" s="304"/>
      <c r="S264" s="304"/>
      <c r="T264" s="304"/>
      <c r="U264" s="304"/>
      <c r="V264" s="304"/>
      <c r="W264" s="304"/>
      <c r="X264" s="304"/>
      <c r="Y264" s="304"/>
      <c r="Z264" s="304"/>
    </row>
    <row r="265" ht="15.75" customHeight="1">
      <c r="A265" s="302"/>
      <c r="B265" s="302"/>
      <c r="C265" s="302"/>
      <c r="D265" s="302"/>
      <c r="E265" s="302"/>
      <c r="F265" s="302"/>
      <c r="G265" s="302"/>
      <c r="H265" s="302"/>
      <c r="I265" s="302"/>
      <c r="J265" s="302"/>
      <c r="K265" s="302"/>
      <c r="L265" s="304"/>
      <c r="M265" s="304"/>
      <c r="N265" s="304"/>
      <c r="O265" s="304"/>
      <c r="P265" s="304"/>
      <c r="Q265" s="304"/>
      <c r="R265" s="304"/>
      <c r="S265" s="304"/>
      <c r="T265" s="304"/>
      <c r="U265" s="304"/>
      <c r="V265" s="304"/>
      <c r="W265" s="304"/>
      <c r="X265" s="304"/>
      <c r="Y265" s="304"/>
      <c r="Z265" s="304"/>
    </row>
    <row r="266" ht="15.75" customHeight="1">
      <c r="A266" s="302"/>
      <c r="B266" s="302"/>
      <c r="C266" s="302"/>
      <c r="D266" s="302"/>
      <c r="E266" s="302"/>
      <c r="F266" s="302"/>
      <c r="G266" s="302"/>
      <c r="H266" s="302"/>
      <c r="I266" s="302"/>
      <c r="J266" s="302"/>
      <c r="K266" s="302"/>
      <c r="L266" s="304"/>
      <c r="M266" s="304"/>
      <c r="N266" s="304"/>
      <c r="O266" s="304"/>
      <c r="P266" s="304"/>
      <c r="Q266" s="304"/>
      <c r="R266" s="304"/>
      <c r="S266" s="304"/>
      <c r="T266" s="304"/>
      <c r="U266" s="304"/>
      <c r="V266" s="304"/>
      <c r="W266" s="304"/>
      <c r="X266" s="304"/>
      <c r="Y266" s="304"/>
      <c r="Z266" s="304"/>
    </row>
    <row r="267" ht="15.75" customHeight="1">
      <c r="A267" s="302"/>
      <c r="B267" s="302"/>
      <c r="C267" s="302"/>
      <c r="D267" s="302"/>
      <c r="E267" s="302"/>
      <c r="F267" s="302"/>
      <c r="G267" s="302"/>
      <c r="H267" s="302"/>
      <c r="I267" s="302"/>
      <c r="J267" s="302"/>
      <c r="K267" s="302"/>
      <c r="L267" s="304"/>
      <c r="M267" s="304"/>
      <c r="N267" s="304"/>
      <c r="O267" s="304"/>
      <c r="P267" s="304"/>
      <c r="Q267" s="304"/>
      <c r="R267" s="304"/>
      <c r="S267" s="304"/>
      <c r="T267" s="304"/>
      <c r="U267" s="304"/>
      <c r="V267" s="304"/>
      <c r="W267" s="304"/>
      <c r="X267" s="304"/>
      <c r="Y267" s="304"/>
      <c r="Z267" s="304"/>
    </row>
    <row r="268" ht="15.75" customHeight="1">
      <c r="A268" s="302"/>
      <c r="B268" s="302"/>
      <c r="C268" s="302"/>
      <c r="D268" s="302"/>
      <c r="E268" s="302"/>
      <c r="F268" s="302"/>
      <c r="G268" s="302"/>
      <c r="H268" s="302"/>
      <c r="I268" s="302"/>
      <c r="J268" s="302"/>
      <c r="K268" s="302"/>
      <c r="L268" s="304"/>
      <c r="M268" s="304"/>
      <c r="N268" s="304"/>
      <c r="O268" s="304"/>
      <c r="P268" s="304"/>
      <c r="Q268" s="304"/>
      <c r="R268" s="304"/>
      <c r="S268" s="304"/>
      <c r="T268" s="304"/>
      <c r="U268" s="304"/>
      <c r="V268" s="304"/>
      <c r="W268" s="304"/>
      <c r="X268" s="304"/>
      <c r="Y268" s="304"/>
      <c r="Z268" s="304"/>
    </row>
    <row r="269" ht="15.75" customHeight="1">
      <c r="A269" s="302"/>
      <c r="B269" s="302"/>
      <c r="C269" s="302"/>
      <c r="D269" s="302"/>
      <c r="E269" s="302"/>
      <c r="F269" s="302"/>
      <c r="G269" s="302"/>
      <c r="H269" s="302"/>
      <c r="I269" s="302"/>
      <c r="J269" s="302"/>
      <c r="K269" s="302"/>
      <c r="L269" s="304"/>
      <c r="M269" s="304"/>
      <c r="N269" s="304"/>
      <c r="O269" s="304"/>
      <c r="P269" s="304"/>
      <c r="Q269" s="304"/>
      <c r="R269" s="304"/>
      <c r="S269" s="304"/>
      <c r="T269" s="304"/>
      <c r="U269" s="304"/>
      <c r="V269" s="304"/>
      <c r="W269" s="304"/>
      <c r="X269" s="304"/>
      <c r="Y269" s="304"/>
      <c r="Z269" s="304"/>
    </row>
    <row r="270" ht="15.75" customHeight="1">
      <c r="A270" s="302"/>
      <c r="B270" s="302"/>
      <c r="C270" s="302"/>
      <c r="D270" s="302"/>
      <c r="E270" s="302"/>
      <c r="F270" s="302"/>
      <c r="G270" s="302"/>
      <c r="H270" s="302"/>
      <c r="I270" s="302"/>
      <c r="J270" s="302"/>
      <c r="K270" s="302"/>
      <c r="L270" s="304"/>
      <c r="M270" s="304"/>
      <c r="N270" s="304"/>
      <c r="O270" s="304"/>
      <c r="P270" s="304"/>
      <c r="Q270" s="304"/>
      <c r="R270" s="304"/>
      <c r="S270" s="304"/>
      <c r="T270" s="304"/>
      <c r="U270" s="304"/>
      <c r="V270" s="304"/>
      <c r="W270" s="304"/>
      <c r="X270" s="304"/>
      <c r="Y270" s="304"/>
      <c r="Z270" s="304"/>
    </row>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A21:C21"/>
    <mergeCell ref="A38:C38"/>
    <mergeCell ref="D38:J38"/>
    <mergeCell ref="A53:C53"/>
    <mergeCell ref="D53:J53"/>
    <mergeCell ref="A1:F1"/>
    <mergeCell ref="G1:M1"/>
    <mergeCell ref="A4:C4"/>
    <mergeCell ref="D4:J4"/>
    <mergeCell ref="L4:N10"/>
    <mergeCell ref="M13:O13"/>
    <mergeCell ref="D21:J21"/>
  </mergeCells>
  <printOptions horizontalCentered="1"/>
  <pageMargins bottom="0.75" footer="0.0" header="0.0" left="0.7" right="0.7" top="0.75"/>
  <pageSetup fitToHeight="0" cellComments="atEnd" orientation="landscape"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51C75"/>
    <outlinePr summaryBelow="0" summaryRight="0"/>
    <pageSetUpPr/>
  </sheetPr>
  <sheetViews>
    <sheetView workbookViewId="0"/>
  </sheetViews>
  <sheetFormatPr customHeight="1" defaultColWidth="12.63" defaultRowHeight="15.0"/>
  <cols>
    <col customWidth="1" min="1" max="1" width="16.13"/>
    <col customWidth="1" min="2" max="3" width="12.63"/>
    <col customWidth="1" min="4" max="4" width="15.0"/>
    <col customWidth="1" min="5" max="6" width="12.63"/>
    <col customWidth="1" min="11" max="11" width="9.63"/>
    <col customWidth="1" min="12" max="12" width="9.13"/>
  </cols>
  <sheetData>
    <row r="1" ht="15.75" customHeight="1">
      <c r="A1" s="394" t="s">
        <v>276</v>
      </c>
      <c r="I1" s="395"/>
      <c r="R1" s="396"/>
      <c r="S1" s="396"/>
      <c r="T1" s="396"/>
      <c r="U1" s="396"/>
      <c r="V1" s="396"/>
      <c r="W1" s="396"/>
      <c r="X1" s="396"/>
      <c r="Y1" s="396"/>
      <c r="Z1" s="397"/>
      <c r="AA1" s="397"/>
    </row>
    <row r="2" ht="15.75" customHeight="1">
      <c r="A2" s="398"/>
      <c r="B2" s="399"/>
      <c r="C2" s="399"/>
      <c r="D2" s="399"/>
      <c r="E2" s="396"/>
      <c r="F2" s="396"/>
      <c r="G2" s="396"/>
      <c r="H2" s="396"/>
      <c r="I2" s="396"/>
      <c r="J2" s="396"/>
      <c r="K2" s="396"/>
      <c r="L2" s="396"/>
      <c r="M2" s="396"/>
      <c r="N2" s="396"/>
      <c r="O2" s="396"/>
      <c r="P2" s="396"/>
      <c r="Q2" s="396"/>
      <c r="R2" s="396"/>
      <c r="S2" s="396"/>
      <c r="T2" s="396"/>
      <c r="U2" s="396"/>
      <c r="V2" s="396"/>
      <c r="W2" s="396"/>
      <c r="X2" s="396"/>
      <c r="Y2" s="396"/>
      <c r="Z2" s="396"/>
      <c r="AA2" s="396"/>
    </row>
    <row r="3" ht="15.75" customHeight="1">
      <c r="A3" s="398" t="s">
        <v>277</v>
      </c>
      <c r="E3" s="396"/>
      <c r="F3" s="400"/>
      <c r="I3" s="396"/>
      <c r="J3" s="396"/>
      <c r="K3" s="396"/>
      <c r="L3" s="396"/>
      <c r="M3" s="396"/>
      <c r="N3" s="396"/>
      <c r="O3" s="396"/>
      <c r="P3" s="396"/>
      <c r="Q3" s="396"/>
      <c r="R3" s="396"/>
      <c r="S3" s="396"/>
      <c r="T3" s="396"/>
      <c r="U3" s="396"/>
      <c r="V3" s="396"/>
      <c r="W3" s="396"/>
      <c r="X3" s="396"/>
      <c r="Y3" s="396"/>
      <c r="Z3" s="396"/>
      <c r="AA3" s="396"/>
    </row>
    <row r="4" ht="15.75" customHeight="1">
      <c r="A4" s="401" t="s">
        <v>100</v>
      </c>
      <c r="B4" s="402">
        <v>2025.0</v>
      </c>
      <c r="C4" s="402">
        <v>2024.0</v>
      </c>
      <c r="D4" s="403" t="s">
        <v>278</v>
      </c>
      <c r="E4" s="396"/>
      <c r="I4" s="396"/>
      <c r="J4" s="396"/>
      <c r="K4" s="396"/>
      <c r="L4" s="396"/>
      <c r="M4" s="396"/>
      <c r="N4" s="396"/>
      <c r="O4" s="396"/>
      <c r="P4" s="396"/>
      <c r="Q4" s="396"/>
      <c r="R4" s="396"/>
      <c r="S4" s="396"/>
      <c r="T4" s="396"/>
      <c r="U4" s="396"/>
      <c r="V4" s="396"/>
      <c r="W4" s="396"/>
      <c r="X4" s="396"/>
      <c r="Y4" s="396"/>
      <c r="Z4" s="396"/>
      <c r="AA4" s="396"/>
    </row>
    <row r="5" ht="15.75" customHeight="1">
      <c r="A5" s="404" t="s">
        <v>5</v>
      </c>
      <c r="B5" s="405">
        <f>'TAC Sector Allocations'!B6</f>
        <v>27156</v>
      </c>
      <c r="C5" s="405">
        <v>28757.0</v>
      </c>
      <c r="D5" s="406">
        <f t="shared" ref="D5:D13" si="1">(B5-C5)/C5</f>
        <v>-0.05567340126</v>
      </c>
      <c r="E5" s="396"/>
      <c r="I5" s="396"/>
      <c r="J5" s="396"/>
      <c r="K5" s="396"/>
      <c r="L5" s="396"/>
      <c r="M5" s="396"/>
      <c r="N5" s="396"/>
      <c r="O5" s="396"/>
      <c r="P5" s="396"/>
      <c r="Q5" s="396"/>
      <c r="R5" s="396"/>
      <c r="S5" s="396"/>
      <c r="T5" s="396"/>
      <c r="U5" s="396"/>
      <c r="V5" s="396"/>
      <c r="W5" s="396"/>
      <c r="X5" s="396"/>
      <c r="Y5" s="396"/>
      <c r="Z5" s="396"/>
      <c r="AA5" s="396"/>
    </row>
    <row r="6" ht="15.75" customHeight="1">
      <c r="A6" s="404" t="s">
        <v>6</v>
      </c>
      <c r="B6" s="405">
        <f>'TAC Sector Allocations'!B9</f>
        <v>3549</v>
      </c>
      <c r="C6" s="405">
        <v>2280.0</v>
      </c>
      <c r="D6" s="406">
        <f t="shared" si="1"/>
        <v>0.5565789474</v>
      </c>
      <c r="E6" s="396"/>
      <c r="I6" s="396"/>
      <c r="J6" s="396"/>
      <c r="K6" s="396"/>
      <c r="L6" s="396"/>
      <c r="M6" s="407"/>
      <c r="N6" s="407"/>
      <c r="O6" s="407"/>
      <c r="P6" s="407"/>
      <c r="Q6" s="396"/>
      <c r="R6" s="396"/>
      <c r="S6" s="396"/>
      <c r="T6" s="396"/>
      <c r="U6" s="396"/>
      <c r="V6" s="396"/>
      <c r="W6" s="396"/>
      <c r="X6" s="396"/>
      <c r="Y6" s="396"/>
      <c r="Z6" s="396"/>
      <c r="AA6" s="396"/>
    </row>
    <row r="7" ht="15.75" customHeight="1">
      <c r="A7" s="408" t="s">
        <v>8</v>
      </c>
      <c r="B7" s="409">
        <f>'TAC Sector Allocations'!B12</f>
        <v>5527</v>
      </c>
      <c r="C7" s="409">
        <v>7365.0</v>
      </c>
      <c r="D7" s="406">
        <f t="shared" si="1"/>
        <v>-0.2495587237</v>
      </c>
      <c r="E7" s="396"/>
      <c r="I7" s="396"/>
      <c r="J7" s="396"/>
      <c r="K7" s="396"/>
      <c r="L7" s="410"/>
      <c r="M7" s="410"/>
      <c r="N7" s="410"/>
      <c r="O7" s="410"/>
      <c r="P7" s="410"/>
      <c r="Q7" s="396"/>
      <c r="R7" s="396"/>
      <c r="S7" s="396"/>
      <c r="T7" s="396"/>
      <c r="U7" s="396"/>
      <c r="V7" s="396"/>
      <c r="W7" s="396"/>
      <c r="X7" s="396"/>
      <c r="Y7" s="396"/>
      <c r="Z7" s="396"/>
      <c r="AA7" s="396"/>
    </row>
    <row r="8" ht="15.75" customHeight="1">
      <c r="A8" s="411" t="s">
        <v>279</v>
      </c>
      <c r="B8" s="412">
        <f t="shared" ref="B8:C8" si="2">SUM(B5:B7)</f>
        <v>36232</v>
      </c>
      <c r="C8" s="412">
        <f t="shared" si="2"/>
        <v>38402</v>
      </c>
      <c r="D8" s="413">
        <f t="shared" si="1"/>
        <v>-0.05650747357</v>
      </c>
      <c r="E8" s="396"/>
      <c r="I8" s="396"/>
      <c r="J8" s="396"/>
      <c r="K8" s="396"/>
      <c r="L8" s="410"/>
      <c r="M8" s="410"/>
      <c r="N8" s="410"/>
      <c r="O8" s="410"/>
      <c r="P8" s="410"/>
      <c r="Q8" s="396"/>
      <c r="R8" s="396"/>
      <c r="S8" s="396"/>
      <c r="T8" s="396"/>
      <c r="U8" s="396"/>
      <c r="V8" s="396"/>
      <c r="W8" s="396"/>
      <c r="X8" s="396"/>
      <c r="Y8" s="396"/>
      <c r="Z8" s="396"/>
      <c r="AA8" s="396"/>
    </row>
    <row r="9" ht="15.75" customHeight="1">
      <c r="A9" s="404" t="s">
        <v>280</v>
      </c>
      <c r="B9" s="405">
        <f>'TAC Sector Allocations'!B22</f>
        <v>14447.25</v>
      </c>
      <c r="C9" s="405">
        <v>15442.0</v>
      </c>
      <c r="D9" s="406">
        <f t="shared" si="1"/>
        <v>-0.06441846911</v>
      </c>
      <c r="E9" s="396"/>
      <c r="I9" s="396"/>
      <c r="J9" s="396"/>
      <c r="K9" s="396"/>
      <c r="L9" s="410"/>
      <c r="M9" s="410"/>
      <c r="N9" s="410"/>
      <c r="O9" s="410"/>
      <c r="P9" s="410"/>
      <c r="Q9" s="396"/>
      <c r="R9" s="396"/>
      <c r="S9" s="396"/>
      <c r="T9" s="396"/>
      <c r="U9" s="396"/>
      <c r="V9" s="396"/>
      <c r="W9" s="396"/>
      <c r="X9" s="396"/>
      <c r="Y9" s="396"/>
      <c r="Z9" s="396"/>
      <c r="AA9" s="396"/>
    </row>
    <row r="10" ht="15.75" customHeight="1">
      <c r="A10" s="404" t="s">
        <v>83</v>
      </c>
      <c r="B10" s="405">
        <f>'TAC Sector Allocations'!B23</f>
        <v>5527</v>
      </c>
      <c r="C10" s="405">
        <v>9651.0</v>
      </c>
      <c r="D10" s="406">
        <f t="shared" si="1"/>
        <v>-0.4273132318</v>
      </c>
      <c r="E10" s="396"/>
      <c r="F10" s="396"/>
      <c r="G10" s="396"/>
      <c r="H10" s="414"/>
      <c r="I10" s="396"/>
      <c r="J10" s="396"/>
      <c r="K10" s="396"/>
      <c r="L10" s="410"/>
      <c r="M10" s="410"/>
      <c r="N10" s="410"/>
      <c r="O10" s="410"/>
      <c r="P10" s="410"/>
      <c r="Q10" s="396"/>
      <c r="R10" s="396"/>
      <c r="S10" s="396"/>
      <c r="T10" s="396"/>
      <c r="U10" s="396"/>
      <c r="V10" s="396"/>
      <c r="W10" s="396"/>
      <c r="X10" s="396"/>
      <c r="Y10" s="396"/>
      <c r="Z10" s="396"/>
      <c r="AA10" s="396"/>
    </row>
    <row r="11" ht="15.75" customHeight="1">
      <c r="A11" s="404" t="s">
        <v>127</v>
      </c>
      <c r="B11" s="405">
        <f>'TAC Sector Allocations'!B26</f>
        <v>189</v>
      </c>
      <c r="C11" s="405">
        <v>189.0</v>
      </c>
      <c r="D11" s="406">
        <f t="shared" si="1"/>
        <v>0</v>
      </c>
      <c r="E11" s="396"/>
      <c r="F11" s="396"/>
      <c r="G11" s="396"/>
      <c r="H11" s="415"/>
      <c r="I11" s="396"/>
      <c r="J11" s="396"/>
      <c r="K11" s="396"/>
      <c r="L11" s="410"/>
      <c r="M11" s="410"/>
      <c r="N11" s="410"/>
      <c r="O11" s="410"/>
      <c r="P11" s="410"/>
      <c r="Q11" s="396"/>
      <c r="R11" s="396"/>
      <c r="S11" s="396"/>
      <c r="T11" s="396"/>
      <c r="U11" s="396"/>
      <c r="V11" s="396"/>
      <c r="W11" s="396"/>
      <c r="X11" s="396"/>
      <c r="Y11" s="396"/>
      <c r="Z11" s="396"/>
      <c r="AA11" s="396"/>
    </row>
    <row r="12" ht="15.75" customHeight="1">
      <c r="A12" s="404" t="s">
        <v>129</v>
      </c>
      <c r="B12" s="405">
        <f>'TAC Sector Allocations'!B27</f>
        <v>366</v>
      </c>
      <c r="C12" s="405">
        <v>315.0</v>
      </c>
      <c r="D12" s="406">
        <f t="shared" si="1"/>
        <v>0.1619047619</v>
      </c>
      <c r="E12" s="396"/>
      <c r="F12" s="396"/>
      <c r="G12" s="396"/>
      <c r="H12" s="415"/>
      <c r="I12" s="396"/>
      <c r="J12" s="396"/>
      <c r="K12" s="396"/>
      <c r="L12" s="396"/>
      <c r="M12" s="396"/>
      <c r="N12" s="396"/>
      <c r="O12" s="396"/>
      <c r="P12" s="396"/>
      <c r="Q12" s="396"/>
      <c r="R12" s="396"/>
      <c r="S12" s="396"/>
      <c r="T12" s="396"/>
      <c r="U12" s="396"/>
      <c r="V12" s="396"/>
      <c r="W12" s="396"/>
      <c r="X12" s="396"/>
      <c r="Y12" s="396"/>
      <c r="Z12" s="396"/>
      <c r="AA12" s="396"/>
    </row>
    <row r="13" ht="15.75" customHeight="1">
      <c r="A13" s="408" t="s">
        <v>281</v>
      </c>
      <c r="B13" s="409">
        <f>'TAC Sector Allocations'!B28</f>
        <v>590</v>
      </c>
      <c r="C13" s="409">
        <v>693.0</v>
      </c>
      <c r="D13" s="416">
        <f t="shared" si="1"/>
        <v>-0.1486291486</v>
      </c>
      <c r="E13" s="396"/>
      <c r="F13" s="396"/>
      <c r="G13" s="396"/>
      <c r="H13" s="415"/>
      <c r="I13" s="396"/>
      <c r="J13" s="396"/>
      <c r="K13" s="396"/>
      <c r="L13" s="396"/>
      <c r="M13" s="396"/>
      <c r="N13" s="396"/>
      <c r="O13" s="396"/>
      <c r="P13" s="396"/>
      <c r="Q13" s="396"/>
      <c r="R13" s="396"/>
      <c r="S13" s="396"/>
      <c r="T13" s="396"/>
      <c r="U13" s="396"/>
      <c r="V13" s="396"/>
      <c r="W13" s="396"/>
      <c r="X13" s="396"/>
      <c r="Y13" s="396"/>
      <c r="Z13" s="396"/>
      <c r="AA13" s="396"/>
    </row>
    <row r="14" ht="15.75" customHeight="1">
      <c r="A14" s="396"/>
      <c r="B14" s="396"/>
      <c r="C14" s="396"/>
      <c r="D14" s="396"/>
      <c r="E14" s="396"/>
      <c r="F14" s="396"/>
      <c r="G14" s="396"/>
      <c r="H14" s="396"/>
      <c r="I14" s="396"/>
      <c r="J14" s="396"/>
      <c r="K14" s="396"/>
      <c r="L14" s="396"/>
      <c r="M14" s="396"/>
      <c r="N14" s="396"/>
      <c r="O14" s="396"/>
      <c r="P14" s="396"/>
      <c r="Q14" s="396"/>
      <c r="R14" s="396"/>
      <c r="S14" s="396"/>
      <c r="T14" s="396"/>
      <c r="U14" s="396"/>
      <c r="V14" s="396"/>
      <c r="W14" s="396"/>
      <c r="X14" s="396"/>
      <c r="Y14" s="396"/>
      <c r="Z14" s="396"/>
      <c r="AA14" s="396"/>
    </row>
    <row r="15" ht="15.75" customHeight="1">
      <c r="A15" s="397"/>
      <c r="B15" s="397"/>
      <c r="C15" s="397"/>
      <c r="D15" s="397"/>
      <c r="E15" s="397"/>
      <c r="F15" s="397"/>
      <c r="G15" s="396"/>
      <c r="H15" s="396"/>
      <c r="I15" s="396"/>
      <c r="J15" s="396"/>
      <c r="K15" s="396"/>
      <c r="L15" s="396"/>
      <c r="M15" s="396"/>
      <c r="N15" s="396"/>
      <c r="O15" s="396"/>
      <c r="P15" s="396"/>
      <c r="Q15" s="396"/>
      <c r="R15" s="396"/>
      <c r="S15" s="396"/>
      <c r="T15" s="396"/>
      <c r="U15" s="396"/>
      <c r="V15" s="396"/>
      <c r="W15" s="396"/>
      <c r="X15" s="396"/>
      <c r="Y15" s="396"/>
      <c r="Z15" s="396"/>
      <c r="AA15" s="396"/>
    </row>
    <row r="16" ht="15.75" customHeight="1">
      <c r="A16" s="417" t="s">
        <v>282</v>
      </c>
      <c r="B16" s="396"/>
      <c r="C16" s="396"/>
      <c r="D16" s="396"/>
      <c r="E16" s="396"/>
      <c r="F16" s="396" t="s">
        <v>283</v>
      </c>
      <c r="G16" s="396"/>
      <c r="H16" s="396"/>
      <c r="I16" s="396"/>
      <c r="J16" s="396"/>
      <c r="K16" s="396"/>
      <c r="L16" s="396"/>
      <c r="M16" s="396"/>
      <c r="N16" s="396"/>
      <c r="O16" s="396"/>
      <c r="P16" s="396"/>
      <c r="Q16" s="396"/>
      <c r="R16" s="396"/>
      <c r="S16" s="396"/>
      <c r="T16" s="396"/>
      <c r="U16" s="396"/>
      <c r="V16" s="396"/>
      <c r="W16" s="396"/>
      <c r="X16" s="396"/>
      <c r="Y16" s="396"/>
      <c r="Z16" s="396"/>
      <c r="AA16" s="396"/>
    </row>
    <row r="17" ht="15.75" customHeight="1">
      <c r="A17" s="418" t="s">
        <v>100</v>
      </c>
      <c r="B17" s="418" t="s">
        <v>123</v>
      </c>
      <c r="C17" s="418" t="s">
        <v>102</v>
      </c>
      <c r="D17" s="418" t="s">
        <v>104</v>
      </c>
      <c r="E17" s="419" t="s">
        <v>284</v>
      </c>
      <c r="F17" s="420" t="s">
        <v>106</v>
      </c>
      <c r="G17" s="420" t="s">
        <v>285</v>
      </c>
      <c r="H17" s="421" t="s">
        <v>286</v>
      </c>
      <c r="I17" s="422" t="s">
        <v>287</v>
      </c>
      <c r="J17" s="422" t="s">
        <v>288</v>
      </c>
      <c r="K17" s="422" t="s">
        <v>289</v>
      </c>
      <c r="L17" s="423" t="s">
        <v>290</v>
      </c>
      <c r="M17" s="396"/>
      <c r="N17" s="396"/>
      <c r="O17" s="396"/>
      <c r="P17" s="396"/>
      <c r="Q17" s="396"/>
      <c r="R17" s="396"/>
      <c r="S17" s="396"/>
      <c r="T17" s="396"/>
      <c r="U17" s="396"/>
      <c r="V17" s="396"/>
      <c r="W17" s="396"/>
      <c r="X17" s="396"/>
      <c r="Y17" s="396"/>
      <c r="Z17" s="396"/>
      <c r="AA17" s="396"/>
    </row>
    <row r="18" ht="15.75" customHeight="1">
      <c r="A18" s="424" t="s">
        <v>5</v>
      </c>
      <c r="B18" s="425">
        <f>'TAC Sector Allocations'!B6</f>
        <v>27156</v>
      </c>
      <c r="C18" s="425">
        <f>'TAC Sector Allocations'!C6</f>
        <v>2800</v>
      </c>
      <c r="D18" s="425">
        <f>'TAC Sector Allocations'!E6</f>
        <v>5</v>
      </c>
      <c r="E18" s="425">
        <f>B18-C18-D18</f>
        <v>24351</v>
      </c>
      <c r="F18" s="426" t="s">
        <v>113</v>
      </c>
      <c r="G18" s="427">
        <v>0.608</v>
      </c>
      <c r="H18" s="426">
        <v>15325.0</v>
      </c>
      <c r="I18" s="426">
        <f t="shared" ref="I18:I23" si="3">H18*2204.62</f>
        <v>33785801.5</v>
      </c>
      <c r="J18" s="426">
        <v>3.3848007E7</v>
      </c>
      <c r="K18" s="426">
        <f t="shared" ref="K18:K26" si="4">I18-J18</f>
        <v>-62205.5</v>
      </c>
      <c r="L18" s="428">
        <f t="shared" ref="L18:L26" si="5">(I18-J18)/J18</f>
        <v>-0.00183778915</v>
      </c>
      <c r="M18" s="429"/>
      <c r="N18" s="396"/>
      <c r="O18" s="396"/>
      <c r="P18" s="396"/>
      <c r="Q18" s="396"/>
      <c r="R18" s="396"/>
      <c r="S18" s="396"/>
      <c r="T18" s="396"/>
      <c r="U18" s="396"/>
      <c r="V18" s="396"/>
      <c r="W18" s="396"/>
      <c r="X18" s="396"/>
      <c r="Y18" s="396"/>
      <c r="Z18" s="396"/>
      <c r="AA18" s="396"/>
    </row>
    <row r="19" ht="15.75" customHeight="1">
      <c r="A19" s="124"/>
      <c r="B19" s="125"/>
      <c r="C19" s="125"/>
      <c r="D19" s="125"/>
      <c r="E19" s="125"/>
      <c r="F19" s="430" t="s">
        <v>115</v>
      </c>
      <c r="G19" s="431">
        <v>0.392</v>
      </c>
      <c r="H19" s="432">
        <v>9879.0</v>
      </c>
      <c r="I19" s="433">
        <f t="shared" si="3"/>
        <v>21779440.98</v>
      </c>
      <c r="J19" s="432">
        <v>2.1821538E7</v>
      </c>
      <c r="K19" s="433">
        <f t="shared" si="4"/>
        <v>-42097.02</v>
      </c>
      <c r="L19" s="434">
        <f t="shared" si="5"/>
        <v>-0.001929149999</v>
      </c>
      <c r="M19" s="429"/>
      <c r="N19" s="396" t="s">
        <v>291</v>
      </c>
      <c r="O19" s="415"/>
      <c r="P19" s="396"/>
      <c r="Q19" s="415"/>
      <c r="R19" s="396"/>
      <c r="S19" s="396"/>
      <c r="T19" s="396"/>
      <c r="U19" s="396"/>
      <c r="V19" s="396"/>
      <c r="W19" s="396"/>
      <c r="X19" s="396"/>
      <c r="Y19" s="396"/>
      <c r="Z19" s="396"/>
      <c r="AA19" s="396"/>
    </row>
    <row r="20" ht="15.75" customHeight="1">
      <c r="A20" s="424" t="s">
        <v>6</v>
      </c>
      <c r="B20" s="425">
        <f>'TAC Sector Allocations'!B9</f>
        <v>3549</v>
      </c>
      <c r="C20" s="425">
        <f>'TAC Sector Allocations'!C9</f>
        <v>300</v>
      </c>
      <c r="D20" s="425">
        <f>'TAC Sector Allocations'!E9</f>
        <v>5</v>
      </c>
      <c r="E20" s="425">
        <f>B20-C20-D20</f>
        <v>3244</v>
      </c>
      <c r="F20" s="426" t="s">
        <v>113</v>
      </c>
      <c r="G20" s="427">
        <v>0.5992</v>
      </c>
      <c r="H20" s="435">
        <v>2022.0</v>
      </c>
      <c r="I20" s="426">
        <f t="shared" si="3"/>
        <v>4457741.64</v>
      </c>
      <c r="J20" s="426">
        <v>2608991.0</v>
      </c>
      <c r="K20" s="426">
        <f t="shared" si="4"/>
        <v>1848750.64</v>
      </c>
      <c r="L20" s="428">
        <f t="shared" si="5"/>
        <v>0.7086075192</v>
      </c>
      <c r="M20" s="429"/>
      <c r="N20" s="396" t="s">
        <v>292</v>
      </c>
      <c r="O20" s="396"/>
      <c r="P20" s="396"/>
      <c r="Q20" s="396"/>
      <c r="R20" s="396"/>
      <c r="S20" s="396"/>
      <c r="T20" s="396"/>
      <c r="U20" s="396"/>
      <c r="V20" s="396"/>
      <c r="W20" s="396"/>
      <c r="X20" s="396"/>
      <c r="Y20" s="396"/>
      <c r="Z20" s="396"/>
      <c r="AA20" s="396"/>
    </row>
    <row r="21" ht="15.75" customHeight="1">
      <c r="A21" s="124"/>
      <c r="B21" s="125"/>
      <c r="C21" s="125"/>
      <c r="D21" s="125"/>
      <c r="E21" s="125"/>
      <c r="F21" s="430" t="s">
        <v>115</v>
      </c>
      <c r="G21" s="431">
        <v>0.401</v>
      </c>
      <c r="H21" s="432">
        <v>1353.0</v>
      </c>
      <c r="I21" s="433">
        <f t="shared" si="3"/>
        <v>2982850.86</v>
      </c>
      <c r="J21" s="432">
        <v>1744977.0</v>
      </c>
      <c r="K21" s="433">
        <f t="shared" si="4"/>
        <v>1237873.86</v>
      </c>
      <c r="L21" s="434">
        <f t="shared" si="5"/>
        <v>0.709392651</v>
      </c>
      <c r="M21" s="429"/>
      <c r="N21" s="396"/>
      <c r="O21" s="396"/>
      <c r="P21" s="396"/>
      <c r="Q21" s="396"/>
      <c r="R21" s="396"/>
      <c r="S21" s="396"/>
      <c r="T21" s="396"/>
      <c r="U21" s="396"/>
      <c r="V21" s="396"/>
      <c r="W21" s="396"/>
      <c r="X21" s="396"/>
      <c r="Y21" s="396"/>
      <c r="Z21" s="396"/>
      <c r="AA21" s="396"/>
    </row>
    <row r="22" ht="15.75" customHeight="1">
      <c r="A22" s="424" t="s">
        <v>8</v>
      </c>
      <c r="B22" s="425">
        <f>'TAC Sector Allocations'!B12</f>
        <v>5527</v>
      </c>
      <c r="C22" s="425">
        <f>'TAC Sector Allocations'!C12</f>
        <v>250</v>
      </c>
      <c r="D22" s="425">
        <f>'TAC Sector Allocations'!E12</f>
        <v>50</v>
      </c>
      <c r="E22" s="425">
        <f>B22-C22-D22</f>
        <v>5227</v>
      </c>
      <c r="F22" s="426" t="s">
        <v>113</v>
      </c>
      <c r="G22" s="427">
        <v>0.623</v>
      </c>
      <c r="H22" s="435">
        <v>3436.0</v>
      </c>
      <c r="I22" s="426">
        <f t="shared" si="3"/>
        <v>7575074.32</v>
      </c>
      <c r="J22" s="426">
        <v>9703624.0</v>
      </c>
      <c r="K22" s="426">
        <f t="shared" si="4"/>
        <v>-2128549.68</v>
      </c>
      <c r="L22" s="428">
        <f t="shared" si="5"/>
        <v>-0.2193561581</v>
      </c>
      <c r="M22" s="429"/>
      <c r="N22" s="396"/>
      <c r="O22" s="396"/>
      <c r="P22" s="396"/>
      <c r="Q22" s="396"/>
      <c r="R22" s="396"/>
      <c r="S22" s="396"/>
      <c r="T22" s="396"/>
      <c r="U22" s="396"/>
      <c r="V22" s="396"/>
      <c r="W22" s="396"/>
      <c r="X22" s="396"/>
      <c r="Y22" s="396"/>
      <c r="Z22" s="396"/>
      <c r="AA22" s="396"/>
    </row>
    <row r="23" ht="15.75" customHeight="1">
      <c r="A23" s="124"/>
      <c r="B23" s="125"/>
      <c r="C23" s="125"/>
      <c r="D23" s="125"/>
      <c r="E23" s="125"/>
      <c r="F23" s="430" t="s">
        <v>115</v>
      </c>
      <c r="G23" s="431">
        <v>0.377</v>
      </c>
      <c r="H23" s="432">
        <v>2082.0</v>
      </c>
      <c r="I23" s="433">
        <f t="shared" si="3"/>
        <v>4590018.84</v>
      </c>
      <c r="J23" s="432">
        <v>5875965.0</v>
      </c>
      <c r="K23" s="433">
        <f t="shared" si="4"/>
        <v>-1285946.16</v>
      </c>
      <c r="L23" s="434">
        <f t="shared" si="5"/>
        <v>-0.2188485057</v>
      </c>
      <c r="M23" s="429"/>
      <c r="N23" s="396"/>
      <c r="O23" s="396"/>
      <c r="P23" s="396"/>
      <c r="Q23" s="396"/>
      <c r="R23" s="396"/>
      <c r="S23" s="396"/>
      <c r="T23" s="396"/>
      <c r="U23" s="396"/>
      <c r="V23" s="396"/>
      <c r="W23" s="396"/>
      <c r="X23" s="396"/>
      <c r="Y23" s="396"/>
      <c r="Z23" s="396"/>
      <c r="AA23" s="396"/>
    </row>
    <row r="24" ht="15.75" customHeight="1">
      <c r="A24" s="424" t="s">
        <v>293</v>
      </c>
      <c r="B24" s="436">
        <f t="shared" ref="B24:E24" si="6">SUM(B18:B23)</f>
        <v>36232</v>
      </c>
      <c r="C24" s="436">
        <f t="shared" si="6"/>
        <v>3350</v>
      </c>
      <c r="D24" s="436">
        <f t="shared" si="6"/>
        <v>60</v>
      </c>
      <c r="E24" s="436">
        <f t="shared" si="6"/>
        <v>32822</v>
      </c>
      <c r="F24" s="437" t="s">
        <v>113</v>
      </c>
      <c r="G24" s="427">
        <v>0.608</v>
      </c>
      <c r="H24" s="426">
        <v>20742.0</v>
      </c>
      <c r="I24" s="426">
        <f t="shared" ref="I24:I25" si="7">SUM(I18,I20,I22)</f>
        <v>45818617.46</v>
      </c>
      <c r="J24" s="426">
        <v>4.5965304E7</v>
      </c>
      <c r="K24" s="426">
        <f t="shared" si="4"/>
        <v>-146686.54</v>
      </c>
      <c r="L24" s="428">
        <f t="shared" si="5"/>
        <v>-0.003191244857</v>
      </c>
      <c r="M24" s="429"/>
      <c r="N24" s="396"/>
      <c r="O24" s="414"/>
      <c r="P24" s="396"/>
      <c r="Q24" s="396"/>
      <c r="R24" s="396"/>
      <c r="S24" s="396"/>
      <c r="T24" s="396"/>
      <c r="U24" s="396"/>
      <c r="V24" s="396"/>
      <c r="W24" s="396"/>
      <c r="X24" s="396"/>
      <c r="Y24" s="396"/>
      <c r="Z24" s="396"/>
      <c r="AA24" s="396"/>
    </row>
    <row r="25" ht="15.75" customHeight="1">
      <c r="A25" s="124"/>
      <c r="B25" s="125"/>
      <c r="C25" s="125"/>
      <c r="D25" s="125"/>
      <c r="E25" s="125"/>
      <c r="F25" s="430" t="s">
        <v>115</v>
      </c>
      <c r="G25" s="431">
        <v>0.392</v>
      </c>
      <c r="H25" s="432">
        <v>13355.0</v>
      </c>
      <c r="I25" s="433">
        <f t="shared" si="7"/>
        <v>29352310.68</v>
      </c>
      <c r="J25" s="432">
        <v>2.944248E7</v>
      </c>
      <c r="K25" s="433">
        <f t="shared" si="4"/>
        <v>-90169.32</v>
      </c>
      <c r="L25" s="434">
        <f t="shared" si="5"/>
        <v>-0.003062558589</v>
      </c>
      <c r="M25" s="429"/>
      <c r="N25" s="396"/>
      <c r="O25" s="414"/>
      <c r="P25" s="396"/>
      <c r="Q25" s="396"/>
      <c r="R25" s="396"/>
      <c r="S25" s="396"/>
      <c r="T25" s="396"/>
      <c r="U25" s="396"/>
      <c r="V25" s="396"/>
      <c r="W25" s="396"/>
      <c r="X25" s="396"/>
      <c r="Y25" s="396"/>
      <c r="Z25" s="396"/>
      <c r="AA25" s="396"/>
    </row>
    <row r="26" ht="15.75" customHeight="1">
      <c r="A26" s="438" t="s">
        <v>294</v>
      </c>
      <c r="B26" s="156"/>
      <c r="C26" s="156"/>
      <c r="D26" s="156"/>
      <c r="E26" s="156"/>
      <c r="F26" s="156"/>
      <c r="G26" s="439"/>
      <c r="H26" s="440">
        <f>SUM(H24:H25)</f>
        <v>34097</v>
      </c>
      <c r="I26" s="440">
        <f>H26*2204.62</f>
        <v>75170928.14</v>
      </c>
      <c r="J26" s="440">
        <v>7.5407784E7</v>
      </c>
      <c r="K26" s="440">
        <f t="shared" si="4"/>
        <v>-236855.86</v>
      </c>
      <c r="L26" s="441">
        <f t="shared" si="5"/>
        <v>-0.003141000139</v>
      </c>
      <c r="M26" s="429"/>
      <c r="N26" s="396"/>
      <c r="O26" s="414"/>
      <c r="P26" s="396"/>
      <c r="Q26" s="396"/>
      <c r="R26" s="396"/>
      <c r="S26" s="396"/>
      <c r="T26" s="396"/>
      <c r="U26" s="396"/>
      <c r="V26" s="396"/>
      <c r="W26" s="396"/>
      <c r="X26" s="396"/>
      <c r="Y26" s="396"/>
      <c r="Z26" s="396"/>
      <c r="AA26" s="396"/>
    </row>
    <row r="27" ht="11.25" customHeight="1">
      <c r="A27" s="442"/>
      <c r="B27" s="442"/>
      <c r="C27" s="443"/>
      <c r="D27" s="444"/>
      <c r="E27" s="444"/>
      <c r="F27" s="444"/>
      <c r="G27" s="445"/>
      <c r="H27" s="435"/>
      <c r="I27" s="435"/>
      <c r="J27" s="435"/>
      <c r="K27" s="435"/>
      <c r="L27" s="446"/>
      <c r="M27" s="415"/>
      <c r="N27" s="396"/>
      <c r="O27" s="414"/>
      <c r="P27" s="396"/>
      <c r="Q27" s="396"/>
      <c r="R27" s="396"/>
      <c r="S27" s="396"/>
      <c r="T27" s="396"/>
      <c r="U27" s="396"/>
      <c r="V27" s="396"/>
      <c r="W27" s="396"/>
      <c r="X27" s="396"/>
      <c r="Y27" s="396"/>
      <c r="Z27" s="396"/>
      <c r="AA27" s="396"/>
    </row>
    <row r="28" ht="33.0" customHeight="1">
      <c r="A28" s="418" t="s">
        <v>100</v>
      </c>
      <c r="B28" s="418" t="s">
        <v>123</v>
      </c>
      <c r="C28" s="419" t="s">
        <v>106</v>
      </c>
      <c r="D28" s="419" t="s">
        <v>285</v>
      </c>
      <c r="E28" s="419" t="s">
        <v>286</v>
      </c>
      <c r="F28" s="419" t="s">
        <v>287</v>
      </c>
      <c r="G28" s="419" t="s">
        <v>288</v>
      </c>
      <c r="H28" s="419" t="s">
        <v>289</v>
      </c>
      <c r="I28" s="419" t="s">
        <v>290</v>
      </c>
      <c r="J28" s="447"/>
      <c r="K28" s="435"/>
      <c r="L28" s="446"/>
      <c r="M28" s="415"/>
      <c r="N28" s="396"/>
      <c r="O28" s="414"/>
      <c r="P28" s="396"/>
      <c r="Q28" s="396"/>
      <c r="R28" s="396"/>
      <c r="S28" s="396"/>
      <c r="T28" s="396"/>
      <c r="U28" s="396"/>
      <c r="V28" s="396"/>
      <c r="W28" s="396"/>
      <c r="X28" s="396"/>
      <c r="Y28" s="396"/>
      <c r="Z28" s="396"/>
      <c r="AA28" s="396"/>
    </row>
    <row r="29" ht="15.75" customHeight="1">
      <c r="A29" s="448" t="s">
        <v>125</v>
      </c>
      <c r="B29" s="449">
        <f>'TAC Sector Allocations'!B22</f>
        <v>14447.25</v>
      </c>
      <c r="C29" s="450" t="s">
        <v>126</v>
      </c>
      <c r="D29" s="451">
        <v>0.0381</v>
      </c>
      <c r="E29" s="452">
        <f>15380*D29</f>
        <v>585.978</v>
      </c>
      <c r="F29" s="453">
        <f t="shared" ref="F29:F37" si="8">E29*2204.62</f>
        <v>1291858.818</v>
      </c>
      <c r="G29" s="454">
        <v>1297067.0</v>
      </c>
      <c r="H29" s="455">
        <f t="shared" ref="H29:H37" si="9">F29-G29</f>
        <v>-5208.18164</v>
      </c>
      <c r="I29" s="456">
        <f t="shared" ref="I29:I37" si="10">(F29-G29)/G29</f>
        <v>-0.004015352823</v>
      </c>
      <c r="J29" s="447"/>
      <c r="K29" s="457" t="s">
        <v>295</v>
      </c>
      <c r="N29" s="396"/>
      <c r="O29" s="414"/>
      <c r="P29" s="396"/>
      <c r="Q29" s="396"/>
      <c r="R29" s="396"/>
      <c r="S29" s="396"/>
      <c r="T29" s="396"/>
      <c r="U29" s="396"/>
      <c r="V29" s="396"/>
      <c r="W29" s="396"/>
      <c r="X29" s="396"/>
      <c r="Y29" s="396"/>
      <c r="Z29" s="396"/>
      <c r="AA29" s="396"/>
    </row>
    <row r="30" ht="15.75" customHeight="1">
      <c r="A30" s="424" t="s">
        <v>83</v>
      </c>
      <c r="B30" s="458">
        <f>'TAC Sector Allocations'!B23</f>
        <v>5527</v>
      </c>
      <c r="C30" s="459" t="s">
        <v>113</v>
      </c>
      <c r="D30" s="460">
        <v>0.0678</v>
      </c>
      <c r="E30" s="452">
        <f t="shared" ref="E30:E31" si="11">9744*D30</f>
        <v>660.6432</v>
      </c>
      <c r="F30" s="461">
        <f t="shared" si="8"/>
        <v>1456467.212</v>
      </c>
      <c r="G30" s="461">
        <v>1442566.0</v>
      </c>
      <c r="H30" s="462">
        <f t="shared" si="9"/>
        <v>13901.21158</v>
      </c>
      <c r="I30" s="463">
        <f t="shared" si="10"/>
        <v>0.009636447541</v>
      </c>
      <c r="J30" s="447"/>
      <c r="N30" s="396"/>
      <c r="O30" s="396"/>
      <c r="P30" s="396"/>
      <c r="Q30" s="396"/>
      <c r="R30" s="396"/>
      <c r="S30" s="396"/>
      <c r="T30" s="396"/>
      <c r="U30" s="396"/>
      <c r="V30" s="396"/>
      <c r="W30" s="396"/>
      <c r="X30" s="396"/>
      <c r="Y30" s="396"/>
      <c r="Z30" s="396"/>
      <c r="AA30" s="396"/>
    </row>
    <row r="31" ht="15.75" customHeight="1">
      <c r="A31" s="124"/>
      <c r="B31" s="464"/>
      <c r="C31" s="465" t="s">
        <v>115</v>
      </c>
      <c r="D31" s="466">
        <v>0.0351</v>
      </c>
      <c r="E31" s="452">
        <f t="shared" si="11"/>
        <v>342.0144</v>
      </c>
      <c r="F31" s="409">
        <f t="shared" si="8"/>
        <v>754011.7865</v>
      </c>
      <c r="G31" s="467">
        <v>746815.0</v>
      </c>
      <c r="H31" s="433">
        <f t="shared" si="9"/>
        <v>7196.786528</v>
      </c>
      <c r="I31" s="468">
        <f t="shared" si="10"/>
        <v>0.009636638964</v>
      </c>
      <c r="J31" s="435"/>
      <c r="N31" s="396"/>
      <c r="O31" s="396"/>
      <c r="P31" s="396"/>
      <c r="Q31" s="396"/>
      <c r="R31" s="396"/>
      <c r="S31" s="396"/>
      <c r="T31" s="396"/>
      <c r="U31" s="396"/>
      <c r="V31" s="396"/>
      <c r="W31" s="396"/>
      <c r="X31" s="396"/>
      <c r="Y31" s="396"/>
      <c r="Z31" s="396"/>
      <c r="AA31" s="396"/>
    </row>
    <row r="32" ht="15.75" customHeight="1">
      <c r="A32" s="448" t="s">
        <v>127</v>
      </c>
      <c r="B32" s="449">
        <f>'TAC Sector Allocations'!B26</f>
        <v>189</v>
      </c>
      <c r="C32" s="450" t="s">
        <v>128</v>
      </c>
      <c r="D32" s="451">
        <v>0.4</v>
      </c>
      <c r="E32" s="452">
        <f>189*D32</f>
        <v>75.6</v>
      </c>
      <c r="F32" s="453">
        <f t="shared" si="8"/>
        <v>166669.272</v>
      </c>
      <c r="G32" s="469">
        <v>166669.0</v>
      </c>
      <c r="H32" s="455">
        <f t="shared" si="9"/>
        <v>0.272</v>
      </c>
      <c r="I32" s="468">
        <f t="shared" si="10"/>
        <v>0.000001631977152</v>
      </c>
      <c r="J32" s="447"/>
      <c r="N32" s="396"/>
      <c r="O32" s="396"/>
      <c r="P32" s="396"/>
      <c r="Q32" s="396"/>
      <c r="R32" s="396"/>
      <c r="S32" s="396"/>
      <c r="T32" s="396"/>
      <c r="U32" s="396"/>
      <c r="V32" s="396"/>
      <c r="W32" s="396"/>
      <c r="X32" s="396"/>
      <c r="Y32" s="396"/>
      <c r="Z32" s="396"/>
      <c r="AA32" s="396"/>
    </row>
    <row r="33" ht="15.75" customHeight="1">
      <c r="A33" s="448" t="s">
        <v>129</v>
      </c>
      <c r="B33" s="449">
        <f>'TAC Sector Allocations'!B27</f>
        <v>366</v>
      </c>
      <c r="C33" s="450" t="s">
        <v>128</v>
      </c>
      <c r="D33" s="451">
        <v>0.5887</v>
      </c>
      <c r="E33" s="452">
        <f>359*D33</f>
        <v>211.3433</v>
      </c>
      <c r="F33" s="453">
        <f t="shared" si="8"/>
        <v>465931.666</v>
      </c>
      <c r="G33" s="470">
        <v>406622.0</v>
      </c>
      <c r="H33" s="455">
        <f t="shared" si="9"/>
        <v>59309.66605</v>
      </c>
      <c r="I33" s="456">
        <f t="shared" si="10"/>
        <v>0.1458594617</v>
      </c>
      <c r="J33" s="447"/>
      <c r="N33" s="396"/>
      <c r="O33" s="396"/>
      <c r="P33" s="396"/>
      <c r="Q33" s="396"/>
      <c r="R33" s="396"/>
      <c r="S33" s="396"/>
      <c r="T33" s="396"/>
      <c r="U33" s="396"/>
      <c r="V33" s="396"/>
      <c r="W33" s="396"/>
      <c r="X33" s="396"/>
      <c r="Y33" s="396"/>
      <c r="Z33" s="396"/>
      <c r="AA33" s="396"/>
    </row>
    <row r="34" ht="15.75" customHeight="1">
      <c r="A34" s="424" t="s">
        <v>130</v>
      </c>
      <c r="B34" s="458">
        <f>'TAC Sector Allocations'!B28</f>
        <v>590</v>
      </c>
      <c r="C34" s="459" t="s">
        <v>113</v>
      </c>
      <c r="D34" s="460">
        <v>0.0784</v>
      </c>
      <c r="E34" s="452">
        <f t="shared" ref="E34:E35" si="12">590*D34</f>
        <v>46.256</v>
      </c>
      <c r="F34" s="454">
        <f t="shared" si="8"/>
        <v>101976.9027</v>
      </c>
      <c r="G34" s="454">
        <v>119780.0</v>
      </c>
      <c r="H34" s="462">
        <f t="shared" si="9"/>
        <v>-17803.09728</v>
      </c>
      <c r="I34" s="463">
        <f t="shared" si="10"/>
        <v>-0.1486316353</v>
      </c>
      <c r="J34" s="447"/>
      <c r="N34" s="396"/>
      <c r="O34" s="396"/>
      <c r="P34" s="396"/>
      <c r="Q34" s="396"/>
      <c r="R34" s="396"/>
      <c r="S34" s="396"/>
      <c r="T34" s="396"/>
      <c r="U34" s="396"/>
      <c r="V34" s="396"/>
      <c r="W34" s="396"/>
      <c r="X34" s="396"/>
      <c r="Y34" s="396"/>
      <c r="Z34" s="396"/>
      <c r="AA34" s="396"/>
    </row>
    <row r="35" ht="15.75" customHeight="1">
      <c r="A35" s="124"/>
      <c r="B35" s="464"/>
      <c r="C35" s="465" t="s">
        <v>115</v>
      </c>
      <c r="D35" s="466">
        <v>0.265</v>
      </c>
      <c r="E35" s="452">
        <f t="shared" si="12"/>
        <v>156.35</v>
      </c>
      <c r="F35" s="471">
        <f t="shared" si="8"/>
        <v>344692.337</v>
      </c>
      <c r="G35" s="469">
        <v>404867.0</v>
      </c>
      <c r="H35" s="472">
        <f t="shared" si="9"/>
        <v>-60174.663</v>
      </c>
      <c r="I35" s="468">
        <f t="shared" si="10"/>
        <v>-0.1486282236</v>
      </c>
      <c r="J35" s="447"/>
      <c r="K35" s="435"/>
      <c r="L35" s="446"/>
      <c r="M35" s="415"/>
      <c r="N35" s="396"/>
      <c r="O35" s="396"/>
      <c r="P35" s="396"/>
      <c r="Q35" s="396"/>
      <c r="R35" s="396"/>
      <c r="S35" s="396"/>
      <c r="T35" s="396"/>
      <c r="U35" s="396"/>
      <c r="V35" s="396"/>
      <c r="W35" s="396"/>
      <c r="X35" s="396"/>
      <c r="Y35" s="396"/>
      <c r="Z35" s="396"/>
      <c r="AA35" s="396"/>
    </row>
    <row r="36" ht="15.75" customHeight="1">
      <c r="A36" s="424" t="s">
        <v>86</v>
      </c>
      <c r="B36" s="473">
        <f>'TAC Sector Allocations'!B37</f>
        <v>134.1</v>
      </c>
      <c r="C36" s="459" t="s">
        <v>113</v>
      </c>
      <c r="D36" s="474">
        <v>0.875</v>
      </c>
      <c r="E36" s="452">
        <f>134.1*D36</f>
        <v>117.3375</v>
      </c>
      <c r="F36" s="454">
        <f t="shared" si="8"/>
        <v>258684.5993</v>
      </c>
      <c r="G36" s="454">
        <v>258685.0</v>
      </c>
      <c r="H36" s="462">
        <f t="shared" si="9"/>
        <v>-0.40075</v>
      </c>
      <c r="I36" s="463">
        <f t="shared" si="10"/>
        <v>-0.000001549181437</v>
      </c>
      <c r="J36" s="447"/>
      <c r="K36" s="435"/>
      <c r="L36" s="446"/>
      <c r="M36" s="415"/>
      <c r="N36" s="396"/>
      <c r="O36" s="396"/>
      <c r="P36" s="396"/>
      <c r="Q36" s="396"/>
      <c r="R36" s="396"/>
      <c r="S36" s="396"/>
      <c r="T36" s="396"/>
      <c r="U36" s="396"/>
      <c r="V36" s="396"/>
      <c r="W36" s="396"/>
      <c r="X36" s="396"/>
      <c r="Y36" s="396"/>
      <c r="Z36" s="396"/>
      <c r="AA36" s="396"/>
    </row>
    <row r="37" ht="15.75" customHeight="1">
      <c r="A37" s="124"/>
      <c r="B37" s="475">
        <f>'TAC Sector Allocations'!B38</f>
        <v>84.7</v>
      </c>
      <c r="C37" s="465" t="s">
        <v>115</v>
      </c>
      <c r="D37" s="476">
        <v>0.875</v>
      </c>
      <c r="E37" s="452">
        <f>84.7*D37</f>
        <v>74.1125</v>
      </c>
      <c r="F37" s="471">
        <f t="shared" si="8"/>
        <v>163389.8998</v>
      </c>
      <c r="G37" s="471">
        <v>163390.0</v>
      </c>
      <c r="H37" s="472">
        <f t="shared" si="9"/>
        <v>-0.10025</v>
      </c>
      <c r="I37" s="468">
        <f t="shared" si="10"/>
        <v>-0.0000006135626416</v>
      </c>
      <c r="J37" s="447"/>
      <c r="K37" s="435"/>
      <c r="L37" s="446"/>
      <c r="M37" s="415"/>
      <c r="N37" s="396"/>
      <c r="O37" s="396"/>
      <c r="P37" s="396"/>
      <c r="Q37" s="396"/>
      <c r="R37" s="396"/>
      <c r="S37" s="396"/>
      <c r="T37" s="396"/>
      <c r="U37" s="396"/>
      <c r="V37" s="396"/>
      <c r="W37" s="396"/>
      <c r="X37" s="396"/>
      <c r="Y37" s="396"/>
      <c r="Z37" s="396"/>
      <c r="AA37" s="396"/>
    </row>
    <row r="38" ht="15.75" customHeight="1">
      <c r="A38" s="396"/>
      <c r="B38" s="396"/>
      <c r="C38" s="396"/>
      <c r="D38" s="396"/>
      <c r="E38" s="396"/>
      <c r="F38" s="396"/>
      <c r="G38" s="396"/>
      <c r="H38" s="396"/>
      <c r="I38" s="397"/>
      <c r="J38" s="397"/>
      <c r="K38" s="397"/>
      <c r="L38" s="397"/>
      <c r="M38" s="397"/>
      <c r="N38" s="396"/>
      <c r="O38" s="396"/>
      <c r="P38" s="396"/>
      <c r="Q38" s="396"/>
      <c r="R38" s="396"/>
      <c r="S38" s="396"/>
      <c r="T38" s="396"/>
      <c r="U38" s="396"/>
      <c r="V38" s="396"/>
      <c r="W38" s="396"/>
      <c r="X38" s="396"/>
      <c r="Y38" s="396"/>
      <c r="Z38" s="396"/>
      <c r="AA38" s="396"/>
    </row>
    <row r="39" ht="15.75" customHeight="1">
      <c r="A39" s="477" t="s">
        <v>296</v>
      </c>
      <c r="B39" s="397"/>
      <c r="C39" s="397"/>
      <c r="D39" s="397"/>
      <c r="E39" s="397"/>
      <c r="F39" s="397"/>
      <c r="G39" s="397"/>
      <c r="H39" s="397"/>
      <c r="I39" s="397"/>
      <c r="J39" s="478" t="s">
        <v>297</v>
      </c>
      <c r="O39" s="397"/>
      <c r="P39" s="397"/>
      <c r="Q39" s="397"/>
      <c r="R39" s="397"/>
      <c r="S39" s="397"/>
      <c r="T39" s="397"/>
      <c r="U39" s="397"/>
      <c r="V39" s="397"/>
      <c r="W39" s="397"/>
      <c r="X39" s="397"/>
      <c r="Y39" s="397"/>
      <c r="Z39" s="397"/>
      <c r="AA39" s="397"/>
    </row>
    <row r="40" ht="15.75" customHeight="1">
      <c r="A40" s="479" t="str">
        <f>'TAC Sector Allocations'!U4</f>
        <v>ICA's</v>
      </c>
      <c r="B40" s="479" t="str">
        <f>'TAC Sector Allocations'!V4</f>
        <v>POP</v>
      </c>
      <c r="C40" s="479" t="str">
        <f>'TAC Sector Allocations'!W4</f>
        <v>NR</v>
      </c>
      <c r="D40" s="479" t="str">
        <f>'TAC Sector Allocations'!X4</f>
        <v>Dusky</v>
      </c>
      <c r="E40" s="397"/>
      <c r="F40" s="480" t="s">
        <v>298</v>
      </c>
      <c r="O40" s="397"/>
      <c r="P40" s="397"/>
      <c r="Q40" s="397"/>
      <c r="R40" s="397"/>
      <c r="S40" s="397"/>
      <c r="T40" s="397"/>
      <c r="U40" s="397"/>
      <c r="V40" s="397"/>
      <c r="W40" s="397"/>
      <c r="X40" s="397"/>
      <c r="Y40" s="397"/>
      <c r="Z40" s="397"/>
      <c r="AA40" s="397"/>
    </row>
    <row r="41" ht="15.75" customHeight="1">
      <c r="A41" s="481">
        <f>'TAC Sector Allocations'!U5</f>
        <v>2012</v>
      </c>
      <c r="B41" s="482">
        <f>'TAC Sector Allocations'!V5</f>
        <v>900</v>
      </c>
      <c r="C41" s="482">
        <f>'TAC Sector Allocations'!W5</f>
        <v>125</v>
      </c>
      <c r="D41" s="482">
        <f>'TAC Sector Allocations'!X5</f>
        <v>125</v>
      </c>
      <c r="E41" s="397"/>
      <c r="F41" s="483" t="s">
        <v>299</v>
      </c>
      <c r="G41" s="483" t="s">
        <v>5</v>
      </c>
      <c r="H41" s="483" t="s">
        <v>174</v>
      </c>
      <c r="I41" s="483" t="s">
        <v>8</v>
      </c>
      <c r="J41" s="483" t="s">
        <v>83</v>
      </c>
      <c r="K41" s="484" t="s">
        <v>182</v>
      </c>
      <c r="L41" s="145"/>
      <c r="M41" s="483" t="s">
        <v>130</v>
      </c>
      <c r="N41" s="483" t="s">
        <v>86</v>
      </c>
      <c r="O41" s="397"/>
      <c r="P41" s="397"/>
      <c r="Q41" s="397"/>
      <c r="R41" s="397"/>
      <c r="S41" s="397"/>
      <c r="T41" s="397"/>
      <c r="U41" s="397"/>
      <c r="V41" s="397"/>
      <c r="W41" s="397"/>
      <c r="X41" s="397"/>
      <c r="Y41" s="397"/>
      <c r="Z41" s="397"/>
      <c r="AA41" s="397"/>
    </row>
    <row r="42" ht="15.75" customHeight="1">
      <c r="A42" s="481">
        <f>'TAC Sector Allocations'!U6</f>
        <v>2013</v>
      </c>
      <c r="B42" s="482">
        <f>'TAC Sector Allocations'!V6</f>
        <v>900</v>
      </c>
      <c r="C42" s="482">
        <f>'TAC Sector Allocations'!W6</f>
        <v>125</v>
      </c>
      <c r="D42" s="482">
        <f>'TAC Sector Allocations'!X6</f>
        <v>200</v>
      </c>
      <c r="E42" s="397"/>
      <c r="F42" s="483" t="s">
        <v>300</v>
      </c>
      <c r="G42" s="485">
        <f>H18</f>
        <v>15325</v>
      </c>
      <c r="H42" s="485">
        <f>H20</f>
        <v>2022</v>
      </c>
      <c r="I42" s="485">
        <f>H22</f>
        <v>3436</v>
      </c>
      <c r="J42" s="485">
        <f>E30</f>
        <v>660.6432</v>
      </c>
      <c r="K42" s="486">
        <f>E29</f>
        <v>585.978</v>
      </c>
      <c r="L42" s="145"/>
      <c r="M42" s="485">
        <f>E34</f>
        <v>46.256</v>
      </c>
      <c r="N42" s="485">
        <f>E36</f>
        <v>117.3375</v>
      </c>
      <c r="O42" s="397"/>
      <c r="P42" s="397"/>
      <c r="Q42" s="397"/>
      <c r="R42" s="397"/>
      <c r="S42" s="397"/>
      <c r="T42" s="397"/>
      <c r="U42" s="397"/>
      <c r="V42" s="397"/>
      <c r="W42" s="397"/>
      <c r="X42" s="397"/>
      <c r="Y42" s="397"/>
      <c r="Z42" s="397"/>
      <c r="AA42" s="397"/>
    </row>
    <row r="43" ht="15.75" customHeight="1">
      <c r="A43" s="481">
        <f>'TAC Sector Allocations'!U7</f>
        <v>2014</v>
      </c>
      <c r="B43" s="487">
        <f>'TAC Sector Allocations'!V7</f>
        <v>1200</v>
      </c>
      <c r="C43" s="482">
        <f>'TAC Sector Allocations'!W7</f>
        <v>200</v>
      </c>
      <c r="D43" s="482">
        <f>'TAC Sector Allocations'!X7</f>
        <v>200</v>
      </c>
      <c r="E43" s="397"/>
      <c r="F43" s="483" t="s">
        <v>301</v>
      </c>
      <c r="G43" s="485">
        <f>J18/2204.62</f>
        <v>15353.21597</v>
      </c>
      <c r="H43" s="485">
        <f>J20/2204.62</f>
        <v>1183.419818</v>
      </c>
      <c r="I43" s="485">
        <f>J22/2204.62</f>
        <v>4401.495042</v>
      </c>
      <c r="J43" s="485">
        <f>G30/2204.62</f>
        <v>654.337709</v>
      </c>
      <c r="K43" s="486">
        <f>G29/2204.62</f>
        <v>588.3403943</v>
      </c>
      <c r="L43" s="145"/>
      <c r="M43" s="485">
        <f>G34/2204.62</f>
        <v>54.33135869</v>
      </c>
      <c r="N43" s="485">
        <f>G36/2204.62</f>
        <v>117.3376818</v>
      </c>
      <c r="O43" s="397"/>
      <c r="P43" s="397"/>
      <c r="Q43" s="397"/>
      <c r="R43" s="397"/>
      <c r="S43" s="397"/>
      <c r="T43" s="397"/>
      <c r="U43" s="397"/>
      <c r="V43" s="397"/>
      <c r="W43" s="397"/>
      <c r="X43" s="397"/>
      <c r="Y43" s="397"/>
      <c r="Z43" s="397"/>
      <c r="AA43" s="397"/>
    </row>
    <row r="44" ht="15.75" customHeight="1">
      <c r="A44" s="481">
        <f>'TAC Sector Allocations'!U8</f>
        <v>2015</v>
      </c>
      <c r="B44" s="487">
        <f>'TAC Sector Allocations'!V8</f>
        <v>2000</v>
      </c>
      <c r="C44" s="482">
        <f>'TAC Sector Allocations'!W8</f>
        <v>200</v>
      </c>
      <c r="D44" s="482">
        <f>'TAC Sector Allocations'!X8</f>
        <v>250</v>
      </c>
      <c r="E44" s="397"/>
      <c r="F44" s="483" t="s">
        <v>214</v>
      </c>
      <c r="G44" s="485">
        <f t="shared" ref="G44:K44" si="13">G42-G43</f>
        <v>-28.21597373</v>
      </c>
      <c r="H44" s="485">
        <f t="shared" si="13"/>
        <v>838.5801816</v>
      </c>
      <c r="I44" s="485">
        <f t="shared" si="13"/>
        <v>-965.4950422</v>
      </c>
      <c r="J44" s="485">
        <f t="shared" si="13"/>
        <v>6.305491007</v>
      </c>
      <c r="K44" s="486">
        <f t="shared" si="13"/>
        <v>-2.362394263</v>
      </c>
      <c r="L44" s="145"/>
      <c r="M44" s="485">
        <f t="shared" ref="M44:N44" si="14">M42-M43</f>
        <v>-8.075358692</v>
      </c>
      <c r="N44" s="485">
        <f t="shared" si="14"/>
        <v>-0.0001817773585</v>
      </c>
      <c r="O44" s="397"/>
      <c r="P44" s="397"/>
      <c r="Q44" s="397"/>
      <c r="R44" s="397"/>
      <c r="S44" s="397"/>
      <c r="T44" s="397"/>
      <c r="U44" s="397"/>
      <c r="V44" s="397"/>
      <c r="W44" s="397"/>
      <c r="X44" s="397"/>
      <c r="Y44" s="397"/>
      <c r="Z44" s="397"/>
      <c r="AA44" s="397"/>
    </row>
    <row r="45" ht="15.75" customHeight="1">
      <c r="A45" s="481">
        <f>'TAC Sector Allocations'!U9</f>
        <v>2016</v>
      </c>
      <c r="B45" s="487">
        <f>'TAC Sector Allocations'!V9</f>
        <v>1500</v>
      </c>
      <c r="C45" s="482">
        <f>'TAC Sector Allocations'!W9</f>
        <v>300</v>
      </c>
      <c r="D45" s="482">
        <f>'TAC Sector Allocations'!X9</f>
        <v>250</v>
      </c>
      <c r="E45" s="397"/>
      <c r="F45" s="483" t="s">
        <v>302</v>
      </c>
      <c r="G45" s="488">
        <f>L18</f>
        <v>-0.00183778915</v>
      </c>
      <c r="H45" s="488">
        <f>L20</f>
        <v>0.7086075192</v>
      </c>
      <c r="I45" s="488">
        <f>L22</f>
        <v>-0.2193561581</v>
      </c>
      <c r="J45" s="489">
        <f>I30</f>
        <v>0.009636447541</v>
      </c>
      <c r="K45" s="490">
        <f>I29</f>
        <v>-0.004015352823</v>
      </c>
      <c r="L45" s="145"/>
      <c r="M45" s="488">
        <f>I34</f>
        <v>-0.1486316353</v>
      </c>
      <c r="N45" s="488">
        <f>I36</f>
        <v>-0.000001549181437</v>
      </c>
      <c r="O45" s="397"/>
      <c r="P45" s="397"/>
      <c r="Q45" s="397"/>
      <c r="R45" s="397"/>
      <c r="S45" s="397"/>
      <c r="T45" s="397"/>
      <c r="U45" s="397"/>
      <c r="V45" s="397"/>
      <c r="W45" s="397"/>
      <c r="X45" s="397"/>
      <c r="Y45" s="397"/>
      <c r="Z45" s="397"/>
      <c r="AA45" s="397"/>
    </row>
    <row r="46" ht="15.75" customHeight="1">
      <c r="A46" s="481">
        <f>'TAC Sector Allocations'!U10</f>
        <v>2017</v>
      </c>
      <c r="B46" s="487">
        <f>'TAC Sector Allocations'!V10</f>
        <v>2000</v>
      </c>
      <c r="C46" s="482">
        <f>'TAC Sector Allocations'!W10</f>
        <v>300</v>
      </c>
      <c r="D46" s="482">
        <f>'TAC Sector Allocations'!X10</f>
        <v>250</v>
      </c>
      <c r="E46" s="397"/>
      <c r="F46" s="491"/>
      <c r="G46" s="156"/>
      <c r="H46" s="156"/>
      <c r="I46" s="156"/>
      <c r="J46" s="156"/>
      <c r="K46" s="156"/>
      <c r="L46" s="156"/>
      <c r="M46" s="156"/>
      <c r="N46" s="145"/>
      <c r="O46" s="397"/>
      <c r="P46" s="397"/>
      <c r="Q46" s="397"/>
      <c r="R46" s="397"/>
      <c r="S46" s="397"/>
      <c r="T46" s="397"/>
      <c r="U46" s="397"/>
      <c r="V46" s="397"/>
      <c r="W46" s="397"/>
      <c r="X46" s="397"/>
      <c r="Y46" s="397"/>
      <c r="Z46" s="397"/>
      <c r="AA46" s="397"/>
    </row>
    <row r="47" ht="15.75" customHeight="1">
      <c r="A47" s="481">
        <f>'TAC Sector Allocations'!U11</f>
        <v>2018</v>
      </c>
      <c r="B47" s="487">
        <f>'TAC Sector Allocations'!V11</f>
        <v>4000</v>
      </c>
      <c r="C47" s="482">
        <f>'TAC Sector Allocations'!W11</f>
        <v>300</v>
      </c>
      <c r="D47" s="482">
        <f>'TAC Sector Allocations'!X11</f>
        <v>250</v>
      </c>
      <c r="E47" s="397"/>
      <c r="F47" s="483" t="s">
        <v>303</v>
      </c>
      <c r="G47" s="483" t="s">
        <v>5</v>
      </c>
      <c r="H47" s="483" t="s">
        <v>174</v>
      </c>
      <c r="I47" s="483" t="s">
        <v>8</v>
      </c>
      <c r="J47" s="483" t="s">
        <v>83</v>
      </c>
      <c r="K47" s="483" t="s">
        <v>127</v>
      </c>
      <c r="L47" s="483" t="s">
        <v>129</v>
      </c>
      <c r="M47" s="483" t="s">
        <v>130</v>
      </c>
      <c r="N47" s="483" t="s">
        <v>86</v>
      </c>
      <c r="O47" s="397"/>
      <c r="P47" s="397"/>
      <c r="Q47" s="397"/>
      <c r="R47" s="397"/>
      <c r="S47" s="397"/>
      <c r="T47" s="397"/>
      <c r="U47" s="397"/>
      <c r="V47" s="397"/>
      <c r="W47" s="397"/>
      <c r="X47" s="397"/>
      <c r="Y47" s="397"/>
      <c r="Z47" s="397"/>
      <c r="AA47" s="397"/>
    </row>
    <row r="48" ht="15.75" customHeight="1">
      <c r="A48" s="481">
        <f>'TAC Sector Allocations'!U12</f>
        <v>2019</v>
      </c>
      <c r="B48" s="487">
        <f>'TAC Sector Allocations'!V12</f>
        <v>3000</v>
      </c>
      <c r="C48" s="482">
        <f>'TAC Sector Allocations'!W12</f>
        <v>300</v>
      </c>
      <c r="D48" s="482">
        <f>'TAC Sector Allocations'!X12</f>
        <v>250</v>
      </c>
      <c r="E48" s="397"/>
      <c r="F48" s="483" t="s">
        <v>300</v>
      </c>
      <c r="G48" s="485">
        <f>H19</f>
        <v>9879</v>
      </c>
      <c r="H48" s="485">
        <f>H21</f>
        <v>1353</v>
      </c>
      <c r="I48" s="485">
        <f>H23</f>
        <v>2082</v>
      </c>
      <c r="J48" s="485">
        <f>E31</f>
        <v>342.0144</v>
      </c>
      <c r="K48" s="485">
        <f>E32</f>
        <v>75.6</v>
      </c>
      <c r="L48" s="485">
        <f>E33</f>
        <v>211.3433</v>
      </c>
      <c r="M48" s="485">
        <f>E35</f>
        <v>156.35</v>
      </c>
      <c r="N48" s="485">
        <f>E37</f>
        <v>74.1125</v>
      </c>
      <c r="O48" s="397"/>
      <c r="P48" s="397"/>
      <c r="Q48" s="397"/>
      <c r="R48" s="397"/>
      <c r="S48" s="397"/>
      <c r="T48" s="397"/>
      <c r="U48" s="397"/>
      <c r="V48" s="397"/>
      <c r="W48" s="397"/>
      <c r="X48" s="397"/>
      <c r="Y48" s="397"/>
      <c r="Z48" s="397"/>
      <c r="AA48" s="397"/>
    </row>
    <row r="49" ht="15.75" customHeight="1">
      <c r="A49" s="481">
        <f>'TAC Sector Allocations'!U13</f>
        <v>2020</v>
      </c>
      <c r="B49" s="487">
        <f>'TAC Sector Allocations'!V13</f>
        <v>3000</v>
      </c>
      <c r="C49" s="482">
        <f>'TAC Sector Allocations'!W13</f>
        <v>300</v>
      </c>
      <c r="D49" s="482">
        <f>'TAC Sector Allocations'!X13</f>
        <v>250</v>
      </c>
      <c r="E49" s="397"/>
      <c r="F49" s="483" t="s">
        <v>301</v>
      </c>
      <c r="G49" s="485">
        <f>J19/2204.62</f>
        <v>9898.09491</v>
      </c>
      <c r="H49" s="485">
        <f>J21/2204.62</f>
        <v>791.5091943</v>
      </c>
      <c r="I49" s="485">
        <f>J23/2204.62</f>
        <v>2665.29606</v>
      </c>
      <c r="J49" s="485">
        <f>G31/2204.62</f>
        <v>338.7499887</v>
      </c>
      <c r="K49" s="485">
        <f>G32/2204.62</f>
        <v>75.59987662</v>
      </c>
      <c r="L49" s="485">
        <f>G33/2204.62</f>
        <v>184.440856</v>
      </c>
      <c r="M49" s="485">
        <f>G35/2204.62</f>
        <v>183.6448005</v>
      </c>
      <c r="N49" s="485">
        <f>G37/2204.62</f>
        <v>74.11254547</v>
      </c>
      <c r="O49" s="397"/>
      <c r="P49" s="397"/>
      <c r="Q49" s="397"/>
      <c r="R49" s="397"/>
      <c r="S49" s="397"/>
      <c r="T49" s="397"/>
      <c r="U49" s="397"/>
      <c r="V49" s="397"/>
      <c r="W49" s="397"/>
      <c r="X49" s="397"/>
      <c r="Y49" s="397"/>
      <c r="Z49" s="397"/>
      <c r="AA49" s="397"/>
    </row>
    <row r="50" ht="15.75" customHeight="1">
      <c r="A50" s="481">
        <f>'TAC Sector Allocations'!U14</f>
        <v>2021</v>
      </c>
      <c r="B50" s="487">
        <f>'TAC Sector Allocations'!V14</f>
        <v>2500</v>
      </c>
      <c r="C50" s="482">
        <f>'TAC Sector Allocations'!W14</f>
        <v>300</v>
      </c>
      <c r="D50" s="482">
        <f>'TAC Sector Allocations'!X14</f>
        <v>250</v>
      </c>
      <c r="E50" s="397"/>
      <c r="F50" s="483" t="s">
        <v>214</v>
      </c>
      <c r="G50" s="485">
        <f t="shared" ref="G50:N50" si="15">G48-G49</f>
        <v>-19.09490978</v>
      </c>
      <c r="H50" s="485">
        <f t="shared" si="15"/>
        <v>561.4908057</v>
      </c>
      <c r="I50" s="485">
        <f t="shared" si="15"/>
        <v>-583.2960601</v>
      </c>
      <c r="J50" s="485">
        <f t="shared" si="15"/>
        <v>3.26441134</v>
      </c>
      <c r="K50" s="485">
        <f t="shared" si="15"/>
        <v>0.0001233772714</v>
      </c>
      <c r="L50" s="485">
        <f t="shared" si="15"/>
        <v>26.90244398</v>
      </c>
      <c r="M50" s="485">
        <f t="shared" si="15"/>
        <v>-27.29480046</v>
      </c>
      <c r="N50" s="485">
        <f t="shared" si="15"/>
        <v>-0.00004547268918</v>
      </c>
      <c r="O50" s="397"/>
      <c r="P50" s="397"/>
      <c r="Q50" s="397"/>
      <c r="R50" s="397"/>
      <c r="S50" s="397"/>
      <c r="T50" s="397"/>
      <c r="U50" s="397"/>
      <c r="V50" s="397"/>
      <c r="W50" s="397"/>
      <c r="X50" s="397"/>
      <c r="Y50" s="397"/>
      <c r="Z50" s="397"/>
      <c r="AA50" s="397"/>
    </row>
    <row r="51" ht="15.75" customHeight="1">
      <c r="A51" s="481">
        <f>'TAC Sector Allocations'!U15</f>
        <v>2022</v>
      </c>
      <c r="B51" s="487">
        <f>'TAC Sector Allocations'!V15</f>
        <v>2500</v>
      </c>
      <c r="C51" s="482">
        <f>'TAC Sector Allocations'!W15</f>
        <v>300</v>
      </c>
      <c r="D51" s="482">
        <f>'TAC Sector Allocations'!X15</f>
        <v>250</v>
      </c>
      <c r="E51" s="397"/>
      <c r="F51" s="483" t="s">
        <v>302</v>
      </c>
      <c r="G51" s="488">
        <f>L19</f>
        <v>-0.001929149999</v>
      </c>
      <c r="H51" s="488">
        <f>L21</f>
        <v>0.709392651</v>
      </c>
      <c r="I51" s="488">
        <f>L23</f>
        <v>-0.2188485057</v>
      </c>
      <c r="J51" s="489">
        <f>I31</f>
        <v>0.009636638964</v>
      </c>
      <c r="K51" s="488">
        <f>I32</f>
        <v>0.000001631977152</v>
      </c>
      <c r="L51" s="488">
        <f>I33</f>
        <v>0.1458594617</v>
      </c>
      <c r="M51" s="488">
        <f>I35</f>
        <v>-0.1486282236</v>
      </c>
      <c r="N51" s="488">
        <f>I37</f>
        <v>-0.0000006135626416</v>
      </c>
      <c r="O51" s="397"/>
      <c r="P51" s="397"/>
      <c r="Q51" s="397"/>
      <c r="R51" s="397"/>
      <c r="S51" s="397"/>
      <c r="T51" s="397"/>
      <c r="U51" s="397"/>
      <c r="V51" s="397"/>
      <c r="W51" s="397"/>
      <c r="X51" s="397"/>
      <c r="Y51" s="397"/>
      <c r="Z51" s="397"/>
      <c r="AA51" s="397"/>
    </row>
    <row r="52" ht="15.75" customHeight="1">
      <c r="A52" s="481">
        <f>'TAC Sector Allocations'!U16</f>
        <v>2023</v>
      </c>
      <c r="B52" s="487">
        <f>'TAC Sector Allocations'!V16</f>
        <v>3000</v>
      </c>
      <c r="C52" s="482">
        <f>'TAC Sector Allocations'!W16</f>
        <v>300</v>
      </c>
      <c r="D52" s="482">
        <f>'TAC Sector Allocations'!X16</f>
        <v>250</v>
      </c>
      <c r="E52" s="397"/>
      <c r="F52" s="397"/>
      <c r="G52" s="397"/>
      <c r="H52" s="397"/>
      <c r="I52" s="397"/>
      <c r="J52" s="397"/>
      <c r="K52" s="397"/>
      <c r="L52" s="397"/>
      <c r="M52" s="397"/>
      <c r="N52" s="397"/>
      <c r="O52" s="397"/>
      <c r="P52" s="397"/>
      <c r="Q52" s="397"/>
      <c r="R52" s="397"/>
      <c r="S52" s="397"/>
      <c r="T52" s="397"/>
      <c r="U52" s="397"/>
      <c r="V52" s="397"/>
      <c r="W52" s="397"/>
      <c r="X52" s="397"/>
      <c r="Y52" s="397"/>
      <c r="Z52" s="397"/>
      <c r="AA52" s="397"/>
    </row>
    <row r="53" ht="15.75" customHeight="1">
      <c r="A53" s="481">
        <f>'TAC Sector Allocations'!U17</f>
        <v>2024</v>
      </c>
      <c r="B53" s="487">
        <f>'TAC Sector Allocations'!V17</f>
        <v>3500</v>
      </c>
      <c r="C53" s="482">
        <f>'TAC Sector Allocations'!W17</f>
        <v>300</v>
      </c>
      <c r="D53" s="482">
        <f>'TAC Sector Allocations'!X17</f>
        <v>250</v>
      </c>
      <c r="E53" s="397"/>
      <c r="F53" s="397"/>
      <c r="G53" s="397"/>
      <c r="H53" s="397"/>
      <c r="I53" s="397"/>
      <c r="J53" s="397"/>
      <c r="K53" s="397"/>
      <c r="L53" s="397"/>
      <c r="M53" s="397"/>
      <c r="N53" s="397"/>
      <c r="O53" s="397"/>
      <c r="P53" s="397"/>
      <c r="Q53" s="397"/>
      <c r="R53" s="397"/>
      <c r="S53" s="397"/>
      <c r="T53" s="397"/>
      <c r="U53" s="397"/>
      <c r="V53" s="397"/>
      <c r="W53" s="397"/>
      <c r="X53" s="397"/>
      <c r="Y53" s="397"/>
      <c r="Z53" s="397"/>
      <c r="AA53" s="397"/>
    </row>
    <row r="54" ht="15.75" customHeight="1">
      <c r="A54" s="481">
        <f>'TAC Sector Allocations'!U18</f>
        <v>2025</v>
      </c>
      <c r="B54" s="487">
        <f>'TAC Sector Allocations'!V18</f>
        <v>3500</v>
      </c>
      <c r="C54" s="487">
        <f>'TAC Sector Allocations'!W18</f>
        <v>300</v>
      </c>
      <c r="D54" s="487">
        <f>'TAC Sector Allocations'!X18</f>
        <v>250</v>
      </c>
      <c r="E54" s="397"/>
      <c r="F54" s="397"/>
      <c r="G54" s="397"/>
      <c r="H54" s="397"/>
      <c r="I54" s="397"/>
      <c r="J54" s="397"/>
      <c r="K54" s="397"/>
      <c r="L54" s="397"/>
      <c r="M54" s="397"/>
      <c r="N54" s="397"/>
      <c r="O54" s="397"/>
      <c r="P54" s="397"/>
      <c r="Q54" s="397"/>
      <c r="R54" s="397"/>
      <c r="S54" s="397"/>
      <c r="T54" s="397"/>
      <c r="U54" s="397"/>
      <c r="V54" s="397"/>
      <c r="W54" s="397"/>
      <c r="X54" s="397"/>
      <c r="Y54" s="397"/>
      <c r="Z54" s="397"/>
      <c r="AA54" s="397"/>
    </row>
    <row r="55" ht="15.75" customHeight="1">
      <c r="A55" s="397"/>
      <c r="B55" s="397"/>
      <c r="C55" s="397"/>
      <c r="D55" s="397"/>
      <c r="E55" s="397"/>
      <c r="F55" s="397"/>
      <c r="G55" s="397"/>
      <c r="H55" s="397"/>
      <c r="I55" s="397"/>
      <c r="J55" s="397"/>
      <c r="K55" s="397"/>
      <c r="L55" s="397"/>
      <c r="M55" s="397"/>
      <c r="N55" s="397"/>
      <c r="O55" s="397"/>
      <c r="P55" s="397"/>
      <c r="Q55" s="397"/>
      <c r="R55" s="397"/>
      <c r="S55" s="397"/>
      <c r="T55" s="397"/>
      <c r="U55" s="397"/>
      <c r="V55" s="397"/>
      <c r="W55" s="397"/>
      <c r="X55" s="397"/>
      <c r="Y55" s="397"/>
      <c r="Z55" s="397"/>
      <c r="AA55" s="397"/>
    </row>
    <row r="56" ht="15.75" customHeight="1">
      <c r="A56" s="397"/>
      <c r="B56" s="397"/>
      <c r="C56" s="397"/>
      <c r="D56" s="397"/>
      <c r="E56" s="397"/>
      <c r="F56" s="397"/>
      <c r="G56" s="397"/>
      <c r="H56" s="397"/>
      <c r="I56" s="397"/>
      <c r="J56" s="397"/>
      <c r="K56" s="397"/>
      <c r="L56" s="397"/>
      <c r="M56" s="397"/>
      <c r="N56" s="397"/>
      <c r="O56" s="397"/>
      <c r="P56" s="397"/>
      <c r="Q56" s="397"/>
      <c r="R56" s="397"/>
      <c r="S56" s="397"/>
      <c r="T56" s="397"/>
      <c r="U56" s="397"/>
      <c r="V56" s="397"/>
      <c r="W56" s="397"/>
      <c r="X56" s="397"/>
      <c r="Y56" s="397"/>
      <c r="Z56" s="397"/>
      <c r="AA56" s="397"/>
    </row>
    <row r="57" ht="15.75" customHeight="1">
      <c r="A57" s="397" t="s">
        <v>304</v>
      </c>
      <c r="B57" s="397"/>
      <c r="C57" s="397"/>
      <c r="D57" s="397"/>
      <c r="E57" s="397"/>
      <c r="F57" s="397"/>
      <c r="G57" s="397"/>
      <c r="H57" s="397"/>
      <c r="I57" s="397"/>
      <c r="J57" s="397"/>
      <c r="K57" s="397"/>
      <c r="L57" s="397"/>
      <c r="M57" s="397"/>
      <c r="N57" s="397"/>
      <c r="O57" s="397"/>
      <c r="P57" s="397"/>
      <c r="Q57" s="397"/>
      <c r="R57" s="397"/>
      <c r="S57" s="397"/>
      <c r="T57" s="397"/>
      <c r="U57" s="397"/>
      <c r="V57" s="397"/>
      <c r="W57" s="397"/>
      <c r="X57" s="397"/>
      <c r="Y57" s="397"/>
      <c r="Z57" s="397"/>
      <c r="AA57" s="397"/>
    </row>
    <row r="58" ht="15.75" customHeight="1">
      <c r="A58" s="479" t="s">
        <v>305</v>
      </c>
      <c r="B58" s="479" t="s">
        <v>306</v>
      </c>
      <c r="C58" s="479" t="s">
        <v>307</v>
      </c>
      <c r="D58" s="479" t="s">
        <v>308</v>
      </c>
      <c r="E58" s="397"/>
      <c r="F58" s="397"/>
      <c r="G58" s="397"/>
      <c r="H58" s="397"/>
      <c r="I58" s="397"/>
      <c r="J58" s="397"/>
      <c r="K58" s="397"/>
      <c r="L58" s="397"/>
      <c r="M58" s="397"/>
      <c r="N58" s="397"/>
      <c r="O58" s="397"/>
      <c r="P58" s="397"/>
      <c r="Q58" s="397"/>
      <c r="R58" s="397"/>
      <c r="S58" s="397"/>
      <c r="T58" s="397"/>
      <c r="U58" s="397"/>
      <c r="V58" s="397"/>
      <c r="W58" s="397"/>
      <c r="X58" s="397"/>
      <c r="Y58" s="397"/>
      <c r="Z58" s="397"/>
      <c r="AA58" s="397"/>
    </row>
    <row r="59" ht="15.75" customHeight="1">
      <c r="A59" s="481">
        <v>2017.0</v>
      </c>
      <c r="B59" s="487">
        <v>2000.0</v>
      </c>
      <c r="C59" s="487">
        <v>4449.0</v>
      </c>
      <c r="D59" s="487">
        <f t="shared" ref="D59:D66" si="16">B59-C59</f>
        <v>-2449</v>
      </c>
      <c r="E59" s="397"/>
      <c r="F59" s="397"/>
      <c r="G59" s="397"/>
      <c r="H59" s="397"/>
      <c r="I59" s="397"/>
      <c r="J59" s="397"/>
      <c r="K59" s="397"/>
      <c r="L59" s="397"/>
      <c r="M59" s="397"/>
      <c r="N59" s="397"/>
      <c r="O59" s="397"/>
      <c r="P59" s="397"/>
      <c r="Q59" s="397"/>
      <c r="R59" s="397"/>
      <c r="S59" s="397"/>
      <c r="T59" s="397"/>
      <c r="U59" s="397"/>
      <c r="V59" s="397"/>
      <c r="W59" s="397"/>
      <c r="X59" s="397"/>
      <c r="Y59" s="397"/>
      <c r="Z59" s="397"/>
      <c r="AA59" s="397"/>
    </row>
    <row r="60" ht="15.75" customHeight="1">
      <c r="A60" s="481">
        <v>2018.0</v>
      </c>
      <c r="B60" s="487">
        <v>4000.0</v>
      </c>
      <c r="C60" s="487">
        <v>2338.0</v>
      </c>
      <c r="D60" s="487">
        <f t="shared" si="16"/>
        <v>1662</v>
      </c>
      <c r="E60" s="397"/>
      <c r="F60" s="397"/>
      <c r="G60" s="397"/>
      <c r="H60" s="397"/>
      <c r="I60" s="397"/>
      <c r="J60" s="397"/>
      <c r="K60" s="397"/>
      <c r="L60" s="397"/>
      <c r="M60" s="397"/>
      <c r="N60" s="397"/>
      <c r="O60" s="397"/>
      <c r="P60" s="397"/>
      <c r="Q60" s="397"/>
      <c r="R60" s="397"/>
      <c r="S60" s="397"/>
      <c r="T60" s="397"/>
      <c r="U60" s="397"/>
      <c r="V60" s="397"/>
      <c r="W60" s="397"/>
      <c r="X60" s="397"/>
      <c r="Y60" s="397"/>
      <c r="Z60" s="397"/>
      <c r="AA60" s="397"/>
    </row>
    <row r="61" ht="15.75" customHeight="1">
      <c r="A61" s="481">
        <v>2019.0</v>
      </c>
      <c r="B61" s="487">
        <v>3000.0</v>
      </c>
      <c r="C61" s="487">
        <v>2536.0</v>
      </c>
      <c r="D61" s="487">
        <f t="shared" si="16"/>
        <v>464</v>
      </c>
      <c r="E61" s="397"/>
      <c r="F61" s="397"/>
      <c r="G61" s="397"/>
      <c r="H61" s="397"/>
      <c r="I61" s="397"/>
      <c r="J61" s="397"/>
      <c r="K61" s="397"/>
      <c r="L61" s="397"/>
      <c r="M61" s="397"/>
      <c r="N61" s="397"/>
      <c r="O61" s="397"/>
      <c r="P61" s="397"/>
      <c r="Q61" s="397"/>
      <c r="R61" s="397"/>
      <c r="S61" s="397"/>
      <c r="T61" s="397"/>
      <c r="U61" s="397"/>
      <c r="V61" s="397"/>
      <c r="W61" s="397"/>
      <c r="X61" s="397"/>
      <c r="Y61" s="397"/>
      <c r="Z61" s="397"/>
      <c r="AA61" s="397"/>
    </row>
    <row r="62" ht="15.75" customHeight="1">
      <c r="A62" s="481">
        <v>2020.0</v>
      </c>
      <c r="B62" s="487">
        <v>3000.0</v>
      </c>
      <c r="C62" s="487">
        <v>2093.0</v>
      </c>
      <c r="D62" s="487">
        <f t="shared" si="16"/>
        <v>907</v>
      </c>
      <c r="E62" s="397"/>
      <c r="F62" s="397"/>
      <c r="G62" s="397"/>
      <c r="H62" s="397"/>
      <c r="I62" s="397"/>
      <c r="J62" s="397"/>
      <c r="K62" s="397"/>
      <c r="L62" s="397"/>
      <c r="M62" s="397"/>
      <c r="N62" s="397"/>
      <c r="O62" s="397"/>
      <c r="P62" s="397"/>
      <c r="Q62" s="397"/>
      <c r="R62" s="397"/>
      <c r="S62" s="397"/>
      <c r="T62" s="397"/>
      <c r="U62" s="397"/>
      <c r="V62" s="397"/>
      <c r="W62" s="397"/>
      <c r="X62" s="397"/>
      <c r="Y62" s="397"/>
      <c r="Z62" s="397"/>
      <c r="AA62" s="397"/>
    </row>
    <row r="63" ht="15.75" customHeight="1">
      <c r="A63" s="481">
        <v>2021.0</v>
      </c>
      <c r="B63" s="487">
        <v>2500.0</v>
      </c>
      <c r="C63" s="487">
        <v>1297.0</v>
      </c>
      <c r="D63" s="487">
        <f t="shared" si="16"/>
        <v>1203</v>
      </c>
      <c r="E63" s="397"/>
      <c r="F63" s="397"/>
      <c r="G63" s="397"/>
      <c r="H63" s="397"/>
      <c r="I63" s="397"/>
      <c r="J63" s="397"/>
      <c r="K63" s="397"/>
      <c r="L63" s="397"/>
      <c r="M63" s="397"/>
      <c r="N63" s="397"/>
      <c r="O63" s="397"/>
      <c r="P63" s="397"/>
      <c r="Q63" s="397"/>
      <c r="R63" s="397"/>
      <c r="S63" s="397"/>
      <c r="T63" s="397"/>
      <c r="U63" s="397"/>
      <c r="V63" s="397"/>
      <c r="W63" s="397"/>
      <c r="X63" s="397"/>
      <c r="Y63" s="397"/>
      <c r="Z63" s="397"/>
      <c r="AA63" s="397"/>
    </row>
    <row r="64" ht="15.75" customHeight="1">
      <c r="A64" s="481">
        <v>2022.0</v>
      </c>
      <c r="B64" s="487">
        <v>2500.0</v>
      </c>
      <c r="C64" s="487">
        <v>2823.0</v>
      </c>
      <c r="D64" s="487">
        <f t="shared" si="16"/>
        <v>-323</v>
      </c>
      <c r="E64" s="397"/>
      <c r="F64" s="397"/>
      <c r="G64" s="397"/>
      <c r="H64" s="397"/>
      <c r="I64" s="397"/>
      <c r="J64" s="397"/>
      <c r="K64" s="397"/>
      <c r="L64" s="397"/>
      <c r="M64" s="397"/>
      <c r="N64" s="397"/>
      <c r="O64" s="397"/>
      <c r="P64" s="397"/>
      <c r="Q64" s="397"/>
      <c r="R64" s="397"/>
      <c r="S64" s="397"/>
      <c r="T64" s="397"/>
      <c r="U64" s="397"/>
      <c r="V64" s="397"/>
      <c r="W64" s="397"/>
      <c r="X64" s="397"/>
      <c r="Y64" s="397"/>
      <c r="Z64" s="397"/>
      <c r="AA64" s="397"/>
    </row>
    <row r="65" ht="15.75" customHeight="1">
      <c r="A65" s="481">
        <v>2023.0</v>
      </c>
      <c r="B65" s="487">
        <v>3000.0</v>
      </c>
      <c r="C65" s="487">
        <v>2626.0</v>
      </c>
      <c r="D65" s="487">
        <f t="shared" si="16"/>
        <v>374</v>
      </c>
      <c r="E65" s="397"/>
      <c r="F65" s="397"/>
      <c r="G65" s="397"/>
      <c r="H65" s="397"/>
      <c r="I65" s="397"/>
      <c r="J65" s="397"/>
      <c r="K65" s="397"/>
      <c r="L65" s="397"/>
      <c r="M65" s="397"/>
      <c r="N65" s="397"/>
      <c r="O65" s="397"/>
      <c r="P65" s="397"/>
      <c r="Q65" s="397"/>
      <c r="R65" s="397"/>
      <c r="S65" s="397"/>
      <c r="T65" s="397"/>
      <c r="U65" s="397"/>
      <c r="V65" s="397"/>
      <c r="W65" s="397"/>
      <c r="X65" s="397"/>
      <c r="Y65" s="397"/>
      <c r="Z65" s="397"/>
      <c r="AA65" s="397"/>
    </row>
    <row r="66" ht="15.75" customHeight="1">
      <c r="A66" s="481">
        <v>2024.0</v>
      </c>
      <c r="B66" s="487">
        <v>3500.0</v>
      </c>
      <c r="C66" s="487">
        <v>160.0</v>
      </c>
      <c r="D66" s="487">
        <f t="shared" si="16"/>
        <v>3340</v>
      </c>
      <c r="E66" s="492">
        <f>C66/B66</f>
        <v>0.04571428571</v>
      </c>
      <c r="F66" s="397"/>
      <c r="G66" s="397"/>
      <c r="H66" s="397"/>
      <c r="I66" s="397"/>
      <c r="J66" s="397"/>
      <c r="K66" s="397"/>
      <c r="L66" s="397"/>
      <c r="M66" s="397"/>
      <c r="N66" s="397"/>
      <c r="O66" s="397"/>
      <c r="P66" s="397"/>
      <c r="Q66" s="397"/>
      <c r="R66" s="397"/>
      <c r="S66" s="397"/>
      <c r="T66" s="397"/>
      <c r="U66" s="397"/>
      <c r="V66" s="397"/>
      <c r="W66" s="397"/>
      <c r="X66" s="397"/>
      <c r="Y66" s="397"/>
      <c r="Z66" s="397"/>
      <c r="AA66" s="397"/>
    </row>
    <row r="67" ht="15.75" customHeight="1">
      <c r="A67" s="481">
        <v>2025.0</v>
      </c>
      <c r="B67" s="487">
        <v>3500.0</v>
      </c>
      <c r="C67" s="487" t="s">
        <v>309</v>
      </c>
      <c r="D67" s="487" t="s">
        <v>309</v>
      </c>
      <c r="E67" s="492"/>
      <c r="F67" s="397"/>
      <c r="G67" s="397"/>
      <c r="H67" s="397"/>
      <c r="I67" s="397"/>
      <c r="J67" s="397"/>
      <c r="K67" s="397"/>
      <c r="L67" s="397"/>
      <c r="M67" s="397"/>
      <c r="N67" s="397"/>
      <c r="O67" s="397"/>
      <c r="P67" s="397"/>
      <c r="Q67" s="397"/>
      <c r="R67" s="397"/>
      <c r="S67" s="397"/>
      <c r="T67" s="397"/>
      <c r="U67" s="397"/>
      <c r="V67" s="397"/>
      <c r="W67" s="397"/>
      <c r="X67" s="397"/>
      <c r="Y67" s="397"/>
      <c r="Z67" s="397"/>
      <c r="AA67" s="397"/>
    </row>
    <row r="68" ht="15.75" customHeight="1">
      <c r="A68" s="481" t="s">
        <v>310</v>
      </c>
      <c r="B68" s="493">
        <f t="shared" ref="B68:D68" si="17">AVERAGE(B59:B66)</f>
        <v>2937.5</v>
      </c>
      <c r="C68" s="493">
        <f t="shared" si="17"/>
        <v>2290.25</v>
      </c>
      <c r="D68" s="493">
        <f t="shared" si="17"/>
        <v>647.25</v>
      </c>
      <c r="E68" s="397"/>
      <c r="F68" s="397"/>
      <c r="G68" s="397"/>
      <c r="H68" s="397"/>
      <c r="I68" s="397"/>
      <c r="J68" s="397"/>
      <c r="K68" s="397"/>
      <c r="L68" s="397"/>
      <c r="M68" s="397"/>
      <c r="N68" s="397"/>
      <c r="O68" s="397"/>
      <c r="P68" s="397"/>
      <c r="Q68" s="397"/>
      <c r="R68" s="397"/>
      <c r="S68" s="397"/>
      <c r="T68" s="397"/>
      <c r="U68" s="397"/>
      <c r="V68" s="397"/>
      <c r="W68" s="397"/>
      <c r="X68" s="397"/>
      <c r="Y68" s="397"/>
      <c r="Z68" s="397"/>
      <c r="AA68" s="397"/>
    </row>
    <row r="69" ht="15.75" customHeight="1">
      <c r="A69" s="397"/>
      <c r="B69" s="397"/>
      <c r="C69" s="397"/>
      <c r="D69" s="397"/>
      <c r="E69" s="397"/>
      <c r="F69" s="397"/>
      <c r="G69" s="397"/>
      <c r="H69" s="397"/>
      <c r="I69" s="397"/>
      <c r="J69" s="397"/>
      <c r="K69" s="397"/>
      <c r="L69" s="397"/>
      <c r="M69" s="397"/>
      <c r="N69" s="397"/>
      <c r="O69" s="397"/>
      <c r="P69" s="397"/>
      <c r="Q69" s="397"/>
      <c r="R69" s="397"/>
      <c r="S69" s="397"/>
      <c r="T69" s="397"/>
      <c r="U69" s="397"/>
      <c r="V69" s="397"/>
      <c r="W69" s="397"/>
      <c r="X69" s="397"/>
      <c r="Y69" s="397"/>
      <c r="Z69" s="397"/>
      <c r="AA69" s="397"/>
    </row>
    <row r="70" ht="15.75" customHeight="1">
      <c r="A70" s="397"/>
      <c r="B70" s="397"/>
      <c r="C70" s="397"/>
      <c r="D70" s="397"/>
      <c r="E70" s="397"/>
      <c r="F70" s="397"/>
      <c r="G70" s="397"/>
      <c r="H70" s="397"/>
      <c r="I70" s="397"/>
      <c r="J70" s="397"/>
      <c r="K70" s="397"/>
      <c r="L70" s="397"/>
      <c r="M70" s="397"/>
      <c r="N70" s="397"/>
      <c r="O70" s="397"/>
      <c r="P70" s="397"/>
      <c r="Q70" s="397"/>
      <c r="R70" s="397"/>
      <c r="S70" s="397"/>
      <c r="T70" s="397"/>
      <c r="U70" s="397"/>
      <c r="V70" s="397"/>
      <c r="W70" s="397"/>
      <c r="X70" s="397"/>
      <c r="Y70" s="397"/>
      <c r="Z70" s="397"/>
      <c r="AA70" s="397"/>
    </row>
    <row r="71" ht="15.75" customHeight="1">
      <c r="A71" s="397"/>
      <c r="B71" s="397"/>
      <c r="C71" s="397"/>
      <c r="D71" s="397"/>
      <c r="E71" s="397"/>
      <c r="F71" s="397"/>
      <c r="G71" s="397"/>
      <c r="H71" s="397"/>
      <c r="I71" s="397"/>
      <c r="J71" s="397"/>
      <c r="K71" s="397"/>
      <c r="L71" s="397"/>
      <c r="M71" s="397"/>
      <c r="N71" s="397"/>
      <c r="O71" s="397"/>
      <c r="P71" s="397"/>
      <c r="Q71" s="397"/>
      <c r="R71" s="397"/>
      <c r="S71" s="397"/>
      <c r="T71" s="397"/>
      <c r="U71" s="397"/>
      <c r="V71" s="397"/>
      <c r="W71" s="397"/>
      <c r="X71" s="397"/>
      <c r="Y71" s="397"/>
      <c r="Z71" s="397"/>
      <c r="AA71" s="397"/>
    </row>
    <row r="72" ht="15.75" customHeight="1">
      <c r="A72" s="397"/>
      <c r="B72" s="397"/>
      <c r="C72" s="397"/>
      <c r="D72" s="397"/>
      <c r="E72" s="397"/>
      <c r="F72" s="397"/>
      <c r="G72" s="397"/>
      <c r="H72" s="397"/>
      <c r="I72" s="397"/>
      <c r="J72" s="397"/>
      <c r="K72" s="397"/>
      <c r="L72" s="397"/>
      <c r="M72" s="397"/>
      <c r="N72" s="397"/>
      <c r="O72" s="397"/>
      <c r="P72" s="397"/>
      <c r="Q72" s="397"/>
      <c r="R72" s="397"/>
      <c r="S72" s="397"/>
      <c r="T72" s="397"/>
      <c r="U72" s="397"/>
      <c r="V72" s="397"/>
      <c r="W72" s="397"/>
      <c r="X72" s="397"/>
      <c r="Y72" s="397"/>
      <c r="Z72" s="397"/>
      <c r="AA72" s="397"/>
    </row>
    <row r="73" ht="15.75" customHeight="1">
      <c r="A73" s="397"/>
      <c r="B73" s="397"/>
      <c r="C73" s="397"/>
      <c r="D73" s="397"/>
      <c r="E73" s="397"/>
      <c r="F73" s="397"/>
      <c r="G73" s="397"/>
      <c r="H73" s="397"/>
      <c r="I73" s="397"/>
      <c r="J73" s="397"/>
      <c r="K73" s="397"/>
      <c r="L73" s="397"/>
      <c r="M73" s="397"/>
      <c r="N73" s="397"/>
      <c r="O73" s="397"/>
      <c r="P73" s="397"/>
      <c r="Q73" s="397"/>
      <c r="R73" s="397"/>
      <c r="S73" s="397"/>
      <c r="T73" s="397"/>
      <c r="U73" s="397"/>
      <c r="V73" s="397"/>
      <c r="W73" s="397"/>
      <c r="X73" s="397"/>
      <c r="Y73" s="397"/>
      <c r="Z73" s="397"/>
      <c r="AA73" s="397"/>
    </row>
    <row r="74" ht="15.75" customHeight="1">
      <c r="A74" s="397"/>
      <c r="B74" s="397"/>
      <c r="C74" s="397"/>
      <c r="D74" s="397"/>
      <c r="E74" s="397"/>
      <c r="F74" s="397"/>
      <c r="G74" s="397"/>
      <c r="H74" s="397"/>
      <c r="I74" s="397"/>
      <c r="J74" s="397"/>
      <c r="K74" s="397"/>
      <c r="L74" s="397"/>
      <c r="M74" s="397"/>
      <c r="N74" s="397"/>
      <c r="O74" s="397"/>
      <c r="P74" s="397"/>
      <c r="Q74" s="397"/>
      <c r="R74" s="397"/>
      <c r="S74" s="397"/>
      <c r="T74" s="397"/>
      <c r="U74" s="397"/>
      <c r="V74" s="397"/>
      <c r="W74" s="397"/>
      <c r="X74" s="397"/>
      <c r="Y74" s="397"/>
      <c r="Z74" s="397"/>
      <c r="AA74" s="397"/>
    </row>
    <row r="75" ht="15.75" customHeight="1">
      <c r="A75" s="397"/>
      <c r="B75" s="397"/>
      <c r="C75" s="397"/>
      <c r="D75" s="397"/>
      <c r="E75" s="397"/>
      <c r="F75" s="397"/>
      <c r="G75" s="397"/>
      <c r="H75" s="397"/>
      <c r="I75" s="397"/>
      <c r="J75" s="397"/>
      <c r="K75" s="397"/>
      <c r="L75" s="397"/>
      <c r="M75" s="397"/>
      <c r="N75" s="397"/>
      <c r="O75" s="397"/>
      <c r="P75" s="397"/>
      <c r="Q75" s="397"/>
      <c r="R75" s="397"/>
      <c r="S75" s="397"/>
      <c r="T75" s="397"/>
      <c r="U75" s="397"/>
      <c r="V75" s="397"/>
      <c r="W75" s="397"/>
      <c r="X75" s="397"/>
      <c r="Y75" s="397"/>
      <c r="Z75" s="397"/>
      <c r="AA75" s="397"/>
    </row>
    <row r="76" ht="15.75" customHeight="1">
      <c r="A76" s="397"/>
      <c r="B76" s="397"/>
      <c r="C76" s="397"/>
      <c r="D76" s="397"/>
      <c r="E76" s="397"/>
      <c r="F76" s="397"/>
      <c r="G76" s="397"/>
      <c r="H76" s="397"/>
      <c r="I76" s="397"/>
      <c r="J76" s="397"/>
      <c r="K76" s="397"/>
      <c r="L76" s="397"/>
      <c r="M76" s="397"/>
      <c r="N76" s="397"/>
      <c r="O76" s="397"/>
      <c r="P76" s="397"/>
      <c r="Q76" s="397"/>
      <c r="R76" s="397"/>
      <c r="S76" s="397"/>
      <c r="T76" s="397"/>
      <c r="U76" s="397"/>
      <c r="V76" s="397"/>
      <c r="W76" s="397"/>
      <c r="X76" s="397"/>
      <c r="Y76" s="397"/>
      <c r="Z76" s="397"/>
      <c r="AA76" s="397"/>
    </row>
    <row r="77" ht="15.75" customHeight="1">
      <c r="A77" s="397"/>
      <c r="B77" s="397"/>
      <c r="C77" s="397"/>
      <c r="D77" s="397"/>
      <c r="E77" s="397"/>
      <c r="F77" s="397"/>
      <c r="G77" s="397"/>
      <c r="H77" s="397"/>
      <c r="I77" s="397"/>
      <c r="J77" s="397"/>
      <c r="K77" s="397"/>
      <c r="L77" s="397"/>
      <c r="M77" s="397"/>
      <c r="N77" s="397"/>
      <c r="O77" s="397"/>
      <c r="P77" s="397"/>
      <c r="Q77" s="397"/>
      <c r="R77" s="397"/>
      <c r="S77" s="397"/>
      <c r="T77" s="397"/>
      <c r="U77" s="397"/>
      <c r="V77" s="397"/>
      <c r="W77" s="397"/>
      <c r="X77" s="397"/>
      <c r="Y77" s="397"/>
      <c r="Z77" s="397"/>
      <c r="AA77" s="397"/>
    </row>
    <row r="78" ht="15.75" customHeight="1">
      <c r="A78" s="397"/>
      <c r="B78" s="397"/>
      <c r="C78" s="397"/>
      <c r="D78" s="397"/>
      <c r="E78" s="397"/>
      <c r="F78" s="397"/>
      <c r="G78" s="397"/>
      <c r="H78" s="397"/>
      <c r="I78" s="397"/>
      <c r="J78" s="397"/>
      <c r="K78" s="397"/>
      <c r="L78" s="397"/>
      <c r="M78" s="397"/>
      <c r="N78" s="397"/>
      <c r="O78" s="397"/>
      <c r="P78" s="397"/>
      <c r="Q78" s="397"/>
      <c r="R78" s="397"/>
      <c r="S78" s="397"/>
      <c r="T78" s="397"/>
      <c r="U78" s="397"/>
      <c r="V78" s="397"/>
      <c r="W78" s="397"/>
      <c r="X78" s="397"/>
      <c r="Y78" s="397"/>
      <c r="Z78" s="397"/>
      <c r="AA78" s="397"/>
    </row>
    <row r="79" ht="15.75" customHeight="1">
      <c r="A79" s="397"/>
      <c r="B79" s="397"/>
      <c r="C79" s="397"/>
      <c r="D79" s="397"/>
      <c r="E79" s="397"/>
      <c r="F79" s="397"/>
      <c r="G79" s="397"/>
      <c r="H79" s="397"/>
      <c r="I79" s="397"/>
      <c r="J79" s="397"/>
      <c r="K79" s="397"/>
      <c r="L79" s="397"/>
      <c r="M79" s="397"/>
      <c r="N79" s="397"/>
      <c r="O79" s="397"/>
      <c r="P79" s="397"/>
      <c r="Q79" s="397"/>
      <c r="R79" s="397"/>
      <c r="S79" s="397"/>
      <c r="T79" s="397"/>
      <c r="U79" s="397"/>
      <c r="V79" s="397"/>
      <c r="W79" s="397"/>
      <c r="X79" s="397"/>
      <c r="Y79" s="397"/>
      <c r="Z79" s="397"/>
      <c r="AA79" s="397"/>
    </row>
    <row r="80" ht="15.75" customHeight="1">
      <c r="A80" s="397"/>
      <c r="B80" s="397"/>
      <c r="C80" s="397"/>
      <c r="D80" s="397"/>
      <c r="E80" s="397"/>
      <c r="F80" s="397"/>
      <c r="G80" s="397"/>
      <c r="H80" s="397"/>
      <c r="I80" s="397"/>
      <c r="J80" s="397"/>
      <c r="K80" s="397"/>
      <c r="L80" s="397"/>
      <c r="M80" s="397"/>
      <c r="N80" s="397"/>
      <c r="O80" s="397"/>
      <c r="P80" s="397"/>
      <c r="Q80" s="397"/>
      <c r="R80" s="397"/>
      <c r="S80" s="397"/>
      <c r="T80" s="397"/>
      <c r="U80" s="397"/>
      <c r="V80" s="397"/>
      <c r="W80" s="397"/>
      <c r="X80" s="397"/>
      <c r="Y80" s="397"/>
      <c r="Z80" s="397"/>
      <c r="AA80" s="397"/>
    </row>
    <row r="81" ht="15.75" customHeight="1">
      <c r="A81" s="397"/>
      <c r="B81" s="397"/>
      <c r="C81" s="397"/>
      <c r="D81" s="397"/>
      <c r="E81" s="397"/>
      <c r="F81" s="397"/>
      <c r="G81" s="397"/>
      <c r="H81" s="397"/>
      <c r="I81" s="397"/>
      <c r="J81" s="397"/>
      <c r="K81" s="397"/>
      <c r="L81" s="397"/>
      <c r="M81" s="397"/>
      <c r="N81" s="397"/>
      <c r="O81" s="397"/>
      <c r="P81" s="397"/>
      <c r="Q81" s="397"/>
      <c r="R81" s="397"/>
      <c r="S81" s="397"/>
      <c r="T81" s="397"/>
      <c r="U81" s="397"/>
      <c r="V81" s="397"/>
      <c r="W81" s="397"/>
      <c r="X81" s="397"/>
      <c r="Y81" s="397"/>
      <c r="Z81" s="397"/>
      <c r="AA81" s="397"/>
    </row>
    <row r="82" ht="15.75" customHeight="1">
      <c r="A82" s="397"/>
      <c r="B82" s="397"/>
      <c r="C82" s="397"/>
      <c r="D82" s="397"/>
      <c r="E82" s="397"/>
      <c r="F82" s="397"/>
      <c r="G82" s="397"/>
      <c r="H82" s="397"/>
      <c r="I82" s="397"/>
      <c r="J82" s="397"/>
      <c r="K82" s="397"/>
      <c r="L82" s="397"/>
      <c r="M82" s="397"/>
      <c r="N82" s="397"/>
      <c r="O82" s="397"/>
      <c r="P82" s="397"/>
      <c r="Q82" s="397"/>
      <c r="R82" s="397"/>
      <c r="S82" s="397"/>
      <c r="T82" s="397"/>
      <c r="U82" s="397"/>
      <c r="V82" s="397"/>
      <c r="W82" s="397"/>
      <c r="X82" s="397"/>
      <c r="Y82" s="397"/>
      <c r="Z82" s="397"/>
      <c r="AA82" s="397"/>
    </row>
    <row r="83" ht="15.75" customHeight="1">
      <c r="A83" s="397"/>
      <c r="B83" s="397"/>
      <c r="C83" s="397"/>
      <c r="D83" s="397"/>
      <c r="E83" s="397"/>
      <c r="F83" s="397"/>
      <c r="G83" s="397"/>
      <c r="H83" s="397"/>
      <c r="I83" s="397"/>
      <c r="J83" s="397"/>
      <c r="K83" s="397"/>
      <c r="L83" s="397"/>
      <c r="M83" s="397"/>
      <c r="N83" s="397"/>
      <c r="O83" s="397"/>
      <c r="P83" s="397"/>
      <c r="Q83" s="397"/>
      <c r="R83" s="397"/>
      <c r="S83" s="397"/>
      <c r="T83" s="397"/>
      <c r="U83" s="397"/>
      <c r="V83" s="397"/>
      <c r="W83" s="397"/>
      <c r="X83" s="397"/>
      <c r="Y83" s="397"/>
      <c r="Z83" s="397"/>
      <c r="AA83" s="397"/>
    </row>
    <row r="84" ht="15.75" customHeight="1">
      <c r="A84" s="397"/>
      <c r="B84" s="397"/>
      <c r="C84" s="397"/>
      <c r="D84" s="397"/>
      <c r="E84" s="397"/>
      <c r="F84" s="397"/>
      <c r="G84" s="397"/>
      <c r="H84" s="397"/>
      <c r="I84" s="397"/>
      <c r="J84" s="397"/>
      <c r="K84" s="397"/>
      <c r="L84" s="397"/>
      <c r="M84" s="397"/>
      <c r="N84" s="397"/>
      <c r="O84" s="397"/>
      <c r="P84" s="397"/>
      <c r="Q84" s="397"/>
      <c r="R84" s="397"/>
      <c r="S84" s="397"/>
      <c r="T84" s="397"/>
      <c r="U84" s="397"/>
      <c r="V84" s="397"/>
      <c r="W84" s="397"/>
      <c r="X84" s="397"/>
      <c r="Y84" s="397"/>
      <c r="Z84" s="397"/>
      <c r="AA84" s="397"/>
    </row>
    <row r="85" ht="15.75" customHeight="1">
      <c r="A85" s="397"/>
      <c r="B85" s="397"/>
      <c r="C85" s="397"/>
      <c r="D85" s="397"/>
      <c r="E85" s="397"/>
      <c r="F85" s="397"/>
      <c r="G85" s="397"/>
      <c r="H85" s="397"/>
      <c r="I85" s="397"/>
      <c r="J85" s="397"/>
      <c r="K85" s="397"/>
      <c r="L85" s="397"/>
      <c r="M85" s="397"/>
      <c r="N85" s="397"/>
      <c r="O85" s="397"/>
      <c r="P85" s="397"/>
      <c r="Q85" s="397"/>
      <c r="R85" s="397"/>
      <c r="S85" s="397"/>
      <c r="T85" s="397"/>
      <c r="U85" s="397"/>
      <c r="V85" s="397"/>
      <c r="W85" s="397"/>
      <c r="X85" s="397"/>
      <c r="Y85" s="397"/>
      <c r="Z85" s="397"/>
      <c r="AA85" s="397"/>
    </row>
    <row r="86" ht="15.75" customHeight="1">
      <c r="A86" s="397"/>
      <c r="B86" s="397"/>
      <c r="C86" s="397"/>
      <c r="D86" s="397"/>
      <c r="E86" s="397"/>
      <c r="F86" s="397"/>
      <c r="G86" s="397"/>
      <c r="H86" s="397"/>
      <c r="I86" s="397"/>
      <c r="J86" s="397"/>
      <c r="K86" s="397"/>
      <c r="L86" s="397"/>
      <c r="M86" s="397"/>
      <c r="N86" s="397"/>
      <c r="O86" s="397"/>
      <c r="P86" s="397"/>
      <c r="Q86" s="397"/>
      <c r="R86" s="397"/>
      <c r="S86" s="397"/>
      <c r="T86" s="397"/>
      <c r="U86" s="397"/>
      <c r="V86" s="397"/>
      <c r="W86" s="397"/>
      <c r="X86" s="397"/>
      <c r="Y86" s="397"/>
      <c r="Z86" s="397"/>
      <c r="AA86" s="397"/>
    </row>
    <row r="87" ht="15.75" customHeight="1">
      <c r="A87" s="397"/>
      <c r="B87" s="397"/>
      <c r="C87" s="397"/>
      <c r="D87" s="397"/>
      <c r="E87" s="397"/>
      <c r="F87" s="397"/>
      <c r="G87" s="397"/>
      <c r="H87" s="397"/>
      <c r="I87" s="397"/>
      <c r="J87" s="397"/>
      <c r="K87" s="397"/>
      <c r="L87" s="397"/>
      <c r="M87" s="397"/>
      <c r="N87" s="397"/>
      <c r="O87" s="397"/>
      <c r="P87" s="397"/>
      <c r="Q87" s="397"/>
      <c r="R87" s="397"/>
      <c r="S87" s="397"/>
      <c r="T87" s="397"/>
      <c r="U87" s="397"/>
      <c r="V87" s="397"/>
      <c r="W87" s="397"/>
      <c r="X87" s="397"/>
      <c r="Y87" s="397"/>
      <c r="Z87" s="397"/>
      <c r="AA87" s="397"/>
    </row>
    <row r="88" ht="15.75" customHeight="1">
      <c r="A88" s="397"/>
      <c r="B88" s="397"/>
      <c r="C88" s="397"/>
      <c r="D88" s="397"/>
      <c r="E88" s="397"/>
      <c r="F88" s="397"/>
      <c r="G88" s="397"/>
      <c r="H88" s="397"/>
      <c r="I88" s="397"/>
      <c r="J88" s="397"/>
      <c r="K88" s="397"/>
      <c r="L88" s="397"/>
      <c r="M88" s="397"/>
      <c r="N88" s="397"/>
      <c r="O88" s="397"/>
      <c r="P88" s="397"/>
      <c r="Q88" s="397"/>
      <c r="R88" s="397"/>
      <c r="S88" s="397"/>
      <c r="T88" s="397"/>
      <c r="U88" s="397"/>
      <c r="V88" s="397"/>
      <c r="W88" s="397"/>
      <c r="X88" s="397"/>
      <c r="Y88" s="397"/>
      <c r="Z88" s="397"/>
      <c r="AA88" s="397"/>
    </row>
    <row r="89" ht="15.75" customHeight="1">
      <c r="A89" s="397"/>
      <c r="B89" s="397"/>
      <c r="C89" s="397"/>
      <c r="D89" s="397"/>
      <c r="E89" s="397"/>
      <c r="F89" s="397"/>
      <c r="G89" s="397"/>
      <c r="H89" s="397"/>
      <c r="I89" s="397"/>
      <c r="J89" s="397"/>
      <c r="K89" s="397"/>
      <c r="L89" s="397"/>
      <c r="M89" s="397"/>
      <c r="N89" s="397"/>
      <c r="O89" s="397"/>
      <c r="P89" s="397"/>
      <c r="Q89" s="397"/>
      <c r="R89" s="397"/>
      <c r="S89" s="397"/>
      <c r="T89" s="397"/>
      <c r="U89" s="397"/>
      <c r="V89" s="397"/>
      <c r="W89" s="397"/>
      <c r="X89" s="397"/>
      <c r="Y89" s="397"/>
      <c r="Z89" s="397"/>
      <c r="AA89" s="397"/>
    </row>
    <row r="90" ht="15.75" customHeight="1">
      <c r="A90" s="397"/>
      <c r="B90" s="397"/>
      <c r="C90" s="397"/>
      <c r="D90" s="397"/>
      <c r="E90" s="397"/>
      <c r="F90" s="397"/>
      <c r="G90" s="397"/>
      <c r="H90" s="397"/>
      <c r="I90" s="397"/>
      <c r="J90" s="397"/>
      <c r="K90" s="397"/>
      <c r="L90" s="397"/>
      <c r="M90" s="397"/>
      <c r="N90" s="397"/>
      <c r="O90" s="397"/>
      <c r="P90" s="397"/>
      <c r="Q90" s="397"/>
      <c r="R90" s="397"/>
      <c r="S90" s="397"/>
      <c r="T90" s="397"/>
      <c r="U90" s="397"/>
      <c r="V90" s="397"/>
      <c r="W90" s="397"/>
      <c r="X90" s="397"/>
      <c r="Y90" s="397"/>
      <c r="Z90" s="397"/>
      <c r="AA90" s="397"/>
    </row>
    <row r="91" ht="15.75" customHeight="1">
      <c r="A91" s="397"/>
      <c r="B91" s="397"/>
      <c r="C91" s="397"/>
      <c r="D91" s="397"/>
      <c r="E91" s="397"/>
      <c r="F91" s="397"/>
      <c r="G91" s="397"/>
      <c r="H91" s="397"/>
      <c r="I91" s="397"/>
      <c r="J91" s="397"/>
      <c r="K91" s="397"/>
      <c r="L91" s="397"/>
      <c r="M91" s="397"/>
      <c r="N91" s="397"/>
      <c r="O91" s="397"/>
      <c r="P91" s="397"/>
      <c r="Q91" s="397"/>
      <c r="R91" s="397"/>
      <c r="S91" s="397"/>
      <c r="T91" s="397"/>
      <c r="U91" s="397"/>
      <c r="V91" s="397"/>
      <c r="W91" s="397"/>
      <c r="X91" s="397"/>
      <c r="Y91" s="397"/>
      <c r="Z91" s="397"/>
      <c r="AA91" s="397"/>
    </row>
    <row r="92" ht="15.75" customHeight="1">
      <c r="A92" s="397"/>
      <c r="B92" s="397"/>
      <c r="C92" s="397"/>
      <c r="D92" s="397"/>
      <c r="E92" s="397"/>
      <c r="F92" s="397"/>
      <c r="G92" s="397"/>
      <c r="H92" s="397"/>
      <c r="I92" s="397"/>
      <c r="J92" s="397"/>
      <c r="K92" s="397"/>
      <c r="L92" s="397"/>
      <c r="M92" s="397"/>
      <c r="N92" s="397"/>
      <c r="O92" s="397"/>
      <c r="P92" s="397"/>
      <c r="Q92" s="397"/>
      <c r="R92" s="397"/>
      <c r="S92" s="397"/>
      <c r="T92" s="397"/>
      <c r="U92" s="397"/>
      <c r="V92" s="397"/>
      <c r="W92" s="397"/>
      <c r="X92" s="397"/>
      <c r="Y92" s="397"/>
      <c r="Z92" s="397"/>
      <c r="AA92" s="397"/>
    </row>
    <row r="93" ht="15.75" customHeight="1">
      <c r="A93" s="397"/>
      <c r="B93" s="397"/>
      <c r="C93" s="397"/>
      <c r="D93" s="397"/>
      <c r="E93" s="397"/>
      <c r="F93" s="397"/>
      <c r="G93" s="397"/>
      <c r="H93" s="397"/>
      <c r="I93" s="397"/>
      <c r="J93" s="397"/>
      <c r="K93" s="397"/>
      <c r="L93" s="397"/>
      <c r="M93" s="397"/>
      <c r="N93" s="397"/>
      <c r="O93" s="397"/>
      <c r="P93" s="397"/>
      <c r="Q93" s="397"/>
      <c r="R93" s="397"/>
      <c r="S93" s="397"/>
      <c r="T93" s="397"/>
      <c r="U93" s="397"/>
      <c r="V93" s="397"/>
      <c r="W93" s="397"/>
      <c r="X93" s="397"/>
      <c r="Y93" s="397"/>
      <c r="Z93" s="397"/>
      <c r="AA93" s="397"/>
    </row>
    <row r="94" ht="15.75" customHeight="1">
      <c r="A94" s="397"/>
      <c r="B94" s="397"/>
      <c r="C94" s="397"/>
      <c r="D94" s="397"/>
      <c r="E94" s="397"/>
      <c r="F94" s="397"/>
      <c r="G94" s="397"/>
      <c r="H94" s="397"/>
      <c r="I94" s="397"/>
      <c r="J94" s="397"/>
      <c r="K94" s="397"/>
      <c r="L94" s="397"/>
      <c r="M94" s="397"/>
      <c r="N94" s="397"/>
      <c r="O94" s="397"/>
      <c r="P94" s="397"/>
      <c r="Q94" s="397"/>
      <c r="R94" s="397"/>
      <c r="S94" s="397"/>
      <c r="T94" s="397"/>
      <c r="U94" s="397"/>
      <c r="V94" s="397"/>
      <c r="W94" s="397"/>
      <c r="X94" s="397"/>
      <c r="Y94" s="397"/>
      <c r="Z94" s="397"/>
      <c r="AA94" s="397"/>
    </row>
    <row r="95" ht="15.75" customHeight="1">
      <c r="A95" s="397"/>
      <c r="B95" s="397"/>
      <c r="C95" s="397"/>
      <c r="D95" s="397"/>
      <c r="E95" s="397"/>
      <c r="F95" s="397"/>
      <c r="G95" s="397"/>
      <c r="H95" s="397"/>
      <c r="I95" s="397"/>
      <c r="J95" s="397"/>
      <c r="K95" s="397"/>
      <c r="L95" s="397"/>
      <c r="M95" s="397"/>
      <c r="N95" s="397"/>
      <c r="O95" s="397"/>
      <c r="P95" s="397"/>
      <c r="Q95" s="397"/>
      <c r="R95" s="397"/>
      <c r="S95" s="397"/>
      <c r="T95" s="397"/>
      <c r="U95" s="397"/>
      <c r="V95" s="397"/>
      <c r="W95" s="397"/>
      <c r="X95" s="397"/>
      <c r="Y95" s="397"/>
      <c r="Z95" s="397"/>
      <c r="AA95" s="397"/>
    </row>
    <row r="96" ht="15.75" customHeight="1">
      <c r="A96" s="397"/>
      <c r="B96" s="397"/>
      <c r="C96" s="397"/>
      <c r="D96" s="397"/>
      <c r="E96" s="397"/>
      <c r="F96" s="397"/>
      <c r="G96" s="397"/>
      <c r="H96" s="397"/>
      <c r="I96" s="397"/>
      <c r="J96" s="397"/>
      <c r="K96" s="397"/>
      <c r="L96" s="397"/>
      <c r="M96" s="397"/>
      <c r="N96" s="397"/>
      <c r="O96" s="397"/>
      <c r="P96" s="397"/>
      <c r="Q96" s="397"/>
      <c r="R96" s="397"/>
      <c r="S96" s="397"/>
      <c r="T96" s="397"/>
      <c r="U96" s="397"/>
      <c r="V96" s="397"/>
      <c r="W96" s="397"/>
      <c r="X96" s="397"/>
      <c r="Y96" s="397"/>
      <c r="Z96" s="397"/>
      <c r="AA96" s="397"/>
    </row>
    <row r="97" ht="15.75" customHeight="1">
      <c r="A97" s="397"/>
      <c r="B97" s="397"/>
      <c r="C97" s="397"/>
      <c r="D97" s="397"/>
      <c r="E97" s="397"/>
      <c r="F97" s="397"/>
      <c r="G97" s="397"/>
      <c r="H97" s="397"/>
      <c r="I97" s="397"/>
      <c r="J97" s="397"/>
      <c r="K97" s="397"/>
      <c r="L97" s="397"/>
      <c r="M97" s="397"/>
      <c r="N97" s="397"/>
      <c r="O97" s="397"/>
      <c r="P97" s="397"/>
      <c r="Q97" s="397"/>
      <c r="R97" s="397"/>
      <c r="S97" s="397"/>
      <c r="T97" s="397"/>
      <c r="U97" s="397"/>
      <c r="V97" s="397"/>
      <c r="W97" s="397"/>
      <c r="X97" s="397"/>
      <c r="Y97" s="397"/>
      <c r="Z97" s="397"/>
      <c r="AA97" s="397"/>
    </row>
    <row r="98" ht="15.75" customHeight="1">
      <c r="A98" s="397"/>
      <c r="B98" s="397"/>
      <c r="C98" s="397"/>
      <c r="D98" s="397"/>
      <c r="E98" s="397"/>
      <c r="F98" s="397"/>
      <c r="G98" s="397"/>
      <c r="H98" s="397"/>
      <c r="I98" s="397"/>
      <c r="J98" s="397"/>
      <c r="K98" s="397"/>
      <c r="L98" s="397"/>
      <c r="M98" s="397"/>
      <c r="N98" s="397"/>
      <c r="O98" s="397"/>
      <c r="P98" s="397"/>
      <c r="Q98" s="397"/>
      <c r="R98" s="397"/>
      <c r="S98" s="397"/>
      <c r="T98" s="397"/>
      <c r="U98" s="397"/>
      <c r="V98" s="397"/>
      <c r="W98" s="397"/>
      <c r="X98" s="397"/>
      <c r="Y98" s="397"/>
      <c r="Z98" s="397"/>
      <c r="AA98" s="397"/>
    </row>
    <row r="99" ht="15.75" customHeight="1">
      <c r="A99" s="397"/>
      <c r="B99" s="397"/>
      <c r="C99" s="397"/>
      <c r="D99" s="397"/>
      <c r="E99" s="397"/>
      <c r="F99" s="397"/>
      <c r="G99" s="397"/>
      <c r="H99" s="397"/>
      <c r="I99" s="397"/>
      <c r="J99" s="397"/>
      <c r="K99" s="397"/>
      <c r="L99" s="397"/>
      <c r="M99" s="397"/>
      <c r="N99" s="397"/>
      <c r="O99" s="397"/>
      <c r="P99" s="397"/>
      <c r="Q99" s="397"/>
      <c r="R99" s="397"/>
      <c r="S99" s="397"/>
      <c r="T99" s="397"/>
      <c r="U99" s="397"/>
      <c r="V99" s="397"/>
      <c r="W99" s="397"/>
      <c r="X99" s="397"/>
      <c r="Y99" s="397"/>
      <c r="Z99" s="397"/>
      <c r="AA99" s="397"/>
    </row>
    <row r="100" ht="15.75" customHeight="1">
      <c r="A100" s="397"/>
      <c r="B100" s="397"/>
      <c r="C100" s="397"/>
      <c r="D100" s="397"/>
      <c r="E100" s="397"/>
      <c r="F100" s="397"/>
      <c r="G100" s="397"/>
      <c r="H100" s="397"/>
      <c r="I100" s="397"/>
      <c r="J100" s="397"/>
      <c r="K100" s="397"/>
      <c r="L100" s="397"/>
      <c r="M100" s="397"/>
      <c r="N100" s="397"/>
      <c r="O100" s="397"/>
      <c r="P100" s="397"/>
      <c r="Q100" s="397"/>
      <c r="R100" s="397"/>
      <c r="S100" s="397"/>
      <c r="T100" s="397"/>
      <c r="U100" s="397"/>
      <c r="V100" s="397"/>
      <c r="W100" s="397"/>
      <c r="X100" s="397"/>
      <c r="Y100" s="397"/>
      <c r="Z100" s="397"/>
      <c r="AA100" s="397"/>
    </row>
    <row r="101" ht="15.75" customHeight="1">
      <c r="A101" s="397"/>
      <c r="B101" s="397"/>
      <c r="C101" s="397"/>
      <c r="D101" s="397"/>
      <c r="E101" s="397"/>
      <c r="F101" s="397"/>
      <c r="G101" s="397"/>
      <c r="H101" s="397"/>
      <c r="I101" s="397"/>
      <c r="J101" s="397"/>
      <c r="K101" s="397"/>
      <c r="L101" s="397"/>
      <c r="M101" s="397"/>
      <c r="N101" s="397"/>
      <c r="O101" s="397"/>
      <c r="P101" s="397"/>
      <c r="Q101" s="397"/>
      <c r="R101" s="397"/>
      <c r="S101" s="397"/>
      <c r="T101" s="397"/>
      <c r="U101" s="397"/>
      <c r="V101" s="397"/>
      <c r="W101" s="397"/>
      <c r="X101" s="397"/>
      <c r="Y101" s="397"/>
      <c r="Z101" s="397"/>
      <c r="AA101" s="397"/>
    </row>
    <row r="102" ht="15.75" customHeight="1">
      <c r="A102" s="397"/>
      <c r="B102" s="397"/>
      <c r="C102" s="397"/>
      <c r="D102" s="397"/>
      <c r="E102" s="397"/>
      <c r="F102" s="397"/>
      <c r="G102" s="397"/>
      <c r="H102" s="397"/>
      <c r="I102" s="397"/>
      <c r="J102" s="397"/>
      <c r="K102" s="397"/>
      <c r="L102" s="397"/>
      <c r="M102" s="397"/>
      <c r="N102" s="397"/>
      <c r="O102" s="397"/>
      <c r="P102" s="397"/>
      <c r="Q102" s="397"/>
      <c r="R102" s="397"/>
      <c r="S102" s="397"/>
      <c r="T102" s="397"/>
      <c r="U102" s="397"/>
      <c r="V102" s="397"/>
      <c r="W102" s="397"/>
      <c r="X102" s="397"/>
      <c r="Y102" s="397"/>
      <c r="Z102" s="397"/>
      <c r="AA102" s="397"/>
    </row>
    <row r="103" ht="15.75" customHeight="1">
      <c r="A103" s="397"/>
      <c r="B103" s="397"/>
      <c r="C103" s="397"/>
      <c r="D103" s="397"/>
      <c r="E103" s="397"/>
      <c r="F103" s="397"/>
      <c r="G103" s="397"/>
      <c r="H103" s="397"/>
      <c r="I103" s="397"/>
      <c r="J103" s="397"/>
      <c r="K103" s="397"/>
      <c r="L103" s="397"/>
      <c r="M103" s="397"/>
      <c r="N103" s="397"/>
      <c r="O103" s="397"/>
      <c r="P103" s="397"/>
      <c r="Q103" s="397"/>
      <c r="R103" s="397"/>
      <c r="S103" s="397"/>
      <c r="T103" s="397"/>
      <c r="U103" s="397"/>
      <c r="V103" s="397"/>
      <c r="W103" s="397"/>
      <c r="X103" s="397"/>
      <c r="Y103" s="397"/>
      <c r="Z103" s="397"/>
      <c r="AA103" s="397"/>
    </row>
    <row r="104" ht="15.75" customHeight="1">
      <c r="A104" s="397"/>
      <c r="B104" s="397"/>
      <c r="C104" s="397"/>
      <c r="D104" s="397"/>
      <c r="E104" s="397"/>
      <c r="F104" s="397"/>
      <c r="G104" s="397"/>
      <c r="H104" s="397"/>
      <c r="I104" s="397"/>
      <c r="J104" s="397"/>
      <c r="K104" s="397"/>
      <c r="L104" s="397"/>
      <c r="M104" s="397"/>
      <c r="N104" s="397"/>
      <c r="O104" s="397"/>
      <c r="P104" s="397"/>
      <c r="Q104" s="397"/>
      <c r="R104" s="397"/>
      <c r="S104" s="397"/>
      <c r="T104" s="397"/>
      <c r="U104" s="397"/>
      <c r="V104" s="397"/>
      <c r="W104" s="397"/>
      <c r="X104" s="397"/>
      <c r="Y104" s="397"/>
      <c r="Z104" s="397"/>
      <c r="AA104" s="397"/>
    </row>
    <row r="105" ht="15.75" customHeight="1">
      <c r="A105" s="397"/>
      <c r="B105" s="397"/>
      <c r="C105" s="397"/>
      <c r="D105" s="397"/>
      <c r="E105" s="397"/>
      <c r="F105" s="397"/>
      <c r="G105" s="397"/>
      <c r="H105" s="397"/>
      <c r="I105" s="397"/>
      <c r="J105" s="397"/>
      <c r="K105" s="397"/>
      <c r="L105" s="397"/>
      <c r="M105" s="397"/>
      <c r="N105" s="397"/>
      <c r="O105" s="397"/>
      <c r="P105" s="397"/>
      <c r="Q105" s="397"/>
      <c r="R105" s="397"/>
      <c r="S105" s="397"/>
      <c r="T105" s="397"/>
      <c r="U105" s="397"/>
      <c r="V105" s="397"/>
      <c r="W105" s="397"/>
      <c r="X105" s="397"/>
      <c r="Y105" s="397"/>
      <c r="Z105" s="397"/>
      <c r="AA105" s="397"/>
    </row>
    <row r="106" ht="15.75" customHeight="1">
      <c r="A106" s="397"/>
      <c r="B106" s="397"/>
      <c r="C106" s="397"/>
      <c r="D106" s="397"/>
      <c r="E106" s="397"/>
      <c r="F106" s="397"/>
      <c r="G106" s="397"/>
      <c r="H106" s="397"/>
      <c r="I106" s="397"/>
      <c r="J106" s="397"/>
      <c r="K106" s="397"/>
      <c r="L106" s="397"/>
      <c r="M106" s="397"/>
      <c r="N106" s="397"/>
      <c r="O106" s="397"/>
      <c r="P106" s="397"/>
      <c r="Q106" s="397"/>
      <c r="R106" s="397"/>
      <c r="S106" s="397"/>
      <c r="T106" s="397"/>
      <c r="U106" s="397"/>
      <c r="V106" s="397"/>
      <c r="W106" s="397"/>
      <c r="X106" s="397"/>
      <c r="Y106" s="397"/>
      <c r="Z106" s="397"/>
      <c r="AA106" s="397"/>
    </row>
    <row r="107" ht="15.75" customHeight="1">
      <c r="A107" s="397"/>
      <c r="B107" s="397"/>
      <c r="C107" s="397"/>
      <c r="D107" s="397"/>
      <c r="E107" s="397"/>
      <c r="F107" s="397"/>
      <c r="G107" s="397"/>
      <c r="H107" s="397"/>
      <c r="I107" s="397"/>
      <c r="J107" s="397"/>
      <c r="K107" s="397"/>
      <c r="L107" s="397"/>
      <c r="M107" s="397"/>
      <c r="N107" s="397"/>
      <c r="O107" s="397"/>
      <c r="P107" s="397"/>
      <c r="Q107" s="397"/>
      <c r="R107" s="397"/>
      <c r="S107" s="397"/>
      <c r="T107" s="397"/>
      <c r="U107" s="397"/>
      <c r="V107" s="397"/>
      <c r="W107" s="397"/>
      <c r="X107" s="397"/>
      <c r="Y107" s="397"/>
      <c r="Z107" s="397"/>
      <c r="AA107" s="397"/>
    </row>
    <row r="108" ht="15.75" customHeight="1">
      <c r="A108" s="397"/>
      <c r="B108" s="397"/>
      <c r="C108" s="397"/>
      <c r="D108" s="397"/>
      <c r="E108" s="397"/>
      <c r="F108" s="397"/>
      <c r="G108" s="397"/>
      <c r="H108" s="397"/>
      <c r="I108" s="397"/>
      <c r="J108" s="397"/>
      <c r="K108" s="397"/>
      <c r="L108" s="397"/>
      <c r="M108" s="397"/>
      <c r="N108" s="397"/>
      <c r="O108" s="397"/>
      <c r="P108" s="397"/>
      <c r="Q108" s="397"/>
      <c r="R108" s="397"/>
      <c r="S108" s="397"/>
      <c r="T108" s="397"/>
      <c r="U108" s="397"/>
      <c r="V108" s="397"/>
      <c r="W108" s="397"/>
      <c r="X108" s="397"/>
      <c r="Y108" s="397"/>
      <c r="Z108" s="397"/>
      <c r="AA108" s="397"/>
    </row>
    <row r="109" ht="15.75" customHeight="1">
      <c r="A109" s="397"/>
      <c r="B109" s="397"/>
      <c r="C109" s="397"/>
      <c r="D109" s="397"/>
      <c r="E109" s="397"/>
      <c r="F109" s="397"/>
      <c r="G109" s="397"/>
      <c r="H109" s="397"/>
      <c r="I109" s="397"/>
      <c r="J109" s="397"/>
      <c r="K109" s="397"/>
      <c r="L109" s="397"/>
      <c r="M109" s="397"/>
      <c r="N109" s="397"/>
      <c r="O109" s="397"/>
      <c r="P109" s="397"/>
      <c r="Q109" s="397"/>
      <c r="R109" s="397"/>
      <c r="S109" s="397"/>
      <c r="T109" s="397"/>
      <c r="U109" s="397"/>
      <c r="V109" s="397"/>
      <c r="W109" s="397"/>
      <c r="X109" s="397"/>
      <c r="Y109" s="397"/>
      <c r="Z109" s="397"/>
      <c r="AA109" s="397"/>
    </row>
    <row r="110" ht="15.75" customHeight="1">
      <c r="A110" s="397"/>
      <c r="B110" s="397"/>
      <c r="C110" s="397"/>
      <c r="D110" s="397"/>
      <c r="E110" s="397"/>
      <c r="F110" s="397"/>
      <c r="G110" s="397"/>
      <c r="H110" s="397"/>
      <c r="I110" s="397"/>
      <c r="J110" s="397"/>
      <c r="K110" s="397"/>
      <c r="L110" s="397"/>
      <c r="M110" s="397"/>
      <c r="N110" s="397"/>
      <c r="O110" s="397"/>
      <c r="P110" s="397"/>
      <c r="Q110" s="397"/>
      <c r="R110" s="397"/>
      <c r="S110" s="397"/>
      <c r="T110" s="397"/>
      <c r="U110" s="397"/>
      <c r="V110" s="397"/>
      <c r="W110" s="397"/>
      <c r="X110" s="397"/>
      <c r="Y110" s="397"/>
      <c r="Z110" s="397"/>
      <c r="AA110" s="397"/>
    </row>
    <row r="111" ht="15.75" customHeight="1">
      <c r="A111" s="397"/>
      <c r="B111" s="397"/>
      <c r="C111" s="397"/>
      <c r="D111" s="397"/>
      <c r="E111" s="397"/>
      <c r="F111" s="397"/>
      <c r="G111" s="397"/>
      <c r="H111" s="397"/>
      <c r="I111" s="397"/>
      <c r="J111" s="397"/>
      <c r="K111" s="397"/>
      <c r="L111" s="397"/>
      <c r="M111" s="397"/>
      <c r="N111" s="397"/>
      <c r="O111" s="397"/>
      <c r="P111" s="397"/>
      <c r="Q111" s="397"/>
      <c r="R111" s="397"/>
      <c r="S111" s="397"/>
      <c r="T111" s="397"/>
      <c r="U111" s="397"/>
      <c r="V111" s="397"/>
      <c r="W111" s="397"/>
      <c r="X111" s="397"/>
      <c r="Y111" s="397"/>
      <c r="Z111" s="397"/>
      <c r="AA111" s="397"/>
    </row>
    <row r="112" ht="15.75" customHeight="1">
      <c r="A112" s="397"/>
      <c r="B112" s="397"/>
      <c r="C112" s="397"/>
      <c r="D112" s="397"/>
      <c r="E112" s="397"/>
      <c r="F112" s="397"/>
      <c r="G112" s="397"/>
      <c r="H112" s="397"/>
      <c r="I112" s="397"/>
      <c r="J112" s="397"/>
      <c r="K112" s="397"/>
      <c r="L112" s="397"/>
      <c r="M112" s="397"/>
      <c r="N112" s="397"/>
      <c r="O112" s="397"/>
      <c r="P112" s="397"/>
      <c r="Q112" s="397"/>
      <c r="R112" s="397"/>
      <c r="S112" s="397"/>
      <c r="T112" s="397"/>
      <c r="U112" s="397"/>
      <c r="V112" s="397"/>
      <c r="W112" s="397"/>
      <c r="X112" s="397"/>
      <c r="Y112" s="397"/>
      <c r="Z112" s="397"/>
      <c r="AA112" s="397"/>
    </row>
    <row r="113" ht="15.75" customHeight="1">
      <c r="A113" s="397"/>
      <c r="B113" s="397"/>
      <c r="C113" s="397"/>
      <c r="D113" s="397"/>
      <c r="E113" s="397"/>
      <c r="F113" s="397"/>
      <c r="G113" s="397"/>
      <c r="H113" s="397"/>
      <c r="I113" s="397"/>
      <c r="J113" s="397"/>
      <c r="K113" s="397"/>
      <c r="L113" s="397"/>
      <c r="M113" s="397"/>
      <c r="N113" s="397"/>
      <c r="O113" s="397"/>
      <c r="P113" s="397"/>
      <c r="Q113" s="397"/>
      <c r="R113" s="397"/>
      <c r="S113" s="397"/>
      <c r="T113" s="397"/>
      <c r="U113" s="397"/>
      <c r="V113" s="397"/>
      <c r="W113" s="397"/>
      <c r="X113" s="397"/>
      <c r="Y113" s="397"/>
      <c r="Z113" s="397"/>
      <c r="AA113" s="397"/>
    </row>
    <row r="114" ht="15.75" customHeight="1">
      <c r="A114" s="397"/>
      <c r="B114" s="397"/>
      <c r="C114" s="397"/>
      <c r="D114" s="397"/>
      <c r="E114" s="397"/>
      <c r="F114" s="397"/>
      <c r="G114" s="397"/>
      <c r="H114" s="397"/>
      <c r="I114" s="397"/>
      <c r="J114" s="397"/>
      <c r="K114" s="397"/>
      <c r="L114" s="397"/>
      <c r="M114" s="397"/>
      <c r="N114" s="397"/>
      <c r="O114" s="397"/>
      <c r="P114" s="397"/>
      <c r="Q114" s="397"/>
      <c r="R114" s="397"/>
      <c r="S114" s="397"/>
      <c r="T114" s="397"/>
      <c r="U114" s="397"/>
      <c r="V114" s="397"/>
      <c r="W114" s="397"/>
      <c r="X114" s="397"/>
      <c r="Y114" s="397"/>
      <c r="Z114" s="397"/>
      <c r="AA114" s="397"/>
    </row>
    <row r="115" ht="15.75" customHeight="1">
      <c r="A115" s="397"/>
      <c r="B115" s="397"/>
      <c r="C115" s="397"/>
      <c r="D115" s="397"/>
      <c r="E115" s="397"/>
      <c r="F115" s="397"/>
      <c r="G115" s="397"/>
      <c r="H115" s="397"/>
      <c r="I115" s="397"/>
      <c r="J115" s="397"/>
      <c r="K115" s="397"/>
      <c r="L115" s="397"/>
      <c r="M115" s="397"/>
      <c r="N115" s="397"/>
      <c r="O115" s="397"/>
      <c r="P115" s="397"/>
      <c r="Q115" s="397"/>
      <c r="R115" s="397"/>
      <c r="S115" s="397"/>
      <c r="T115" s="397"/>
      <c r="U115" s="397"/>
      <c r="V115" s="397"/>
      <c r="W115" s="397"/>
      <c r="X115" s="397"/>
      <c r="Y115" s="397"/>
      <c r="Z115" s="397"/>
      <c r="AA115" s="397"/>
    </row>
    <row r="116" ht="15.75" customHeight="1">
      <c r="A116" s="397"/>
      <c r="B116" s="397"/>
      <c r="C116" s="397"/>
      <c r="D116" s="397"/>
      <c r="E116" s="397"/>
      <c r="F116" s="397"/>
      <c r="G116" s="397"/>
      <c r="H116" s="397"/>
      <c r="I116" s="397"/>
      <c r="J116" s="397"/>
      <c r="K116" s="397"/>
      <c r="L116" s="397"/>
      <c r="M116" s="397"/>
      <c r="N116" s="397"/>
      <c r="O116" s="397"/>
      <c r="P116" s="397"/>
      <c r="Q116" s="397"/>
      <c r="R116" s="397"/>
      <c r="S116" s="397"/>
      <c r="T116" s="397"/>
      <c r="U116" s="397"/>
      <c r="V116" s="397"/>
      <c r="W116" s="397"/>
      <c r="X116" s="397"/>
      <c r="Y116" s="397"/>
      <c r="Z116" s="397"/>
      <c r="AA116" s="397"/>
    </row>
    <row r="117" ht="15.75" customHeight="1">
      <c r="A117" s="397"/>
      <c r="B117" s="397"/>
      <c r="C117" s="397"/>
      <c r="D117" s="397"/>
      <c r="E117" s="397"/>
      <c r="F117" s="397"/>
      <c r="G117" s="397"/>
      <c r="H117" s="397"/>
      <c r="I117" s="397"/>
      <c r="J117" s="397"/>
      <c r="K117" s="397"/>
      <c r="L117" s="397"/>
      <c r="M117" s="397"/>
      <c r="N117" s="397"/>
      <c r="O117" s="397"/>
      <c r="P117" s="397"/>
      <c r="Q117" s="397"/>
      <c r="R117" s="397"/>
      <c r="S117" s="397"/>
      <c r="T117" s="397"/>
      <c r="U117" s="397"/>
      <c r="V117" s="397"/>
      <c r="W117" s="397"/>
      <c r="X117" s="397"/>
      <c r="Y117" s="397"/>
      <c r="Z117" s="397"/>
      <c r="AA117" s="397"/>
    </row>
    <row r="118" ht="15.75" customHeight="1">
      <c r="A118" s="397"/>
      <c r="B118" s="397"/>
      <c r="C118" s="397"/>
      <c r="D118" s="397"/>
      <c r="E118" s="397"/>
      <c r="F118" s="397"/>
      <c r="G118" s="397"/>
      <c r="H118" s="397"/>
      <c r="I118" s="397"/>
      <c r="J118" s="397"/>
      <c r="K118" s="397"/>
      <c r="L118" s="397"/>
      <c r="M118" s="397"/>
      <c r="N118" s="397"/>
      <c r="O118" s="397"/>
      <c r="P118" s="397"/>
      <c r="Q118" s="397"/>
      <c r="R118" s="397"/>
      <c r="S118" s="397"/>
      <c r="T118" s="397"/>
      <c r="U118" s="397"/>
      <c r="V118" s="397"/>
      <c r="W118" s="397"/>
      <c r="X118" s="397"/>
      <c r="Y118" s="397"/>
      <c r="Z118" s="397"/>
      <c r="AA118" s="397"/>
    </row>
    <row r="119" ht="15.75" customHeight="1">
      <c r="A119" s="397"/>
      <c r="B119" s="397"/>
      <c r="C119" s="397"/>
      <c r="D119" s="397"/>
      <c r="E119" s="397"/>
      <c r="F119" s="397"/>
      <c r="G119" s="397"/>
      <c r="H119" s="397"/>
      <c r="I119" s="397"/>
      <c r="J119" s="397"/>
      <c r="K119" s="397"/>
      <c r="L119" s="397"/>
      <c r="M119" s="397"/>
      <c r="N119" s="397"/>
      <c r="O119" s="397"/>
      <c r="P119" s="397"/>
      <c r="Q119" s="397"/>
      <c r="R119" s="397"/>
      <c r="S119" s="397"/>
      <c r="T119" s="397"/>
      <c r="U119" s="397"/>
      <c r="V119" s="397"/>
      <c r="W119" s="397"/>
      <c r="X119" s="397"/>
      <c r="Y119" s="397"/>
      <c r="Z119" s="397"/>
      <c r="AA119" s="397"/>
    </row>
    <row r="120" ht="15.75" customHeight="1">
      <c r="A120" s="397"/>
      <c r="B120" s="397"/>
      <c r="C120" s="397"/>
      <c r="D120" s="397"/>
      <c r="E120" s="397"/>
      <c r="F120" s="397"/>
      <c r="G120" s="397"/>
      <c r="H120" s="397"/>
      <c r="I120" s="397"/>
      <c r="J120" s="397"/>
      <c r="K120" s="397"/>
      <c r="L120" s="397"/>
      <c r="M120" s="397"/>
      <c r="N120" s="397"/>
      <c r="O120" s="397"/>
      <c r="P120" s="397"/>
      <c r="Q120" s="397"/>
      <c r="R120" s="397"/>
      <c r="S120" s="397"/>
      <c r="T120" s="397"/>
      <c r="U120" s="397"/>
      <c r="V120" s="397"/>
      <c r="W120" s="397"/>
      <c r="X120" s="397"/>
      <c r="Y120" s="397"/>
      <c r="Z120" s="397"/>
      <c r="AA120" s="397"/>
    </row>
    <row r="121" ht="15.75" customHeight="1">
      <c r="A121" s="397"/>
      <c r="B121" s="397"/>
      <c r="C121" s="397"/>
      <c r="D121" s="397"/>
      <c r="E121" s="397"/>
      <c r="F121" s="397"/>
      <c r="G121" s="397"/>
      <c r="H121" s="397"/>
      <c r="I121" s="397"/>
      <c r="J121" s="397"/>
      <c r="K121" s="397"/>
      <c r="L121" s="397"/>
      <c r="M121" s="397"/>
      <c r="N121" s="397"/>
      <c r="O121" s="397"/>
      <c r="P121" s="397"/>
      <c r="Q121" s="397"/>
      <c r="R121" s="397"/>
      <c r="S121" s="397"/>
      <c r="T121" s="397"/>
      <c r="U121" s="397"/>
      <c r="V121" s="397"/>
      <c r="W121" s="397"/>
      <c r="X121" s="397"/>
      <c r="Y121" s="397"/>
      <c r="Z121" s="397"/>
      <c r="AA121" s="397"/>
    </row>
    <row r="122" ht="15.75" customHeight="1">
      <c r="A122" s="397"/>
      <c r="B122" s="397"/>
      <c r="C122" s="397"/>
      <c r="D122" s="397"/>
      <c r="E122" s="397"/>
      <c r="F122" s="397"/>
      <c r="G122" s="397"/>
      <c r="H122" s="397"/>
      <c r="I122" s="397"/>
      <c r="J122" s="397"/>
      <c r="K122" s="397"/>
      <c r="L122" s="397"/>
      <c r="M122" s="397"/>
      <c r="N122" s="397"/>
      <c r="O122" s="397"/>
      <c r="P122" s="397"/>
      <c r="Q122" s="397"/>
      <c r="R122" s="397"/>
      <c r="S122" s="397"/>
      <c r="T122" s="397"/>
      <c r="U122" s="397"/>
      <c r="V122" s="397"/>
      <c r="W122" s="397"/>
      <c r="X122" s="397"/>
      <c r="Y122" s="397"/>
      <c r="Z122" s="397"/>
      <c r="AA122" s="397"/>
    </row>
    <row r="123" ht="15.75" customHeight="1">
      <c r="A123" s="397"/>
      <c r="B123" s="397"/>
      <c r="C123" s="397"/>
      <c r="D123" s="397"/>
      <c r="E123" s="397"/>
      <c r="F123" s="397"/>
      <c r="G123" s="397"/>
      <c r="H123" s="397"/>
      <c r="I123" s="397"/>
      <c r="J123" s="397"/>
      <c r="K123" s="397"/>
      <c r="L123" s="397"/>
      <c r="M123" s="397"/>
      <c r="N123" s="397"/>
      <c r="O123" s="397"/>
      <c r="P123" s="397"/>
      <c r="Q123" s="397"/>
      <c r="R123" s="397"/>
      <c r="S123" s="397"/>
      <c r="T123" s="397"/>
      <c r="U123" s="397"/>
      <c r="V123" s="397"/>
      <c r="W123" s="397"/>
      <c r="X123" s="397"/>
      <c r="Y123" s="397"/>
      <c r="Z123" s="397"/>
      <c r="AA123" s="397"/>
    </row>
    <row r="124" ht="15.75" customHeight="1">
      <c r="A124" s="397"/>
      <c r="B124" s="397"/>
      <c r="C124" s="397"/>
      <c r="D124" s="397"/>
      <c r="E124" s="397"/>
      <c r="F124" s="397"/>
      <c r="G124" s="397"/>
      <c r="H124" s="397"/>
      <c r="I124" s="397"/>
      <c r="J124" s="397"/>
      <c r="K124" s="397"/>
      <c r="L124" s="397"/>
      <c r="M124" s="397"/>
      <c r="N124" s="397"/>
      <c r="O124" s="397"/>
      <c r="P124" s="397"/>
      <c r="Q124" s="397"/>
      <c r="R124" s="397"/>
      <c r="S124" s="397"/>
      <c r="T124" s="397"/>
      <c r="U124" s="397"/>
      <c r="V124" s="397"/>
      <c r="W124" s="397"/>
      <c r="X124" s="397"/>
      <c r="Y124" s="397"/>
      <c r="Z124" s="397"/>
      <c r="AA124" s="397"/>
    </row>
    <row r="125" ht="15.75" customHeight="1">
      <c r="A125" s="397"/>
      <c r="B125" s="397"/>
      <c r="C125" s="397"/>
      <c r="D125" s="397"/>
      <c r="E125" s="397"/>
      <c r="F125" s="397"/>
      <c r="G125" s="397"/>
      <c r="H125" s="397"/>
      <c r="I125" s="397"/>
      <c r="J125" s="397"/>
      <c r="K125" s="397"/>
      <c r="L125" s="397"/>
      <c r="M125" s="397"/>
      <c r="N125" s="397"/>
      <c r="O125" s="397"/>
      <c r="P125" s="397"/>
      <c r="Q125" s="397"/>
      <c r="R125" s="397"/>
      <c r="S125" s="397"/>
      <c r="T125" s="397"/>
      <c r="U125" s="397"/>
      <c r="V125" s="397"/>
      <c r="W125" s="397"/>
      <c r="X125" s="397"/>
      <c r="Y125" s="397"/>
      <c r="Z125" s="397"/>
      <c r="AA125" s="397"/>
    </row>
    <row r="126" ht="15.75" customHeight="1">
      <c r="A126" s="397"/>
      <c r="B126" s="397"/>
      <c r="C126" s="397"/>
      <c r="D126" s="397"/>
      <c r="E126" s="397"/>
      <c r="F126" s="397"/>
      <c r="G126" s="397"/>
      <c r="H126" s="397"/>
      <c r="I126" s="397"/>
      <c r="J126" s="397"/>
      <c r="K126" s="397"/>
      <c r="L126" s="397"/>
      <c r="M126" s="397"/>
      <c r="N126" s="397"/>
      <c r="O126" s="397"/>
      <c r="P126" s="397"/>
      <c r="Q126" s="397"/>
      <c r="R126" s="397"/>
      <c r="S126" s="397"/>
      <c r="T126" s="397"/>
      <c r="U126" s="397"/>
      <c r="V126" s="397"/>
      <c r="W126" s="397"/>
      <c r="X126" s="397"/>
      <c r="Y126" s="397"/>
      <c r="Z126" s="397"/>
      <c r="AA126" s="397"/>
    </row>
    <row r="127" ht="15.75" customHeight="1">
      <c r="A127" s="397"/>
      <c r="B127" s="397"/>
      <c r="C127" s="397"/>
      <c r="D127" s="397"/>
      <c r="E127" s="397"/>
      <c r="F127" s="397"/>
      <c r="G127" s="397"/>
      <c r="H127" s="397"/>
      <c r="I127" s="397"/>
      <c r="J127" s="397"/>
      <c r="K127" s="397"/>
      <c r="L127" s="397"/>
      <c r="M127" s="397"/>
      <c r="N127" s="397"/>
      <c r="O127" s="397"/>
      <c r="P127" s="397"/>
      <c r="Q127" s="397"/>
      <c r="R127" s="397"/>
      <c r="S127" s="397"/>
      <c r="T127" s="397"/>
      <c r="U127" s="397"/>
      <c r="V127" s="397"/>
      <c r="W127" s="397"/>
      <c r="X127" s="397"/>
      <c r="Y127" s="397"/>
      <c r="Z127" s="397"/>
      <c r="AA127" s="397"/>
    </row>
    <row r="128" ht="15.75" customHeight="1">
      <c r="A128" s="397"/>
      <c r="B128" s="397"/>
      <c r="C128" s="397"/>
      <c r="D128" s="397"/>
      <c r="E128" s="397"/>
      <c r="F128" s="397"/>
      <c r="G128" s="397"/>
      <c r="H128" s="397"/>
      <c r="I128" s="397"/>
      <c r="J128" s="397"/>
      <c r="K128" s="397"/>
      <c r="L128" s="397"/>
      <c r="M128" s="397"/>
      <c r="N128" s="397"/>
      <c r="O128" s="397"/>
      <c r="P128" s="397"/>
      <c r="Q128" s="397"/>
      <c r="R128" s="397"/>
      <c r="S128" s="397"/>
      <c r="T128" s="397"/>
      <c r="U128" s="397"/>
      <c r="V128" s="397"/>
      <c r="W128" s="397"/>
      <c r="X128" s="397"/>
      <c r="Y128" s="397"/>
      <c r="Z128" s="397"/>
      <c r="AA128" s="397"/>
    </row>
    <row r="129" ht="15.75" customHeight="1">
      <c r="A129" s="397"/>
      <c r="B129" s="397"/>
      <c r="C129" s="397"/>
      <c r="D129" s="397"/>
      <c r="E129" s="397"/>
      <c r="F129" s="397"/>
      <c r="G129" s="397"/>
      <c r="H129" s="397"/>
      <c r="I129" s="397"/>
      <c r="J129" s="397"/>
      <c r="K129" s="397"/>
      <c r="L129" s="397"/>
      <c r="M129" s="397"/>
      <c r="N129" s="397"/>
      <c r="O129" s="397"/>
      <c r="P129" s="397"/>
      <c r="Q129" s="397"/>
      <c r="R129" s="397"/>
      <c r="S129" s="397"/>
      <c r="T129" s="397"/>
      <c r="U129" s="397"/>
      <c r="V129" s="397"/>
      <c r="W129" s="397"/>
      <c r="X129" s="397"/>
      <c r="Y129" s="397"/>
      <c r="Z129" s="397"/>
      <c r="AA129" s="397"/>
    </row>
    <row r="130" ht="15.75" customHeight="1">
      <c r="A130" s="397"/>
      <c r="B130" s="397"/>
      <c r="C130" s="397"/>
      <c r="D130" s="397"/>
      <c r="E130" s="397"/>
      <c r="F130" s="397"/>
      <c r="G130" s="397"/>
      <c r="H130" s="397"/>
      <c r="I130" s="397"/>
      <c r="J130" s="397"/>
      <c r="K130" s="397"/>
      <c r="L130" s="397"/>
      <c r="M130" s="397"/>
      <c r="N130" s="397"/>
      <c r="O130" s="397"/>
      <c r="P130" s="397"/>
      <c r="Q130" s="397"/>
      <c r="R130" s="397"/>
      <c r="S130" s="397"/>
      <c r="T130" s="397"/>
      <c r="U130" s="397"/>
      <c r="V130" s="397"/>
      <c r="W130" s="397"/>
      <c r="X130" s="397"/>
      <c r="Y130" s="397"/>
      <c r="Z130" s="397"/>
      <c r="AA130" s="397"/>
    </row>
    <row r="131" ht="15.75" customHeight="1">
      <c r="A131" s="397"/>
      <c r="B131" s="397"/>
      <c r="C131" s="397"/>
      <c r="D131" s="397"/>
      <c r="E131" s="397"/>
      <c r="F131" s="397"/>
      <c r="G131" s="397"/>
      <c r="H131" s="397"/>
      <c r="I131" s="397"/>
      <c r="J131" s="397"/>
      <c r="K131" s="397"/>
      <c r="L131" s="397"/>
      <c r="M131" s="397"/>
      <c r="N131" s="397"/>
      <c r="O131" s="397"/>
      <c r="P131" s="397"/>
      <c r="Q131" s="397"/>
      <c r="R131" s="397"/>
      <c r="S131" s="397"/>
      <c r="T131" s="397"/>
      <c r="U131" s="397"/>
      <c r="V131" s="397"/>
      <c r="W131" s="397"/>
      <c r="X131" s="397"/>
      <c r="Y131" s="397"/>
      <c r="Z131" s="397"/>
      <c r="AA131" s="397"/>
    </row>
    <row r="132" ht="15.75" customHeight="1">
      <c r="A132" s="397"/>
      <c r="B132" s="397"/>
      <c r="C132" s="397"/>
      <c r="D132" s="397"/>
      <c r="E132" s="397"/>
      <c r="F132" s="397"/>
      <c r="G132" s="397"/>
      <c r="H132" s="397"/>
      <c r="I132" s="397"/>
      <c r="J132" s="397"/>
      <c r="K132" s="397"/>
      <c r="L132" s="397"/>
      <c r="M132" s="397"/>
      <c r="N132" s="397"/>
      <c r="O132" s="397"/>
      <c r="P132" s="397"/>
      <c r="Q132" s="397"/>
      <c r="R132" s="397"/>
      <c r="S132" s="397"/>
      <c r="T132" s="397"/>
      <c r="U132" s="397"/>
      <c r="V132" s="397"/>
      <c r="W132" s="397"/>
      <c r="X132" s="397"/>
      <c r="Y132" s="397"/>
      <c r="Z132" s="397"/>
      <c r="AA132" s="397"/>
    </row>
    <row r="133" ht="15.75" customHeight="1">
      <c r="A133" s="397"/>
      <c r="B133" s="397"/>
      <c r="C133" s="397"/>
      <c r="D133" s="397"/>
      <c r="E133" s="397"/>
      <c r="F133" s="397"/>
      <c r="G133" s="397"/>
      <c r="H133" s="397"/>
      <c r="I133" s="397"/>
      <c r="J133" s="397"/>
      <c r="K133" s="397"/>
      <c r="L133" s="397"/>
      <c r="M133" s="397"/>
      <c r="N133" s="397"/>
      <c r="O133" s="397"/>
      <c r="P133" s="397"/>
      <c r="Q133" s="397"/>
      <c r="R133" s="397"/>
      <c r="S133" s="397"/>
      <c r="T133" s="397"/>
      <c r="U133" s="397"/>
      <c r="V133" s="397"/>
      <c r="W133" s="397"/>
      <c r="X133" s="397"/>
      <c r="Y133" s="397"/>
      <c r="Z133" s="397"/>
      <c r="AA133" s="397"/>
    </row>
    <row r="134" ht="15.75" customHeight="1">
      <c r="A134" s="397"/>
      <c r="B134" s="397"/>
      <c r="C134" s="397"/>
      <c r="D134" s="397"/>
      <c r="E134" s="397"/>
      <c r="F134" s="397"/>
      <c r="G134" s="397"/>
      <c r="H134" s="397"/>
      <c r="I134" s="397"/>
      <c r="J134" s="397"/>
      <c r="K134" s="397"/>
      <c r="L134" s="397"/>
      <c r="M134" s="397"/>
      <c r="N134" s="397"/>
      <c r="O134" s="397"/>
      <c r="P134" s="397"/>
      <c r="Q134" s="397"/>
      <c r="R134" s="397"/>
      <c r="S134" s="397"/>
      <c r="T134" s="397"/>
      <c r="U134" s="397"/>
      <c r="V134" s="397"/>
      <c r="W134" s="397"/>
      <c r="X134" s="397"/>
      <c r="Y134" s="397"/>
      <c r="Z134" s="397"/>
      <c r="AA134" s="397"/>
    </row>
    <row r="135" ht="15.75" customHeight="1">
      <c r="A135" s="397"/>
      <c r="B135" s="397"/>
      <c r="C135" s="397"/>
      <c r="D135" s="397"/>
      <c r="E135" s="397"/>
      <c r="F135" s="397"/>
      <c r="G135" s="397"/>
      <c r="H135" s="397"/>
      <c r="I135" s="397"/>
      <c r="J135" s="397"/>
      <c r="K135" s="397"/>
      <c r="L135" s="397"/>
      <c r="M135" s="397"/>
      <c r="N135" s="397"/>
      <c r="O135" s="397"/>
      <c r="P135" s="397"/>
      <c r="Q135" s="397"/>
      <c r="R135" s="397"/>
      <c r="S135" s="397"/>
      <c r="T135" s="397"/>
      <c r="U135" s="397"/>
      <c r="V135" s="397"/>
      <c r="W135" s="397"/>
      <c r="X135" s="397"/>
      <c r="Y135" s="397"/>
      <c r="Z135" s="397"/>
      <c r="AA135" s="397"/>
    </row>
    <row r="136" ht="15.75" customHeight="1">
      <c r="A136" s="397"/>
      <c r="B136" s="397"/>
      <c r="C136" s="397"/>
      <c r="D136" s="397"/>
      <c r="E136" s="397"/>
      <c r="F136" s="397"/>
      <c r="G136" s="397"/>
      <c r="H136" s="397"/>
      <c r="I136" s="397"/>
      <c r="J136" s="397"/>
      <c r="K136" s="397"/>
      <c r="L136" s="397"/>
      <c r="M136" s="397"/>
      <c r="N136" s="397"/>
      <c r="O136" s="397"/>
      <c r="P136" s="397"/>
      <c r="Q136" s="397"/>
      <c r="R136" s="397"/>
      <c r="S136" s="397"/>
      <c r="T136" s="397"/>
      <c r="U136" s="397"/>
      <c r="V136" s="397"/>
      <c r="W136" s="397"/>
      <c r="X136" s="397"/>
      <c r="Y136" s="397"/>
      <c r="Z136" s="397"/>
      <c r="AA136" s="397"/>
    </row>
    <row r="137" ht="15.75" customHeight="1">
      <c r="A137" s="397"/>
      <c r="B137" s="397"/>
      <c r="C137" s="397"/>
      <c r="D137" s="397"/>
      <c r="E137" s="397"/>
      <c r="F137" s="397"/>
      <c r="G137" s="397"/>
      <c r="H137" s="397"/>
      <c r="I137" s="397"/>
      <c r="J137" s="397"/>
      <c r="K137" s="397"/>
      <c r="L137" s="397"/>
      <c r="M137" s="397"/>
      <c r="N137" s="397"/>
      <c r="O137" s="397"/>
      <c r="P137" s="397"/>
      <c r="Q137" s="397"/>
      <c r="R137" s="397"/>
      <c r="S137" s="397"/>
      <c r="T137" s="397"/>
      <c r="U137" s="397"/>
      <c r="V137" s="397"/>
      <c r="W137" s="397"/>
      <c r="X137" s="397"/>
      <c r="Y137" s="397"/>
      <c r="Z137" s="397"/>
      <c r="AA137" s="397"/>
    </row>
    <row r="138" ht="15.75" customHeight="1">
      <c r="A138" s="397"/>
      <c r="B138" s="397"/>
      <c r="C138" s="397"/>
      <c r="D138" s="397"/>
      <c r="E138" s="397"/>
      <c r="F138" s="397"/>
      <c r="G138" s="397"/>
      <c r="H138" s="397"/>
      <c r="I138" s="397"/>
      <c r="J138" s="397"/>
      <c r="K138" s="397"/>
      <c r="L138" s="397"/>
      <c r="M138" s="397"/>
      <c r="N138" s="397"/>
      <c r="O138" s="397"/>
      <c r="P138" s="397"/>
      <c r="Q138" s="397"/>
      <c r="R138" s="397"/>
      <c r="S138" s="397"/>
      <c r="T138" s="397"/>
      <c r="U138" s="397"/>
      <c r="V138" s="397"/>
      <c r="W138" s="397"/>
      <c r="X138" s="397"/>
      <c r="Y138" s="397"/>
      <c r="Z138" s="397"/>
      <c r="AA138" s="397"/>
    </row>
    <row r="139" ht="15.75" customHeight="1">
      <c r="A139" s="397"/>
      <c r="B139" s="397"/>
      <c r="C139" s="397"/>
      <c r="D139" s="397"/>
      <c r="E139" s="397"/>
      <c r="F139" s="397"/>
      <c r="G139" s="397"/>
      <c r="H139" s="397"/>
      <c r="I139" s="397"/>
      <c r="J139" s="397"/>
      <c r="K139" s="397"/>
      <c r="L139" s="397"/>
      <c r="M139" s="397"/>
      <c r="N139" s="397"/>
      <c r="O139" s="397"/>
      <c r="P139" s="397"/>
      <c r="Q139" s="397"/>
      <c r="R139" s="397"/>
      <c r="S139" s="397"/>
      <c r="T139" s="397"/>
      <c r="U139" s="397"/>
      <c r="V139" s="397"/>
      <c r="W139" s="397"/>
      <c r="X139" s="397"/>
      <c r="Y139" s="397"/>
      <c r="Z139" s="397"/>
      <c r="AA139" s="397"/>
    </row>
    <row r="140" ht="15.75" customHeight="1">
      <c r="A140" s="397"/>
      <c r="B140" s="397"/>
      <c r="C140" s="397"/>
      <c r="D140" s="397"/>
      <c r="E140" s="397"/>
      <c r="F140" s="397"/>
      <c r="G140" s="397"/>
      <c r="H140" s="397"/>
      <c r="I140" s="397"/>
      <c r="J140" s="397"/>
      <c r="K140" s="397"/>
      <c r="L140" s="397"/>
      <c r="M140" s="397"/>
      <c r="N140" s="397"/>
      <c r="O140" s="397"/>
      <c r="P140" s="397"/>
      <c r="Q140" s="397"/>
      <c r="R140" s="397"/>
      <c r="S140" s="397"/>
      <c r="T140" s="397"/>
      <c r="U140" s="397"/>
      <c r="V140" s="397"/>
      <c r="W140" s="397"/>
      <c r="X140" s="397"/>
      <c r="Y140" s="397"/>
      <c r="Z140" s="397"/>
      <c r="AA140" s="397"/>
    </row>
    <row r="141" ht="15.75" customHeight="1">
      <c r="A141" s="397"/>
      <c r="B141" s="397"/>
      <c r="C141" s="397"/>
      <c r="D141" s="397"/>
      <c r="E141" s="397"/>
      <c r="F141" s="397"/>
      <c r="G141" s="397"/>
      <c r="H141" s="397"/>
      <c r="I141" s="397"/>
      <c r="J141" s="397"/>
      <c r="K141" s="397"/>
      <c r="L141" s="397"/>
      <c r="M141" s="397"/>
      <c r="N141" s="397"/>
      <c r="O141" s="397"/>
      <c r="P141" s="397"/>
      <c r="Q141" s="397"/>
      <c r="R141" s="397"/>
      <c r="S141" s="397"/>
      <c r="T141" s="397"/>
      <c r="U141" s="397"/>
      <c r="V141" s="397"/>
      <c r="W141" s="397"/>
      <c r="X141" s="397"/>
      <c r="Y141" s="397"/>
      <c r="Z141" s="397"/>
      <c r="AA141" s="397"/>
    </row>
    <row r="142" ht="15.75" customHeight="1">
      <c r="A142" s="397"/>
      <c r="B142" s="397"/>
      <c r="C142" s="397"/>
      <c r="D142" s="397"/>
      <c r="E142" s="397"/>
      <c r="F142" s="397"/>
      <c r="G142" s="397"/>
      <c r="H142" s="397"/>
      <c r="I142" s="397"/>
      <c r="J142" s="397"/>
      <c r="K142" s="397"/>
      <c r="L142" s="397"/>
      <c r="M142" s="397"/>
      <c r="N142" s="397"/>
      <c r="O142" s="397"/>
      <c r="P142" s="397"/>
      <c r="Q142" s="397"/>
      <c r="R142" s="397"/>
      <c r="S142" s="397"/>
      <c r="T142" s="397"/>
      <c r="U142" s="397"/>
      <c r="V142" s="397"/>
      <c r="W142" s="397"/>
      <c r="X142" s="397"/>
      <c r="Y142" s="397"/>
      <c r="Z142" s="397"/>
      <c r="AA142" s="397"/>
    </row>
    <row r="143" ht="15.75" customHeight="1">
      <c r="A143" s="397"/>
      <c r="B143" s="397"/>
      <c r="C143" s="397"/>
      <c r="D143" s="397"/>
      <c r="E143" s="397"/>
      <c r="F143" s="397"/>
      <c r="G143" s="397"/>
      <c r="H143" s="397"/>
      <c r="I143" s="397"/>
      <c r="J143" s="397"/>
      <c r="K143" s="397"/>
      <c r="L143" s="397"/>
      <c r="M143" s="397"/>
      <c r="N143" s="397"/>
      <c r="O143" s="397"/>
      <c r="P143" s="397"/>
      <c r="Q143" s="397"/>
      <c r="R143" s="397"/>
      <c r="S143" s="397"/>
      <c r="T143" s="397"/>
      <c r="U143" s="397"/>
      <c r="V143" s="397"/>
      <c r="W143" s="397"/>
      <c r="X143" s="397"/>
      <c r="Y143" s="397"/>
      <c r="Z143" s="397"/>
      <c r="AA143" s="397"/>
    </row>
    <row r="144" ht="15.75" customHeight="1">
      <c r="A144" s="397"/>
      <c r="B144" s="397"/>
      <c r="C144" s="397"/>
      <c r="D144" s="397"/>
      <c r="E144" s="397"/>
      <c r="F144" s="397"/>
      <c r="G144" s="397"/>
      <c r="H144" s="397"/>
      <c r="I144" s="397"/>
      <c r="J144" s="397"/>
      <c r="K144" s="397"/>
      <c r="L144" s="397"/>
      <c r="M144" s="397"/>
      <c r="N144" s="397"/>
      <c r="O144" s="397"/>
      <c r="P144" s="397"/>
      <c r="Q144" s="397"/>
      <c r="R144" s="397"/>
      <c r="S144" s="397"/>
      <c r="T144" s="397"/>
      <c r="U144" s="397"/>
      <c r="V144" s="397"/>
      <c r="W144" s="397"/>
      <c r="X144" s="397"/>
      <c r="Y144" s="397"/>
      <c r="Z144" s="397"/>
      <c r="AA144" s="397"/>
    </row>
    <row r="145" ht="15.75" customHeight="1">
      <c r="A145" s="397"/>
      <c r="B145" s="397"/>
      <c r="C145" s="397"/>
      <c r="D145" s="397"/>
      <c r="E145" s="397"/>
      <c r="F145" s="397"/>
      <c r="G145" s="397"/>
      <c r="H145" s="397"/>
      <c r="I145" s="397"/>
      <c r="J145" s="397"/>
      <c r="K145" s="397"/>
      <c r="L145" s="397"/>
      <c r="M145" s="397"/>
      <c r="N145" s="397"/>
      <c r="O145" s="397"/>
      <c r="P145" s="397"/>
      <c r="Q145" s="397"/>
      <c r="R145" s="397"/>
      <c r="S145" s="397"/>
      <c r="T145" s="397"/>
      <c r="U145" s="397"/>
      <c r="V145" s="397"/>
      <c r="W145" s="397"/>
      <c r="X145" s="397"/>
      <c r="Y145" s="397"/>
      <c r="Z145" s="397"/>
      <c r="AA145" s="397"/>
    </row>
    <row r="146" ht="15.75" customHeight="1">
      <c r="A146" s="397"/>
      <c r="B146" s="397"/>
      <c r="C146" s="397"/>
      <c r="D146" s="397"/>
      <c r="E146" s="397"/>
      <c r="F146" s="397"/>
      <c r="G146" s="397"/>
      <c r="H146" s="397"/>
      <c r="I146" s="397"/>
      <c r="J146" s="397"/>
      <c r="K146" s="397"/>
      <c r="L146" s="397"/>
      <c r="M146" s="397"/>
      <c r="N146" s="397"/>
      <c r="O146" s="397"/>
      <c r="P146" s="397"/>
      <c r="Q146" s="397"/>
      <c r="R146" s="397"/>
      <c r="S146" s="397"/>
      <c r="T146" s="397"/>
      <c r="U146" s="397"/>
      <c r="V146" s="397"/>
      <c r="W146" s="397"/>
      <c r="X146" s="397"/>
      <c r="Y146" s="397"/>
      <c r="Z146" s="397"/>
      <c r="AA146" s="397"/>
    </row>
    <row r="147" ht="15.75" customHeight="1">
      <c r="A147" s="397"/>
      <c r="B147" s="397"/>
      <c r="C147" s="397"/>
      <c r="D147" s="397"/>
      <c r="E147" s="397"/>
      <c r="F147" s="397"/>
      <c r="G147" s="397"/>
      <c r="H147" s="397"/>
      <c r="I147" s="397"/>
      <c r="J147" s="397"/>
      <c r="K147" s="397"/>
      <c r="L147" s="397"/>
      <c r="M147" s="397"/>
      <c r="N147" s="397"/>
      <c r="O147" s="397"/>
      <c r="P147" s="397"/>
      <c r="Q147" s="397"/>
      <c r="R147" s="397"/>
      <c r="S147" s="397"/>
      <c r="T147" s="397"/>
      <c r="U147" s="397"/>
      <c r="V147" s="397"/>
      <c r="W147" s="397"/>
      <c r="X147" s="397"/>
      <c r="Y147" s="397"/>
      <c r="Z147" s="397"/>
      <c r="AA147" s="397"/>
    </row>
    <row r="148" ht="15.75" customHeight="1">
      <c r="A148" s="397"/>
      <c r="B148" s="397"/>
      <c r="C148" s="397"/>
      <c r="D148" s="397"/>
      <c r="E148" s="397"/>
      <c r="F148" s="397"/>
      <c r="G148" s="397"/>
      <c r="H148" s="397"/>
      <c r="I148" s="397"/>
      <c r="J148" s="397"/>
      <c r="K148" s="397"/>
      <c r="L148" s="397"/>
      <c r="M148" s="397"/>
      <c r="N148" s="397"/>
      <c r="O148" s="397"/>
      <c r="P148" s="397"/>
      <c r="Q148" s="397"/>
      <c r="R148" s="397"/>
      <c r="S148" s="397"/>
      <c r="T148" s="397"/>
      <c r="U148" s="397"/>
      <c r="V148" s="397"/>
      <c r="W148" s="397"/>
      <c r="X148" s="397"/>
      <c r="Y148" s="397"/>
      <c r="Z148" s="397"/>
      <c r="AA148" s="397"/>
    </row>
    <row r="149" ht="15.75" customHeight="1">
      <c r="A149" s="397"/>
      <c r="B149" s="397"/>
      <c r="C149" s="397"/>
      <c r="D149" s="397"/>
      <c r="E149" s="397"/>
      <c r="F149" s="397"/>
      <c r="G149" s="397"/>
      <c r="H149" s="397"/>
      <c r="I149" s="397"/>
      <c r="J149" s="397"/>
      <c r="K149" s="397"/>
      <c r="L149" s="397"/>
      <c r="M149" s="397"/>
      <c r="N149" s="397"/>
      <c r="O149" s="397"/>
      <c r="P149" s="397"/>
      <c r="Q149" s="397"/>
      <c r="R149" s="397"/>
      <c r="S149" s="397"/>
      <c r="T149" s="397"/>
      <c r="U149" s="397"/>
      <c r="V149" s="397"/>
      <c r="W149" s="397"/>
      <c r="X149" s="397"/>
      <c r="Y149" s="397"/>
      <c r="Z149" s="397"/>
      <c r="AA149" s="397"/>
    </row>
    <row r="150" ht="15.75" customHeight="1">
      <c r="A150" s="397"/>
      <c r="B150" s="397"/>
      <c r="C150" s="397"/>
      <c r="D150" s="397"/>
      <c r="E150" s="397"/>
      <c r="F150" s="397"/>
      <c r="G150" s="397"/>
      <c r="H150" s="397"/>
      <c r="I150" s="397"/>
      <c r="J150" s="397"/>
      <c r="K150" s="397"/>
      <c r="L150" s="397"/>
      <c r="M150" s="397"/>
      <c r="N150" s="397"/>
      <c r="O150" s="397"/>
      <c r="P150" s="397"/>
      <c r="Q150" s="397"/>
      <c r="R150" s="397"/>
      <c r="S150" s="397"/>
      <c r="T150" s="397"/>
      <c r="U150" s="397"/>
      <c r="V150" s="397"/>
      <c r="W150" s="397"/>
      <c r="X150" s="397"/>
      <c r="Y150" s="397"/>
      <c r="Z150" s="397"/>
      <c r="AA150" s="397"/>
    </row>
    <row r="151" ht="15.75" customHeight="1">
      <c r="A151" s="397"/>
      <c r="B151" s="397"/>
      <c r="C151" s="397"/>
      <c r="D151" s="397"/>
      <c r="E151" s="397"/>
      <c r="F151" s="397"/>
      <c r="G151" s="397"/>
      <c r="H151" s="397"/>
      <c r="I151" s="397"/>
      <c r="J151" s="397"/>
      <c r="K151" s="397"/>
      <c r="L151" s="397"/>
      <c r="M151" s="397"/>
      <c r="N151" s="397"/>
      <c r="O151" s="397"/>
      <c r="P151" s="397"/>
      <c r="Q151" s="397"/>
      <c r="R151" s="397"/>
      <c r="S151" s="397"/>
      <c r="T151" s="397"/>
      <c r="U151" s="397"/>
      <c r="V151" s="397"/>
      <c r="W151" s="397"/>
      <c r="X151" s="397"/>
      <c r="Y151" s="397"/>
      <c r="Z151" s="397"/>
      <c r="AA151" s="397"/>
    </row>
    <row r="152" ht="15.75" customHeight="1">
      <c r="A152" s="397"/>
      <c r="B152" s="397"/>
      <c r="C152" s="397"/>
      <c r="D152" s="397"/>
      <c r="E152" s="397"/>
      <c r="F152" s="397"/>
      <c r="G152" s="397"/>
      <c r="H152" s="397"/>
      <c r="I152" s="397"/>
      <c r="J152" s="397"/>
      <c r="K152" s="397"/>
      <c r="L152" s="397"/>
      <c r="M152" s="397"/>
      <c r="N152" s="397"/>
      <c r="O152" s="397"/>
      <c r="P152" s="397"/>
      <c r="Q152" s="397"/>
      <c r="R152" s="397"/>
      <c r="S152" s="397"/>
      <c r="T152" s="397"/>
      <c r="U152" s="397"/>
      <c r="V152" s="397"/>
      <c r="W152" s="397"/>
      <c r="X152" s="397"/>
      <c r="Y152" s="397"/>
      <c r="Z152" s="397"/>
      <c r="AA152" s="397"/>
    </row>
    <row r="153" ht="15.75" customHeight="1">
      <c r="A153" s="397"/>
      <c r="B153" s="397"/>
      <c r="C153" s="397"/>
      <c r="D153" s="397"/>
      <c r="E153" s="397"/>
      <c r="F153" s="397"/>
      <c r="G153" s="397"/>
      <c r="H153" s="397"/>
      <c r="I153" s="397"/>
      <c r="J153" s="397"/>
      <c r="K153" s="397"/>
      <c r="L153" s="397"/>
      <c r="M153" s="397"/>
      <c r="N153" s="397"/>
      <c r="O153" s="397"/>
      <c r="P153" s="397"/>
      <c r="Q153" s="397"/>
      <c r="R153" s="397"/>
      <c r="S153" s="397"/>
      <c r="T153" s="397"/>
      <c r="U153" s="397"/>
      <c r="V153" s="397"/>
      <c r="W153" s="397"/>
      <c r="X153" s="397"/>
      <c r="Y153" s="397"/>
      <c r="Z153" s="397"/>
      <c r="AA153" s="397"/>
    </row>
    <row r="154" ht="15.75" customHeight="1">
      <c r="A154" s="397"/>
      <c r="B154" s="397"/>
      <c r="C154" s="397"/>
      <c r="D154" s="397"/>
      <c r="E154" s="397"/>
      <c r="F154" s="397"/>
      <c r="G154" s="397"/>
      <c r="H154" s="397"/>
      <c r="I154" s="397"/>
      <c r="J154" s="397"/>
      <c r="K154" s="397"/>
      <c r="L154" s="397"/>
      <c r="M154" s="397"/>
      <c r="N154" s="397"/>
      <c r="O154" s="397"/>
      <c r="P154" s="397"/>
      <c r="Q154" s="397"/>
      <c r="R154" s="397"/>
      <c r="S154" s="397"/>
      <c r="T154" s="397"/>
      <c r="U154" s="397"/>
      <c r="V154" s="397"/>
      <c r="W154" s="397"/>
      <c r="X154" s="397"/>
      <c r="Y154" s="397"/>
      <c r="Z154" s="397"/>
      <c r="AA154" s="397"/>
    </row>
    <row r="155" ht="15.75" customHeight="1">
      <c r="A155" s="397"/>
      <c r="B155" s="397"/>
      <c r="C155" s="397"/>
      <c r="D155" s="397"/>
      <c r="E155" s="397"/>
      <c r="F155" s="397"/>
      <c r="G155" s="397"/>
      <c r="H155" s="397"/>
      <c r="I155" s="397"/>
      <c r="J155" s="397"/>
      <c r="K155" s="397"/>
      <c r="L155" s="397"/>
      <c r="M155" s="397"/>
      <c r="N155" s="397"/>
      <c r="O155" s="397"/>
      <c r="P155" s="397"/>
      <c r="Q155" s="397"/>
      <c r="R155" s="397"/>
      <c r="S155" s="397"/>
      <c r="T155" s="397"/>
      <c r="U155" s="397"/>
      <c r="V155" s="397"/>
      <c r="W155" s="397"/>
      <c r="X155" s="397"/>
      <c r="Y155" s="397"/>
      <c r="Z155" s="397"/>
      <c r="AA155" s="397"/>
    </row>
    <row r="156" ht="15.75" customHeight="1">
      <c r="A156" s="397"/>
      <c r="B156" s="397"/>
      <c r="C156" s="397"/>
      <c r="D156" s="397"/>
      <c r="E156" s="397"/>
      <c r="F156" s="397"/>
      <c r="G156" s="397"/>
      <c r="H156" s="397"/>
      <c r="I156" s="397"/>
      <c r="J156" s="397"/>
      <c r="K156" s="397"/>
      <c r="L156" s="397"/>
      <c r="M156" s="397"/>
      <c r="N156" s="397"/>
      <c r="O156" s="397"/>
      <c r="P156" s="397"/>
      <c r="Q156" s="397"/>
      <c r="R156" s="397"/>
      <c r="S156" s="397"/>
      <c r="T156" s="397"/>
      <c r="U156" s="397"/>
      <c r="V156" s="397"/>
      <c r="W156" s="397"/>
      <c r="X156" s="397"/>
      <c r="Y156" s="397"/>
      <c r="Z156" s="397"/>
      <c r="AA156" s="397"/>
    </row>
    <row r="157" ht="15.75" customHeight="1">
      <c r="A157" s="397"/>
      <c r="B157" s="397"/>
      <c r="C157" s="397"/>
      <c r="D157" s="397"/>
      <c r="E157" s="397"/>
      <c r="F157" s="397"/>
      <c r="G157" s="397"/>
      <c r="H157" s="397"/>
      <c r="I157" s="397"/>
      <c r="J157" s="397"/>
      <c r="K157" s="397"/>
      <c r="L157" s="397"/>
      <c r="M157" s="397"/>
      <c r="N157" s="397"/>
      <c r="O157" s="397"/>
      <c r="P157" s="397"/>
      <c r="Q157" s="397"/>
      <c r="R157" s="397"/>
      <c r="S157" s="397"/>
      <c r="T157" s="397"/>
      <c r="U157" s="397"/>
      <c r="V157" s="397"/>
      <c r="W157" s="397"/>
      <c r="X157" s="397"/>
      <c r="Y157" s="397"/>
      <c r="Z157" s="397"/>
      <c r="AA157" s="397"/>
    </row>
    <row r="158" ht="15.75" customHeight="1">
      <c r="A158" s="397"/>
      <c r="B158" s="397"/>
      <c r="C158" s="397"/>
      <c r="D158" s="397"/>
      <c r="E158" s="397"/>
      <c r="F158" s="397"/>
      <c r="G158" s="397"/>
      <c r="H158" s="397"/>
      <c r="I158" s="397"/>
      <c r="J158" s="397"/>
      <c r="K158" s="397"/>
      <c r="L158" s="397"/>
      <c r="M158" s="397"/>
      <c r="N158" s="397"/>
      <c r="O158" s="397"/>
      <c r="P158" s="397"/>
      <c r="Q158" s="397"/>
      <c r="R158" s="397"/>
      <c r="S158" s="397"/>
      <c r="T158" s="397"/>
      <c r="U158" s="397"/>
      <c r="V158" s="397"/>
      <c r="W158" s="397"/>
      <c r="X158" s="397"/>
      <c r="Y158" s="397"/>
      <c r="Z158" s="397"/>
      <c r="AA158" s="397"/>
    </row>
    <row r="159" ht="15.75" customHeight="1">
      <c r="A159" s="397"/>
      <c r="B159" s="397"/>
      <c r="C159" s="397"/>
      <c r="D159" s="397"/>
      <c r="E159" s="397"/>
      <c r="F159" s="397"/>
      <c r="G159" s="397"/>
      <c r="H159" s="397"/>
      <c r="I159" s="397"/>
      <c r="J159" s="397"/>
      <c r="K159" s="397"/>
      <c r="L159" s="397"/>
      <c r="M159" s="397"/>
      <c r="N159" s="397"/>
      <c r="O159" s="397"/>
      <c r="P159" s="397"/>
      <c r="Q159" s="397"/>
      <c r="R159" s="397"/>
      <c r="S159" s="397"/>
      <c r="T159" s="397"/>
      <c r="U159" s="397"/>
      <c r="V159" s="397"/>
      <c r="W159" s="397"/>
      <c r="X159" s="397"/>
      <c r="Y159" s="397"/>
      <c r="Z159" s="397"/>
      <c r="AA159" s="397"/>
    </row>
    <row r="160" ht="15.75" customHeight="1">
      <c r="A160" s="397"/>
      <c r="B160" s="397"/>
      <c r="C160" s="397"/>
      <c r="D160" s="397"/>
      <c r="E160" s="397"/>
      <c r="F160" s="397"/>
      <c r="G160" s="397"/>
      <c r="H160" s="397"/>
      <c r="I160" s="397"/>
      <c r="J160" s="397"/>
      <c r="K160" s="397"/>
      <c r="L160" s="397"/>
      <c r="M160" s="397"/>
      <c r="N160" s="397"/>
      <c r="O160" s="397"/>
      <c r="P160" s="397"/>
      <c r="Q160" s="397"/>
      <c r="R160" s="397"/>
      <c r="S160" s="397"/>
      <c r="T160" s="397"/>
      <c r="U160" s="397"/>
      <c r="V160" s="397"/>
      <c r="W160" s="397"/>
      <c r="X160" s="397"/>
      <c r="Y160" s="397"/>
      <c r="Z160" s="397"/>
      <c r="AA160" s="397"/>
    </row>
    <row r="161" ht="15.75" customHeight="1">
      <c r="A161" s="397"/>
      <c r="B161" s="397"/>
      <c r="C161" s="397"/>
      <c r="D161" s="397"/>
      <c r="E161" s="397"/>
      <c r="F161" s="397"/>
      <c r="G161" s="397"/>
      <c r="H161" s="397"/>
      <c r="I161" s="397"/>
      <c r="J161" s="397"/>
      <c r="K161" s="397"/>
      <c r="L161" s="397"/>
      <c r="M161" s="397"/>
      <c r="N161" s="397"/>
      <c r="O161" s="397"/>
      <c r="P161" s="397"/>
      <c r="Q161" s="397"/>
      <c r="R161" s="397"/>
      <c r="S161" s="397"/>
      <c r="T161" s="397"/>
      <c r="U161" s="397"/>
      <c r="V161" s="397"/>
      <c r="W161" s="397"/>
      <c r="X161" s="397"/>
      <c r="Y161" s="397"/>
      <c r="Z161" s="397"/>
      <c r="AA161" s="397"/>
    </row>
    <row r="162" ht="15.75" customHeight="1">
      <c r="A162" s="397"/>
      <c r="B162" s="397"/>
      <c r="C162" s="397"/>
      <c r="D162" s="397"/>
      <c r="E162" s="397"/>
      <c r="F162" s="397"/>
      <c r="G162" s="397"/>
      <c r="H162" s="397"/>
      <c r="I162" s="397"/>
      <c r="J162" s="397"/>
      <c r="K162" s="397"/>
      <c r="L162" s="397"/>
      <c r="M162" s="397"/>
      <c r="N162" s="397"/>
      <c r="O162" s="397"/>
      <c r="P162" s="397"/>
      <c r="Q162" s="397"/>
      <c r="R162" s="397"/>
      <c r="S162" s="397"/>
      <c r="T162" s="397"/>
      <c r="U162" s="397"/>
      <c r="V162" s="397"/>
      <c r="W162" s="397"/>
      <c r="X162" s="397"/>
      <c r="Y162" s="397"/>
      <c r="Z162" s="397"/>
      <c r="AA162" s="397"/>
    </row>
    <row r="163" ht="15.75" customHeight="1">
      <c r="A163" s="397"/>
      <c r="B163" s="397"/>
      <c r="C163" s="397"/>
      <c r="D163" s="397"/>
      <c r="E163" s="397"/>
      <c r="F163" s="397"/>
      <c r="G163" s="397"/>
      <c r="H163" s="397"/>
      <c r="I163" s="397"/>
      <c r="J163" s="397"/>
      <c r="K163" s="397"/>
      <c r="L163" s="397"/>
      <c r="M163" s="397"/>
      <c r="N163" s="397"/>
      <c r="O163" s="397"/>
      <c r="P163" s="397"/>
      <c r="Q163" s="397"/>
      <c r="R163" s="397"/>
      <c r="S163" s="397"/>
      <c r="T163" s="397"/>
      <c r="U163" s="397"/>
      <c r="V163" s="397"/>
      <c r="W163" s="397"/>
      <c r="X163" s="397"/>
      <c r="Y163" s="397"/>
      <c r="Z163" s="397"/>
      <c r="AA163" s="397"/>
    </row>
    <row r="164" ht="15.75" customHeight="1">
      <c r="A164" s="397"/>
      <c r="B164" s="397"/>
      <c r="C164" s="397"/>
      <c r="D164" s="397"/>
      <c r="E164" s="397"/>
      <c r="F164" s="397"/>
      <c r="G164" s="397"/>
      <c r="H164" s="397"/>
      <c r="I164" s="397"/>
      <c r="J164" s="397"/>
      <c r="K164" s="397"/>
      <c r="L164" s="397"/>
      <c r="M164" s="397"/>
      <c r="N164" s="397"/>
      <c r="O164" s="397"/>
      <c r="P164" s="397"/>
      <c r="Q164" s="397"/>
      <c r="R164" s="397"/>
      <c r="S164" s="397"/>
      <c r="T164" s="397"/>
      <c r="U164" s="397"/>
      <c r="V164" s="397"/>
      <c r="W164" s="397"/>
      <c r="X164" s="397"/>
      <c r="Y164" s="397"/>
      <c r="Z164" s="397"/>
      <c r="AA164" s="397"/>
    </row>
    <row r="165" ht="15.75" customHeight="1">
      <c r="A165" s="397"/>
      <c r="B165" s="397"/>
      <c r="C165" s="397"/>
      <c r="D165" s="397"/>
      <c r="E165" s="397"/>
      <c r="F165" s="397"/>
      <c r="G165" s="397"/>
      <c r="H165" s="397"/>
      <c r="I165" s="397"/>
      <c r="J165" s="397"/>
      <c r="K165" s="397"/>
      <c r="L165" s="397"/>
      <c r="M165" s="397"/>
      <c r="N165" s="397"/>
      <c r="O165" s="397"/>
      <c r="P165" s="397"/>
      <c r="Q165" s="397"/>
      <c r="R165" s="397"/>
      <c r="S165" s="397"/>
      <c r="T165" s="397"/>
      <c r="U165" s="397"/>
      <c r="V165" s="397"/>
      <c r="W165" s="397"/>
      <c r="X165" s="397"/>
      <c r="Y165" s="397"/>
      <c r="Z165" s="397"/>
      <c r="AA165" s="397"/>
    </row>
    <row r="166" ht="15.75" customHeight="1">
      <c r="A166" s="397"/>
      <c r="B166" s="397"/>
      <c r="C166" s="397"/>
      <c r="D166" s="397"/>
      <c r="E166" s="397"/>
      <c r="F166" s="397"/>
      <c r="G166" s="397"/>
      <c r="H166" s="397"/>
      <c r="I166" s="397"/>
      <c r="J166" s="397"/>
      <c r="K166" s="397"/>
      <c r="L166" s="397"/>
      <c r="M166" s="397"/>
      <c r="N166" s="397"/>
      <c r="O166" s="397"/>
      <c r="P166" s="397"/>
      <c r="Q166" s="397"/>
      <c r="R166" s="397"/>
      <c r="S166" s="397"/>
      <c r="T166" s="397"/>
      <c r="U166" s="397"/>
      <c r="V166" s="397"/>
      <c r="W166" s="397"/>
      <c r="X166" s="397"/>
      <c r="Y166" s="397"/>
      <c r="Z166" s="397"/>
      <c r="AA166" s="397"/>
    </row>
    <row r="167" ht="15.75" customHeight="1">
      <c r="A167" s="397"/>
      <c r="B167" s="397"/>
      <c r="C167" s="397"/>
      <c r="D167" s="397"/>
      <c r="E167" s="397"/>
      <c r="F167" s="397"/>
      <c r="G167" s="397"/>
      <c r="H167" s="397"/>
      <c r="I167" s="397"/>
      <c r="J167" s="397"/>
      <c r="K167" s="397"/>
      <c r="L167" s="397"/>
      <c r="M167" s="397"/>
      <c r="N167" s="397"/>
      <c r="O167" s="397"/>
      <c r="P167" s="397"/>
      <c r="Q167" s="397"/>
      <c r="R167" s="397"/>
      <c r="S167" s="397"/>
      <c r="T167" s="397"/>
      <c r="U167" s="397"/>
      <c r="V167" s="397"/>
      <c r="W167" s="397"/>
      <c r="X167" s="397"/>
      <c r="Y167" s="397"/>
      <c r="Z167" s="397"/>
      <c r="AA167" s="397"/>
    </row>
    <row r="168" ht="15.75" customHeight="1">
      <c r="A168" s="397"/>
      <c r="B168" s="397"/>
      <c r="C168" s="397"/>
      <c r="D168" s="397"/>
      <c r="E168" s="397"/>
      <c r="F168" s="397"/>
      <c r="G168" s="397"/>
      <c r="H168" s="397"/>
      <c r="I168" s="397"/>
      <c r="J168" s="397"/>
      <c r="K168" s="397"/>
      <c r="L168" s="397"/>
      <c r="M168" s="397"/>
      <c r="N168" s="397"/>
      <c r="O168" s="397"/>
      <c r="P168" s="397"/>
      <c r="Q168" s="397"/>
      <c r="R168" s="397"/>
      <c r="S168" s="397"/>
      <c r="T168" s="397"/>
      <c r="U168" s="397"/>
      <c r="V168" s="397"/>
      <c r="W168" s="397"/>
      <c r="X168" s="397"/>
      <c r="Y168" s="397"/>
      <c r="Z168" s="397"/>
      <c r="AA168" s="397"/>
    </row>
    <row r="169" ht="15.75" customHeight="1">
      <c r="A169" s="397"/>
      <c r="B169" s="397"/>
      <c r="C169" s="397"/>
      <c r="D169" s="397"/>
      <c r="E169" s="397"/>
      <c r="F169" s="397"/>
      <c r="G169" s="397"/>
      <c r="H169" s="397"/>
      <c r="I169" s="397"/>
      <c r="J169" s="397"/>
      <c r="K169" s="397"/>
      <c r="L169" s="397"/>
      <c r="M169" s="397"/>
      <c r="N169" s="397"/>
      <c r="O169" s="397"/>
      <c r="P169" s="397"/>
      <c r="Q169" s="397"/>
      <c r="R169" s="397"/>
      <c r="S169" s="397"/>
      <c r="T169" s="397"/>
      <c r="U169" s="397"/>
      <c r="V169" s="397"/>
      <c r="W169" s="397"/>
      <c r="X169" s="397"/>
      <c r="Y169" s="397"/>
      <c r="Z169" s="397"/>
      <c r="AA169" s="397"/>
    </row>
    <row r="170" ht="15.75" customHeight="1">
      <c r="A170" s="397"/>
      <c r="B170" s="397"/>
      <c r="C170" s="397"/>
      <c r="D170" s="397"/>
      <c r="E170" s="397"/>
      <c r="F170" s="397"/>
      <c r="G170" s="397"/>
      <c r="H170" s="397"/>
      <c r="I170" s="397"/>
      <c r="J170" s="397"/>
      <c r="K170" s="397"/>
      <c r="L170" s="397"/>
      <c r="M170" s="397"/>
      <c r="N170" s="397"/>
      <c r="O170" s="397"/>
      <c r="P170" s="397"/>
      <c r="Q170" s="397"/>
      <c r="R170" s="397"/>
      <c r="S170" s="397"/>
      <c r="T170" s="397"/>
      <c r="U170" s="397"/>
      <c r="V170" s="397"/>
      <c r="W170" s="397"/>
      <c r="X170" s="397"/>
      <c r="Y170" s="397"/>
      <c r="Z170" s="397"/>
      <c r="AA170" s="397"/>
    </row>
    <row r="171" ht="15.75" customHeight="1">
      <c r="A171" s="397"/>
      <c r="B171" s="397"/>
      <c r="C171" s="397"/>
      <c r="D171" s="397"/>
      <c r="E171" s="397"/>
      <c r="F171" s="397"/>
      <c r="G171" s="397"/>
      <c r="H171" s="397"/>
      <c r="I171" s="397"/>
      <c r="J171" s="397"/>
      <c r="K171" s="397"/>
      <c r="L171" s="397"/>
      <c r="M171" s="397"/>
      <c r="N171" s="397"/>
      <c r="O171" s="397"/>
      <c r="P171" s="397"/>
      <c r="Q171" s="397"/>
      <c r="R171" s="397"/>
      <c r="S171" s="397"/>
      <c r="T171" s="397"/>
      <c r="U171" s="397"/>
      <c r="V171" s="397"/>
      <c r="W171" s="397"/>
      <c r="X171" s="397"/>
      <c r="Y171" s="397"/>
      <c r="Z171" s="397"/>
      <c r="AA171" s="397"/>
    </row>
    <row r="172" ht="15.75" customHeight="1">
      <c r="A172" s="397"/>
      <c r="B172" s="397"/>
      <c r="C172" s="397"/>
      <c r="D172" s="397"/>
      <c r="E172" s="397"/>
      <c r="F172" s="397"/>
      <c r="G172" s="397"/>
      <c r="H172" s="397"/>
      <c r="I172" s="397"/>
      <c r="J172" s="397"/>
      <c r="K172" s="397"/>
      <c r="L172" s="397"/>
      <c r="M172" s="397"/>
      <c r="N172" s="397"/>
      <c r="O172" s="397"/>
      <c r="P172" s="397"/>
      <c r="Q172" s="397"/>
      <c r="R172" s="397"/>
      <c r="S172" s="397"/>
      <c r="T172" s="397"/>
      <c r="U172" s="397"/>
      <c r="V172" s="397"/>
      <c r="W172" s="397"/>
      <c r="X172" s="397"/>
      <c r="Y172" s="397"/>
      <c r="Z172" s="397"/>
      <c r="AA172" s="397"/>
    </row>
    <row r="173" ht="15.75" customHeight="1">
      <c r="A173" s="397"/>
      <c r="B173" s="397"/>
      <c r="C173" s="397"/>
      <c r="D173" s="397"/>
      <c r="E173" s="397"/>
      <c r="F173" s="397"/>
      <c r="G173" s="397"/>
      <c r="H173" s="397"/>
      <c r="I173" s="397"/>
      <c r="J173" s="397"/>
      <c r="K173" s="397"/>
      <c r="L173" s="397"/>
      <c r="M173" s="397"/>
      <c r="N173" s="397"/>
      <c r="O173" s="397"/>
      <c r="P173" s="397"/>
      <c r="Q173" s="397"/>
      <c r="R173" s="397"/>
      <c r="S173" s="397"/>
      <c r="T173" s="397"/>
      <c r="U173" s="397"/>
      <c r="V173" s="397"/>
      <c r="W173" s="397"/>
      <c r="X173" s="397"/>
      <c r="Y173" s="397"/>
      <c r="Z173" s="397"/>
      <c r="AA173" s="397"/>
    </row>
    <row r="174" ht="15.75" customHeight="1">
      <c r="A174" s="397"/>
      <c r="B174" s="397"/>
      <c r="C174" s="397"/>
      <c r="D174" s="397"/>
      <c r="E174" s="397"/>
      <c r="F174" s="397"/>
      <c r="G174" s="397"/>
      <c r="H174" s="397"/>
      <c r="I174" s="397"/>
      <c r="J174" s="397"/>
      <c r="K174" s="397"/>
      <c r="L174" s="397"/>
      <c r="M174" s="397"/>
      <c r="N174" s="397"/>
      <c r="O174" s="397"/>
      <c r="P174" s="397"/>
      <c r="Q174" s="397"/>
      <c r="R174" s="397"/>
      <c r="S174" s="397"/>
      <c r="T174" s="397"/>
      <c r="U174" s="397"/>
      <c r="V174" s="397"/>
      <c r="W174" s="397"/>
      <c r="X174" s="397"/>
      <c r="Y174" s="397"/>
      <c r="Z174" s="397"/>
      <c r="AA174" s="397"/>
    </row>
    <row r="175" ht="15.75" customHeight="1">
      <c r="A175" s="397"/>
      <c r="B175" s="397"/>
      <c r="C175" s="397"/>
      <c r="D175" s="397"/>
      <c r="E175" s="397"/>
      <c r="F175" s="397"/>
      <c r="G175" s="397"/>
      <c r="H175" s="397"/>
      <c r="I175" s="397"/>
      <c r="J175" s="397"/>
      <c r="K175" s="397"/>
      <c r="L175" s="397"/>
      <c r="M175" s="397"/>
      <c r="N175" s="397"/>
      <c r="O175" s="397"/>
      <c r="P175" s="397"/>
      <c r="Q175" s="397"/>
      <c r="R175" s="397"/>
      <c r="S175" s="397"/>
      <c r="T175" s="397"/>
      <c r="U175" s="397"/>
      <c r="V175" s="397"/>
      <c r="W175" s="397"/>
      <c r="X175" s="397"/>
      <c r="Y175" s="397"/>
      <c r="Z175" s="397"/>
      <c r="AA175" s="397"/>
    </row>
    <row r="176" ht="15.75" customHeight="1">
      <c r="A176" s="397"/>
      <c r="B176" s="397"/>
      <c r="C176" s="397"/>
      <c r="D176" s="397"/>
      <c r="E176" s="397"/>
      <c r="F176" s="397"/>
      <c r="G176" s="397"/>
      <c r="H176" s="397"/>
      <c r="I176" s="397"/>
      <c r="J176" s="397"/>
      <c r="K176" s="397"/>
      <c r="L176" s="397"/>
      <c r="M176" s="397"/>
      <c r="N176" s="397"/>
      <c r="O176" s="397"/>
      <c r="P176" s="397"/>
      <c r="Q176" s="397"/>
      <c r="R176" s="397"/>
      <c r="S176" s="397"/>
      <c r="T176" s="397"/>
      <c r="U176" s="397"/>
      <c r="V176" s="397"/>
      <c r="W176" s="397"/>
      <c r="X176" s="397"/>
      <c r="Y176" s="397"/>
      <c r="Z176" s="397"/>
      <c r="AA176" s="397"/>
    </row>
    <row r="177" ht="15.75" customHeight="1">
      <c r="A177" s="397"/>
      <c r="B177" s="397"/>
      <c r="C177" s="397"/>
      <c r="D177" s="397"/>
      <c r="E177" s="397"/>
      <c r="F177" s="397"/>
      <c r="G177" s="397"/>
      <c r="H177" s="397"/>
      <c r="I177" s="397"/>
      <c r="J177" s="397"/>
      <c r="K177" s="397"/>
      <c r="L177" s="397"/>
      <c r="M177" s="397"/>
      <c r="N177" s="397"/>
      <c r="O177" s="397"/>
      <c r="P177" s="397"/>
      <c r="Q177" s="397"/>
      <c r="R177" s="397"/>
      <c r="S177" s="397"/>
      <c r="T177" s="397"/>
      <c r="U177" s="397"/>
      <c r="V177" s="397"/>
      <c r="W177" s="397"/>
      <c r="X177" s="397"/>
      <c r="Y177" s="397"/>
      <c r="Z177" s="397"/>
      <c r="AA177" s="397"/>
    </row>
    <row r="178" ht="15.75" customHeight="1">
      <c r="A178" s="397"/>
      <c r="B178" s="397"/>
      <c r="C178" s="397"/>
      <c r="D178" s="397"/>
      <c r="E178" s="397"/>
      <c r="F178" s="397"/>
      <c r="G178" s="397"/>
      <c r="H178" s="397"/>
      <c r="I178" s="397"/>
      <c r="J178" s="397"/>
      <c r="K178" s="397"/>
      <c r="L178" s="397"/>
      <c r="M178" s="397"/>
      <c r="N178" s="397"/>
      <c r="O178" s="397"/>
      <c r="P178" s="397"/>
      <c r="Q178" s="397"/>
      <c r="R178" s="397"/>
      <c r="S178" s="397"/>
      <c r="T178" s="397"/>
      <c r="U178" s="397"/>
      <c r="V178" s="397"/>
      <c r="W178" s="397"/>
      <c r="X178" s="397"/>
      <c r="Y178" s="397"/>
      <c r="Z178" s="397"/>
      <c r="AA178" s="397"/>
    </row>
    <row r="179" ht="15.75" customHeight="1">
      <c r="A179" s="397"/>
      <c r="B179" s="397"/>
      <c r="C179" s="397"/>
      <c r="D179" s="397"/>
      <c r="E179" s="397"/>
      <c r="F179" s="397"/>
      <c r="G179" s="397"/>
      <c r="H179" s="397"/>
      <c r="I179" s="397"/>
      <c r="J179" s="397"/>
      <c r="K179" s="397"/>
      <c r="L179" s="397"/>
      <c r="M179" s="397"/>
      <c r="N179" s="397"/>
      <c r="O179" s="397"/>
      <c r="P179" s="397"/>
      <c r="Q179" s="397"/>
      <c r="R179" s="397"/>
      <c r="S179" s="397"/>
      <c r="T179" s="397"/>
      <c r="U179" s="397"/>
      <c r="V179" s="397"/>
      <c r="W179" s="397"/>
      <c r="X179" s="397"/>
      <c r="Y179" s="397"/>
      <c r="Z179" s="397"/>
      <c r="AA179" s="397"/>
    </row>
    <row r="180" ht="15.75" customHeight="1">
      <c r="A180" s="397"/>
      <c r="B180" s="397"/>
      <c r="C180" s="397"/>
      <c r="D180" s="397"/>
      <c r="E180" s="397"/>
      <c r="F180" s="397"/>
      <c r="G180" s="397"/>
      <c r="H180" s="397"/>
      <c r="I180" s="397"/>
      <c r="J180" s="397"/>
      <c r="K180" s="397"/>
      <c r="L180" s="397"/>
      <c r="M180" s="397"/>
      <c r="N180" s="397"/>
      <c r="O180" s="397"/>
      <c r="P180" s="397"/>
      <c r="Q180" s="397"/>
      <c r="R180" s="397"/>
      <c r="S180" s="397"/>
      <c r="T180" s="397"/>
      <c r="U180" s="397"/>
      <c r="V180" s="397"/>
      <c r="W180" s="397"/>
      <c r="X180" s="397"/>
      <c r="Y180" s="397"/>
      <c r="Z180" s="397"/>
      <c r="AA180" s="397"/>
    </row>
    <row r="181" ht="15.75" customHeight="1">
      <c r="A181" s="397"/>
      <c r="B181" s="397"/>
      <c r="C181" s="397"/>
      <c r="D181" s="397"/>
      <c r="E181" s="397"/>
      <c r="F181" s="397"/>
      <c r="G181" s="397"/>
      <c r="H181" s="397"/>
      <c r="I181" s="397"/>
      <c r="J181" s="397"/>
      <c r="K181" s="397"/>
      <c r="L181" s="397"/>
      <c r="M181" s="397"/>
      <c r="N181" s="397"/>
      <c r="O181" s="397"/>
      <c r="P181" s="397"/>
      <c r="Q181" s="397"/>
      <c r="R181" s="397"/>
      <c r="S181" s="397"/>
      <c r="T181" s="397"/>
      <c r="U181" s="397"/>
      <c r="V181" s="397"/>
      <c r="W181" s="397"/>
      <c r="X181" s="397"/>
      <c r="Y181" s="397"/>
      <c r="Z181" s="397"/>
      <c r="AA181" s="397"/>
    </row>
    <row r="182" ht="15.75" customHeight="1">
      <c r="A182" s="397"/>
      <c r="B182" s="397"/>
      <c r="C182" s="397"/>
      <c r="D182" s="397"/>
      <c r="E182" s="397"/>
      <c r="F182" s="397"/>
      <c r="G182" s="397"/>
      <c r="H182" s="397"/>
      <c r="I182" s="397"/>
      <c r="J182" s="397"/>
      <c r="K182" s="397"/>
      <c r="L182" s="397"/>
      <c r="M182" s="397"/>
      <c r="N182" s="397"/>
      <c r="O182" s="397"/>
      <c r="P182" s="397"/>
      <c r="Q182" s="397"/>
      <c r="R182" s="397"/>
      <c r="S182" s="397"/>
      <c r="T182" s="397"/>
      <c r="U182" s="397"/>
      <c r="V182" s="397"/>
      <c r="W182" s="397"/>
      <c r="X182" s="397"/>
      <c r="Y182" s="397"/>
      <c r="Z182" s="397"/>
      <c r="AA182" s="397"/>
    </row>
    <row r="183" ht="15.75" customHeight="1">
      <c r="A183" s="397"/>
      <c r="B183" s="397"/>
      <c r="C183" s="397"/>
      <c r="D183" s="397"/>
      <c r="E183" s="397"/>
      <c r="F183" s="397"/>
      <c r="G183" s="397"/>
      <c r="H183" s="397"/>
      <c r="I183" s="397"/>
      <c r="J183" s="397"/>
      <c r="K183" s="397"/>
      <c r="L183" s="397"/>
      <c r="M183" s="397"/>
      <c r="N183" s="397"/>
      <c r="O183" s="397"/>
      <c r="P183" s="397"/>
      <c r="Q183" s="397"/>
      <c r="R183" s="397"/>
      <c r="S183" s="397"/>
      <c r="T183" s="397"/>
      <c r="U183" s="397"/>
      <c r="V183" s="397"/>
      <c r="W183" s="397"/>
      <c r="X183" s="397"/>
      <c r="Y183" s="397"/>
      <c r="Z183" s="397"/>
      <c r="AA183" s="397"/>
    </row>
    <row r="184" ht="15.75" customHeight="1">
      <c r="A184" s="397"/>
      <c r="B184" s="397"/>
      <c r="C184" s="397"/>
      <c r="D184" s="397"/>
      <c r="E184" s="397"/>
      <c r="F184" s="397"/>
      <c r="G184" s="397"/>
      <c r="H184" s="397"/>
      <c r="I184" s="397"/>
      <c r="J184" s="397"/>
      <c r="K184" s="397"/>
      <c r="L184" s="397"/>
      <c r="M184" s="397"/>
      <c r="N184" s="397"/>
      <c r="O184" s="397"/>
      <c r="P184" s="397"/>
      <c r="Q184" s="397"/>
      <c r="R184" s="397"/>
      <c r="S184" s="397"/>
      <c r="T184" s="397"/>
      <c r="U184" s="397"/>
      <c r="V184" s="397"/>
      <c r="W184" s="397"/>
      <c r="X184" s="397"/>
      <c r="Y184" s="397"/>
      <c r="Z184" s="397"/>
      <c r="AA184" s="397"/>
    </row>
    <row r="185" ht="15.75" customHeight="1">
      <c r="A185" s="397"/>
      <c r="B185" s="397"/>
      <c r="C185" s="397"/>
      <c r="D185" s="397"/>
      <c r="E185" s="397"/>
      <c r="F185" s="397"/>
      <c r="G185" s="397"/>
      <c r="H185" s="397"/>
      <c r="I185" s="397"/>
      <c r="J185" s="397"/>
      <c r="K185" s="397"/>
      <c r="L185" s="397"/>
      <c r="M185" s="397"/>
      <c r="N185" s="397"/>
      <c r="O185" s="397"/>
      <c r="P185" s="397"/>
      <c r="Q185" s="397"/>
      <c r="R185" s="397"/>
      <c r="S185" s="397"/>
      <c r="T185" s="397"/>
      <c r="U185" s="397"/>
      <c r="V185" s="397"/>
      <c r="W185" s="397"/>
      <c r="X185" s="397"/>
      <c r="Y185" s="397"/>
      <c r="Z185" s="397"/>
      <c r="AA185" s="397"/>
    </row>
    <row r="186" ht="15.75" customHeight="1">
      <c r="A186" s="397"/>
      <c r="B186" s="397"/>
      <c r="C186" s="397"/>
      <c r="D186" s="397"/>
      <c r="E186" s="397"/>
      <c r="F186" s="397"/>
      <c r="G186" s="397"/>
      <c r="H186" s="397"/>
      <c r="I186" s="397"/>
      <c r="J186" s="397"/>
      <c r="K186" s="397"/>
      <c r="L186" s="397"/>
      <c r="M186" s="397"/>
      <c r="N186" s="397"/>
      <c r="O186" s="397"/>
      <c r="P186" s="397"/>
      <c r="Q186" s="397"/>
      <c r="R186" s="397"/>
      <c r="S186" s="397"/>
      <c r="T186" s="397"/>
      <c r="U186" s="397"/>
      <c r="V186" s="397"/>
      <c r="W186" s="397"/>
      <c r="X186" s="397"/>
      <c r="Y186" s="397"/>
      <c r="Z186" s="397"/>
      <c r="AA186" s="397"/>
    </row>
    <row r="187" ht="15.75" customHeight="1">
      <c r="A187" s="397"/>
      <c r="B187" s="397"/>
      <c r="C187" s="397"/>
      <c r="D187" s="397"/>
      <c r="E187" s="397"/>
      <c r="F187" s="397"/>
      <c r="G187" s="397"/>
      <c r="H187" s="397"/>
      <c r="I187" s="397"/>
      <c r="J187" s="397"/>
      <c r="K187" s="397"/>
      <c r="L187" s="397"/>
      <c r="M187" s="397"/>
      <c r="N187" s="397"/>
      <c r="O187" s="397"/>
      <c r="P187" s="397"/>
      <c r="Q187" s="397"/>
      <c r="R187" s="397"/>
      <c r="S187" s="397"/>
      <c r="T187" s="397"/>
      <c r="U187" s="397"/>
      <c r="V187" s="397"/>
      <c r="W187" s="397"/>
      <c r="X187" s="397"/>
      <c r="Y187" s="397"/>
      <c r="Z187" s="397"/>
      <c r="AA187" s="397"/>
    </row>
    <row r="188" ht="15.75" customHeight="1">
      <c r="A188" s="397"/>
      <c r="B188" s="397"/>
      <c r="C188" s="397"/>
      <c r="D188" s="397"/>
      <c r="E188" s="397"/>
      <c r="F188" s="397"/>
      <c r="G188" s="397"/>
      <c r="H188" s="397"/>
      <c r="I188" s="397"/>
      <c r="J188" s="397"/>
      <c r="K188" s="397"/>
      <c r="L188" s="397"/>
      <c r="M188" s="397"/>
      <c r="N188" s="397"/>
      <c r="O188" s="397"/>
      <c r="P188" s="397"/>
      <c r="Q188" s="397"/>
      <c r="R188" s="397"/>
      <c r="S188" s="397"/>
      <c r="T188" s="397"/>
      <c r="U188" s="397"/>
      <c r="V188" s="397"/>
      <c r="W188" s="397"/>
      <c r="X188" s="397"/>
      <c r="Y188" s="397"/>
      <c r="Z188" s="397"/>
      <c r="AA188" s="397"/>
    </row>
    <row r="189" ht="15.75" customHeight="1">
      <c r="A189" s="397"/>
      <c r="B189" s="397"/>
      <c r="C189" s="397"/>
      <c r="D189" s="397"/>
      <c r="E189" s="397"/>
      <c r="F189" s="397"/>
      <c r="G189" s="397"/>
      <c r="H189" s="397"/>
      <c r="I189" s="397"/>
      <c r="J189" s="397"/>
      <c r="K189" s="397"/>
      <c r="L189" s="397"/>
      <c r="M189" s="397"/>
      <c r="N189" s="397"/>
      <c r="O189" s="397"/>
      <c r="P189" s="397"/>
      <c r="Q189" s="397"/>
      <c r="R189" s="397"/>
      <c r="S189" s="397"/>
      <c r="T189" s="397"/>
      <c r="U189" s="397"/>
      <c r="V189" s="397"/>
      <c r="W189" s="397"/>
      <c r="X189" s="397"/>
      <c r="Y189" s="397"/>
      <c r="Z189" s="397"/>
      <c r="AA189" s="397"/>
    </row>
    <row r="190" ht="15.75" customHeight="1">
      <c r="A190" s="397"/>
      <c r="B190" s="397"/>
      <c r="C190" s="397"/>
      <c r="D190" s="397"/>
      <c r="E190" s="397"/>
      <c r="F190" s="397"/>
      <c r="G190" s="397"/>
      <c r="H190" s="397"/>
      <c r="I190" s="397"/>
      <c r="J190" s="397"/>
      <c r="K190" s="397"/>
      <c r="L190" s="397"/>
      <c r="M190" s="397"/>
      <c r="N190" s="397"/>
      <c r="O190" s="397"/>
      <c r="P190" s="397"/>
      <c r="Q190" s="397"/>
      <c r="R190" s="397"/>
      <c r="S190" s="397"/>
      <c r="T190" s="397"/>
      <c r="U190" s="397"/>
      <c r="V190" s="397"/>
      <c r="W190" s="397"/>
      <c r="X190" s="397"/>
      <c r="Y190" s="397"/>
      <c r="Z190" s="397"/>
      <c r="AA190" s="397"/>
    </row>
    <row r="191" ht="15.75" customHeight="1">
      <c r="A191" s="397"/>
      <c r="B191" s="397"/>
      <c r="C191" s="397"/>
      <c r="D191" s="397"/>
      <c r="E191" s="397"/>
      <c r="F191" s="397"/>
      <c r="G191" s="397"/>
      <c r="H191" s="397"/>
      <c r="I191" s="397"/>
      <c r="J191" s="397"/>
      <c r="K191" s="397"/>
      <c r="L191" s="397"/>
      <c r="M191" s="397"/>
      <c r="N191" s="397"/>
      <c r="O191" s="397"/>
      <c r="P191" s="397"/>
      <c r="Q191" s="397"/>
      <c r="R191" s="397"/>
      <c r="S191" s="397"/>
      <c r="T191" s="397"/>
      <c r="U191" s="397"/>
      <c r="V191" s="397"/>
      <c r="W191" s="397"/>
      <c r="X191" s="397"/>
      <c r="Y191" s="397"/>
      <c r="Z191" s="397"/>
      <c r="AA191" s="397"/>
    </row>
    <row r="192" ht="15.75" customHeight="1">
      <c r="A192" s="397"/>
      <c r="B192" s="397"/>
      <c r="C192" s="397"/>
      <c r="D192" s="397"/>
      <c r="E192" s="397"/>
      <c r="F192" s="397"/>
      <c r="G192" s="397"/>
      <c r="H192" s="397"/>
      <c r="I192" s="397"/>
      <c r="J192" s="397"/>
      <c r="K192" s="397"/>
      <c r="L192" s="397"/>
      <c r="M192" s="397"/>
      <c r="N192" s="397"/>
      <c r="O192" s="397"/>
      <c r="P192" s="397"/>
      <c r="Q192" s="397"/>
      <c r="R192" s="397"/>
      <c r="S192" s="397"/>
      <c r="T192" s="397"/>
      <c r="U192" s="397"/>
      <c r="V192" s="397"/>
      <c r="W192" s="397"/>
      <c r="X192" s="397"/>
      <c r="Y192" s="397"/>
      <c r="Z192" s="397"/>
      <c r="AA192" s="397"/>
    </row>
    <row r="193" ht="15.75" customHeight="1">
      <c r="A193" s="397"/>
      <c r="B193" s="397"/>
      <c r="C193" s="397"/>
      <c r="D193" s="397"/>
      <c r="E193" s="397"/>
      <c r="F193" s="397"/>
      <c r="G193" s="397"/>
      <c r="H193" s="397"/>
      <c r="I193" s="397"/>
      <c r="J193" s="397"/>
      <c r="K193" s="397"/>
      <c r="L193" s="397"/>
      <c r="M193" s="397"/>
      <c r="N193" s="397"/>
      <c r="O193" s="397"/>
      <c r="P193" s="397"/>
      <c r="Q193" s="397"/>
      <c r="R193" s="397"/>
      <c r="S193" s="397"/>
      <c r="T193" s="397"/>
      <c r="U193" s="397"/>
      <c r="V193" s="397"/>
      <c r="W193" s="397"/>
      <c r="X193" s="397"/>
      <c r="Y193" s="397"/>
      <c r="Z193" s="397"/>
      <c r="AA193" s="397"/>
    </row>
    <row r="194" ht="15.75" customHeight="1">
      <c r="A194" s="397"/>
      <c r="B194" s="397"/>
      <c r="C194" s="397"/>
      <c r="D194" s="397"/>
      <c r="E194" s="397"/>
      <c r="F194" s="397"/>
      <c r="G194" s="397"/>
      <c r="H194" s="397"/>
      <c r="I194" s="397"/>
      <c r="J194" s="397"/>
      <c r="K194" s="397"/>
      <c r="L194" s="397"/>
      <c r="M194" s="397"/>
      <c r="N194" s="397"/>
      <c r="O194" s="397"/>
      <c r="P194" s="397"/>
      <c r="Q194" s="397"/>
      <c r="R194" s="397"/>
      <c r="S194" s="397"/>
      <c r="T194" s="397"/>
      <c r="U194" s="397"/>
      <c r="V194" s="397"/>
      <c r="W194" s="397"/>
      <c r="X194" s="397"/>
      <c r="Y194" s="397"/>
      <c r="Z194" s="397"/>
      <c r="AA194" s="397"/>
    </row>
    <row r="195" ht="15.75" customHeight="1">
      <c r="A195" s="397"/>
      <c r="B195" s="397"/>
      <c r="C195" s="397"/>
      <c r="D195" s="397"/>
      <c r="E195" s="397"/>
      <c r="F195" s="397"/>
      <c r="G195" s="397"/>
      <c r="H195" s="397"/>
      <c r="I195" s="397"/>
      <c r="J195" s="397"/>
      <c r="K195" s="397"/>
      <c r="L195" s="397"/>
      <c r="M195" s="397"/>
      <c r="N195" s="397"/>
      <c r="O195" s="397"/>
      <c r="P195" s="397"/>
      <c r="Q195" s="397"/>
      <c r="R195" s="397"/>
      <c r="S195" s="397"/>
      <c r="T195" s="397"/>
      <c r="U195" s="397"/>
      <c r="V195" s="397"/>
      <c r="W195" s="397"/>
      <c r="X195" s="397"/>
      <c r="Y195" s="397"/>
      <c r="Z195" s="397"/>
      <c r="AA195" s="397"/>
    </row>
    <row r="196" ht="15.75" customHeight="1">
      <c r="A196" s="397"/>
      <c r="B196" s="397"/>
      <c r="C196" s="397"/>
      <c r="D196" s="397"/>
      <c r="E196" s="397"/>
      <c r="F196" s="397"/>
      <c r="G196" s="397"/>
      <c r="H196" s="397"/>
      <c r="I196" s="397"/>
      <c r="J196" s="397"/>
      <c r="K196" s="397"/>
      <c r="L196" s="397"/>
      <c r="M196" s="397"/>
      <c r="N196" s="397"/>
      <c r="O196" s="397"/>
      <c r="P196" s="397"/>
      <c r="Q196" s="397"/>
      <c r="R196" s="397"/>
      <c r="S196" s="397"/>
      <c r="T196" s="397"/>
      <c r="U196" s="397"/>
      <c r="V196" s="397"/>
      <c r="W196" s="397"/>
      <c r="X196" s="397"/>
      <c r="Y196" s="397"/>
      <c r="Z196" s="397"/>
      <c r="AA196" s="397"/>
    </row>
    <row r="197" ht="15.75" customHeight="1">
      <c r="A197" s="397"/>
      <c r="B197" s="397"/>
      <c r="C197" s="397"/>
      <c r="D197" s="397"/>
      <c r="E197" s="397"/>
      <c r="F197" s="397"/>
      <c r="G197" s="397"/>
      <c r="H197" s="397"/>
      <c r="I197" s="397"/>
      <c r="J197" s="397"/>
      <c r="K197" s="397"/>
      <c r="L197" s="397"/>
      <c r="M197" s="397"/>
      <c r="N197" s="397"/>
      <c r="O197" s="397"/>
      <c r="P197" s="397"/>
      <c r="Q197" s="397"/>
      <c r="R197" s="397"/>
      <c r="S197" s="397"/>
      <c r="T197" s="397"/>
      <c r="U197" s="397"/>
      <c r="V197" s="397"/>
      <c r="W197" s="397"/>
      <c r="X197" s="397"/>
      <c r="Y197" s="397"/>
      <c r="Z197" s="397"/>
      <c r="AA197" s="397"/>
    </row>
    <row r="198" ht="15.75" customHeight="1">
      <c r="A198" s="397"/>
      <c r="B198" s="397"/>
      <c r="C198" s="397"/>
      <c r="D198" s="397"/>
      <c r="E198" s="397"/>
      <c r="F198" s="397"/>
      <c r="G198" s="397"/>
      <c r="H198" s="397"/>
      <c r="I198" s="397"/>
      <c r="J198" s="397"/>
      <c r="K198" s="397"/>
      <c r="L198" s="397"/>
      <c r="M198" s="397"/>
      <c r="N198" s="397"/>
      <c r="O198" s="397"/>
      <c r="P198" s="397"/>
      <c r="Q198" s="397"/>
      <c r="R198" s="397"/>
      <c r="S198" s="397"/>
      <c r="T198" s="397"/>
      <c r="U198" s="397"/>
      <c r="V198" s="397"/>
      <c r="W198" s="397"/>
      <c r="X198" s="397"/>
      <c r="Y198" s="397"/>
      <c r="Z198" s="397"/>
      <c r="AA198" s="397"/>
    </row>
    <row r="199" ht="15.75" customHeight="1">
      <c r="A199" s="397"/>
      <c r="B199" s="397"/>
      <c r="C199" s="397"/>
      <c r="D199" s="397"/>
      <c r="E199" s="397"/>
      <c r="F199" s="397"/>
      <c r="G199" s="397"/>
      <c r="H199" s="397"/>
      <c r="I199" s="397"/>
      <c r="J199" s="397"/>
      <c r="K199" s="397"/>
      <c r="L199" s="397"/>
      <c r="M199" s="397"/>
      <c r="N199" s="397"/>
      <c r="O199" s="397"/>
      <c r="P199" s="397"/>
      <c r="Q199" s="397"/>
      <c r="R199" s="397"/>
      <c r="S199" s="397"/>
      <c r="T199" s="397"/>
      <c r="U199" s="397"/>
      <c r="V199" s="397"/>
      <c r="W199" s="397"/>
      <c r="X199" s="397"/>
      <c r="Y199" s="397"/>
      <c r="Z199" s="397"/>
      <c r="AA199" s="397"/>
    </row>
    <row r="200" ht="15.75" customHeight="1">
      <c r="A200" s="397"/>
      <c r="B200" s="397"/>
      <c r="C200" s="397"/>
      <c r="D200" s="397"/>
      <c r="E200" s="397"/>
      <c r="F200" s="397"/>
      <c r="G200" s="397"/>
      <c r="H200" s="397"/>
      <c r="I200" s="397"/>
      <c r="J200" s="397"/>
      <c r="K200" s="397"/>
      <c r="L200" s="397"/>
      <c r="M200" s="397"/>
      <c r="N200" s="397"/>
      <c r="O200" s="397"/>
      <c r="P200" s="397"/>
      <c r="Q200" s="397"/>
      <c r="R200" s="397"/>
      <c r="S200" s="397"/>
      <c r="T200" s="397"/>
      <c r="U200" s="397"/>
      <c r="V200" s="397"/>
      <c r="W200" s="397"/>
      <c r="X200" s="397"/>
      <c r="Y200" s="397"/>
      <c r="Z200" s="397"/>
      <c r="AA200" s="397"/>
    </row>
    <row r="201" ht="15.75" customHeight="1">
      <c r="A201" s="397"/>
      <c r="B201" s="397"/>
      <c r="C201" s="397"/>
      <c r="D201" s="397"/>
      <c r="E201" s="397"/>
      <c r="F201" s="397"/>
      <c r="G201" s="397"/>
      <c r="H201" s="397"/>
      <c r="I201" s="397"/>
      <c r="J201" s="397"/>
      <c r="K201" s="397"/>
      <c r="L201" s="397"/>
      <c r="M201" s="397"/>
      <c r="N201" s="397"/>
      <c r="O201" s="397"/>
      <c r="P201" s="397"/>
      <c r="Q201" s="397"/>
      <c r="R201" s="397"/>
      <c r="S201" s="397"/>
      <c r="T201" s="397"/>
      <c r="U201" s="397"/>
      <c r="V201" s="397"/>
      <c r="W201" s="397"/>
      <c r="X201" s="397"/>
      <c r="Y201" s="397"/>
      <c r="Z201" s="397"/>
      <c r="AA201" s="397"/>
    </row>
    <row r="202" ht="15.75" customHeight="1">
      <c r="A202" s="397"/>
      <c r="B202" s="397"/>
      <c r="C202" s="397"/>
      <c r="D202" s="397"/>
      <c r="E202" s="397"/>
      <c r="F202" s="397"/>
      <c r="G202" s="397"/>
      <c r="H202" s="397"/>
      <c r="I202" s="397"/>
      <c r="J202" s="397"/>
      <c r="K202" s="397"/>
      <c r="L202" s="397"/>
      <c r="M202" s="397"/>
      <c r="N202" s="397"/>
      <c r="O202" s="397"/>
      <c r="P202" s="397"/>
      <c r="Q202" s="397"/>
      <c r="R202" s="397"/>
      <c r="S202" s="397"/>
      <c r="T202" s="397"/>
      <c r="U202" s="397"/>
      <c r="V202" s="397"/>
      <c r="W202" s="397"/>
      <c r="X202" s="397"/>
      <c r="Y202" s="397"/>
      <c r="Z202" s="397"/>
      <c r="AA202" s="397"/>
    </row>
    <row r="203" ht="15.75" customHeight="1">
      <c r="A203" s="397"/>
      <c r="B203" s="397"/>
      <c r="C203" s="397"/>
      <c r="D203" s="397"/>
      <c r="E203" s="397"/>
      <c r="F203" s="397"/>
      <c r="G203" s="397"/>
      <c r="H203" s="397"/>
      <c r="I203" s="397"/>
      <c r="J203" s="397"/>
      <c r="K203" s="397"/>
      <c r="L203" s="397"/>
      <c r="M203" s="397"/>
      <c r="N203" s="397"/>
      <c r="O203" s="397"/>
      <c r="P203" s="397"/>
      <c r="Q203" s="397"/>
      <c r="R203" s="397"/>
      <c r="S203" s="397"/>
      <c r="T203" s="397"/>
      <c r="U203" s="397"/>
      <c r="V203" s="397"/>
      <c r="W203" s="397"/>
      <c r="X203" s="397"/>
      <c r="Y203" s="397"/>
      <c r="Z203" s="397"/>
      <c r="AA203" s="397"/>
    </row>
    <row r="204" ht="15.75" customHeight="1">
      <c r="A204" s="397"/>
      <c r="B204" s="397"/>
      <c r="C204" s="397"/>
      <c r="D204" s="397"/>
      <c r="E204" s="397"/>
      <c r="F204" s="397"/>
      <c r="G204" s="397"/>
      <c r="H204" s="397"/>
      <c r="I204" s="397"/>
      <c r="J204" s="397"/>
      <c r="K204" s="397"/>
      <c r="L204" s="397"/>
      <c r="M204" s="397"/>
      <c r="N204" s="397"/>
      <c r="O204" s="397"/>
      <c r="P204" s="397"/>
      <c r="Q204" s="397"/>
      <c r="R204" s="397"/>
      <c r="S204" s="397"/>
      <c r="T204" s="397"/>
      <c r="U204" s="397"/>
      <c r="V204" s="397"/>
      <c r="W204" s="397"/>
      <c r="X204" s="397"/>
      <c r="Y204" s="397"/>
      <c r="Z204" s="397"/>
      <c r="AA204" s="397"/>
    </row>
    <row r="205" ht="15.75" customHeight="1">
      <c r="A205" s="397"/>
      <c r="B205" s="397"/>
      <c r="C205" s="397"/>
      <c r="D205" s="397"/>
      <c r="E205" s="397"/>
      <c r="F205" s="397"/>
      <c r="G205" s="397"/>
      <c r="H205" s="397"/>
      <c r="I205" s="397"/>
      <c r="J205" s="397"/>
      <c r="K205" s="397"/>
      <c r="L205" s="397"/>
      <c r="M205" s="397"/>
      <c r="N205" s="397"/>
      <c r="O205" s="397"/>
      <c r="P205" s="397"/>
      <c r="Q205" s="397"/>
      <c r="R205" s="397"/>
      <c r="S205" s="397"/>
      <c r="T205" s="397"/>
      <c r="U205" s="397"/>
      <c r="V205" s="397"/>
      <c r="W205" s="397"/>
      <c r="X205" s="397"/>
      <c r="Y205" s="397"/>
      <c r="Z205" s="397"/>
      <c r="AA205" s="397"/>
    </row>
    <row r="206" ht="15.75" customHeight="1">
      <c r="A206" s="397"/>
      <c r="B206" s="397"/>
      <c r="C206" s="397"/>
      <c r="D206" s="397"/>
      <c r="E206" s="397"/>
      <c r="F206" s="397"/>
      <c r="G206" s="397"/>
      <c r="H206" s="397"/>
      <c r="I206" s="397"/>
      <c r="J206" s="397"/>
      <c r="K206" s="397"/>
      <c r="L206" s="397"/>
      <c r="M206" s="397"/>
      <c r="N206" s="397"/>
      <c r="O206" s="397"/>
      <c r="P206" s="397"/>
      <c r="Q206" s="397"/>
      <c r="R206" s="397"/>
      <c r="S206" s="397"/>
      <c r="T206" s="397"/>
      <c r="U206" s="397"/>
      <c r="V206" s="397"/>
      <c r="W206" s="397"/>
      <c r="X206" s="397"/>
      <c r="Y206" s="397"/>
      <c r="Z206" s="397"/>
      <c r="AA206" s="397"/>
    </row>
    <row r="207" ht="15.75" customHeight="1">
      <c r="A207" s="397"/>
      <c r="B207" s="397"/>
      <c r="C207" s="397"/>
      <c r="D207" s="397"/>
      <c r="E207" s="397"/>
      <c r="F207" s="397"/>
      <c r="G207" s="397"/>
      <c r="H207" s="397"/>
      <c r="I207" s="397"/>
      <c r="J207" s="397"/>
      <c r="K207" s="397"/>
      <c r="L207" s="397"/>
      <c r="M207" s="397"/>
      <c r="N207" s="397"/>
      <c r="O207" s="397"/>
      <c r="P207" s="397"/>
      <c r="Q207" s="397"/>
      <c r="R207" s="397"/>
      <c r="S207" s="397"/>
      <c r="T207" s="397"/>
      <c r="U207" s="397"/>
      <c r="V207" s="397"/>
      <c r="W207" s="397"/>
      <c r="X207" s="397"/>
      <c r="Y207" s="397"/>
      <c r="Z207" s="397"/>
      <c r="AA207" s="397"/>
    </row>
    <row r="208" ht="15.75" customHeight="1">
      <c r="A208" s="397"/>
      <c r="B208" s="397"/>
      <c r="C208" s="397"/>
      <c r="D208" s="397"/>
      <c r="E208" s="397"/>
      <c r="F208" s="397"/>
      <c r="G208" s="397"/>
      <c r="H208" s="397"/>
      <c r="I208" s="397"/>
      <c r="J208" s="397"/>
      <c r="K208" s="397"/>
      <c r="L208" s="397"/>
      <c r="M208" s="397"/>
      <c r="N208" s="397"/>
      <c r="O208" s="397"/>
      <c r="P208" s="397"/>
      <c r="Q208" s="397"/>
      <c r="R208" s="397"/>
      <c r="S208" s="397"/>
      <c r="T208" s="397"/>
      <c r="U208" s="397"/>
      <c r="V208" s="397"/>
      <c r="W208" s="397"/>
      <c r="X208" s="397"/>
      <c r="Y208" s="397"/>
      <c r="Z208" s="397"/>
      <c r="AA208" s="397"/>
    </row>
    <row r="209" ht="15.75" customHeight="1">
      <c r="A209" s="397"/>
      <c r="B209" s="397"/>
      <c r="C209" s="397"/>
      <c r="D209" s="397"/>
      <c r="E209" s="397"/>
      <c r="F209" s="397"/>
      <c r="G209" s="397"/>
      <c r="H209" s="397"/>
      <c r="I209" s="397"/>
      <c r="J209" s="397"/>
      <c r="K209" s="397"/>
      <c r="L209" s="397"/>
      <c r="M209" s="397"/>
      <c r="N209" s="397"/>
      <c r="O209" s="397"/>
      <c r="P209" s="397"/>
      <c r="Q209" s="397"/>
      <c r="R209" s="397"/>
      <c r="S209" s="397"/>
      <c r="T209" s="397"/>
      <c r="U209" s="397"/>
      <c r="V209" s="397"/>
      <c r="W209" s="397"/>
      <c r="X209" s="397"/>
      <c r="Y209" s="397"/>
      <c r="Z209" s="397"/>
      <c r="AA209" s="397"/>
    </row>
    <row r="210" ht="15.75" customHeight="1">
      <c r="A210" s="397"/>
      <c r="B210" s="397"/>
      <c r="C210" s="397"/>
      <c r="D210" s="397"/>
      <c r="E210" s="397"/>
      <c r="F210" s="397"/>
      <c r="G210" s="397"/>
      <c r="H210" s="397"/>
      <c r="I210" s="397"/>
      <c r="J210" s="397"/>
      <c r="K210" s="397"/>
      <c r="L210" s="397"/>
      <c r="M210" s="397"/>
      <c r="N210" s="397"/>
      <c r="O210" s="397"/>
      <c r="P210" s="397"/>
      <c r="Q210" s="397"/>
      <c r="R210" s="397"/>
      <c r="S210" s="397"/>
      <c r="T210" s="397"/>
      <c r="U210" s="397"/>
      <c r="V210" s="397"/>
      <c r="W210" s="397"/>
      <c r="X210" s="397"/>
      <c r="Y210" s="397"/>
      <c r="Z210" s="397"/>
      <c r="AA210" s="397"/>
    </row>
    <row r="211" ht="15.75" customHeight="1">
      <c r="A211" s="397"/>
      <c r="B211" s="397"/>
      <c r="C211" s="397"/>
      <c r="D211" s="397"/>
      <c r="E211" s="397"/>
      <c r="F211" s="397"/>
      <c r="G211" s="397"/>
      <c r="H211" s="397"/>
      <c r="I211" s="397"/>
      <c r="J211" s="397"/>
      <c r="K211" s="397"/>
      <c r="L211" s="397"/>
      <c r="M211" s="397"/>
      <c r="N211" s="397"/>
      <c r="O211" s="397"/>
      <c r="P211" s="397"/>
      <c r="Q211" s="397"/>
      <c r="R211" s="397"/>
      <c r="S211" s="397"/>
      <c r="T211" s="397"/>
      <c r="U211" s="397"/>
      <c r="V211" s="397"/>
      <c r="W211" s="397"/>
      <c r="X211" s="397"/>
      <c r="Y211" s="397"/>
      <c r="Z211" s="397"/>
      <c r="AA211" s="397"/>
    </row>
    <row r="212" ht="15.75" customHeight="1">
      <c r="A212" s="397"/>
      <c r="B212" s="397"/>
      <c r="C212" s="397"/>
      <c r="D212" s="397"/>
      <c r="E212" s="397"/>
      <c r="F212" s="397"/>
      <c r="G212" s="397"/>
      <c r="H212" s="397"/>
      <c r="I212" s="397"/>
      <c r="J212" s="397"/>
      <c r="K212" s="397"/>
      <c r="L212" s="397"/>
      <c r="M212" s="397"/>
      <c r="N212" s="397"/>
      <c r="O212" s="397"/>
      <c r="P212" s="397"/>
      <c r="Q212" s="397"/>
      <c r="R212" s="397"/>
      <c r="S212" s="397"/>
      <c r="T212" s="397"/>
      <c r="U212" s="397"/>
      <c r="V212" s="397"/>
      <c r="W212" s="397"/>
      <c r="X212" s="397"/>
      <c r="Y212" s="397"/>
      <c r="Z212" s="397"/>
      <c r="AA212" s="397"/>
    </row>
    <row r="213" ht="15.75" customHeight="1">
      <c r="A213" s="397"/>
      <c r="B213" s="397"/>
      <c r="C213" s="397"/>
      <c r="D213" s="397"/>
      <c r="E213" s="397"/>
      <c r="F213" s="397"/>
      <c r="G213" s="397"/>
      <c r="H213" s="397"/>
      <c r="I213" s="397"/>
      <c r="J213" s="397"/>
      <c r="K213" s="397"/>
      <c r="L213" s="397"/>
      <c r="M213" s="397"/>
      <c r="N213" s="397"/>
      <c r="O213" s="397"/>
      <c r="P213" s="397"/>
      <c r="Q213" s="397"/>
      <c r="R213" s="397"/>
      <c r="S213" s="397"/>
      <c r="T213" s="397"/>
      <c r="U213" s="397"/>
      <c r="V213" s="397"/>
      <c r="W213" s="397"/>
      <c r="X213" s="397"/>
      <c r="Y213" s="397"/>
      <c r="Z213" s="397"/>
      <c r="AA213" s="397"/>
    </row>
    <row r="214" ht="15.75" customHeight="1">
      <c r="A214" s="397"/>
      <c r="B214" s="397"/>
      <c r="C214" s="397"/>
      <c r="D214" s="397"/>
      <c r="E214" s="397"/>
      <c r="F214" s="397"/>
      <c r="G214" s="397"/>
      <c r="H214" s="397"/>
      <c r="I214" s="397"/>
      <c r="J214" s="397"/>
      <c r="K214" s="397"/>
      <c r="L214" s="397"/>
      <c r="M214" s="397"/>
      <c r="N214" s="397"/>
      <c r="O214" s="397"/>
      <c r="P214" s="397"/>
      <c r="Q214" s="397"/>
      <c r="R214" s="397"/>
      <c r="S214" s="397"/>
      <c r="T214" s="397"/>
      <c r="U214" s="397"/>
      <c r="V214" s="397"/>
      <c r="W214" s="397"/>
      <c r="X214" s="397"/>
      <c r="Y214" s="397"/>
      <c r="Z214" s="397"/>
      <c r="AA214" s="397"/>
    </row>
    <row r="215" ht="15.75" customHeight="1">
      <c r="A215" s="397"/>
      <c r="B215" s="397"/>
      <c r="C215" s="397"/>
      <c r="D215" s="397"/>
      <c r="E215" s="397"/>
      <c r="F215" s="397"/>
      <c r="G215" s="397"/>
      <c r="H215" s="397"/>
      <c r="I215" s="397"/>
      <c r="J215" s="397"/>
      <c r="K215" s="397"/>
      <c r="L215" s="397"/>
      <c r="M215" s="397"/>
      <c r="N215" s="397"/>
      <c r="O215" s="397"/>
      <c r="P215" s="397"/>
      <c r="Q215" s="397"/>
      <c r="R215" s="397"/>
      <c r="S215" s="397"/>
      <c r="T215" s="397"/>
      <c r="U215" s="397"/>
      <c r="V215" s="397"/>
      <c r="W215" s="397"/>
      <c r="X215" s="397"/>
      <c r="Y215" s="397"/>
      <c r="Z215" s="397"/>
      <c r="AA215" s="397"/>
    </row>
    <row r="216" ht="15.75" customHeight="1">
      <c r="A216" s="397"/>
      <c r="B216" s="397"/>
      <c r="C216" s="397"/>
      <c r="D216" s="397"/>
      <c r="E216" s="397"/>
      <c r="F216" s="397"/>
      <c r="G216" s="397"/>
      <c r="H216" s="397"/>
      <c r="I216" s="397"/>
      <c r="J216" s="397"/>
      <c r="K216" s="397"/>
      <c r="L216" s="397"/>
      <c r="M216" s="397"/>
      <c r="N216" s="397"/>
      <c r="O216" s="397"/>
      <c r="P216" s="397"/>
      <c r="Q216" s="397"/>
      <c r="R216" s="397"/>
      <c r="S216" s="397"/>
      <c r="T216" s="397"/>
      <c r="U216" s="397"/>
      <c r="V216" s="397"/>
      <c r="W216" s="397"/>
      <c r="X216" s="397"/>
      <c r="Y216" s="397"/>
      <c r="Z216" s="397"/>
      <c r="AA216" s="397"/>
    </row>
    <row r="217" ht="15.75" customHeight="1">
      <c r="A217" s="397"/>
      <c r="B217" s="397"/>
      <c r="C217" s="397"/>
      <c r="D217" s="397"/>
      <c r="E217" s="397"/>
      <c r="F217" s="397"/>
      <c r="G217" s="397"/>
      <c r="H217" s="397"/>
      <c r="I217" s="397"/>
      <c r="J217" s="397"/>
      <c r="K217" s="397"/>
      <c r="L217" s="397"/>
      <c r="M217" s="397"/>
      <c r="N217" s="397"/>
      <c r="O217" s="397"/>
      <c r="P217" s="397"/>
      <c r="Q217" s="397"/>
      <c r="R217" s="397"/>
      <c r="S217" s="397"/>
      <c r="T217" s="397"/>
      <c r="U217" s="397"/>
      <c r="V217" s="397"/>
      <c r="W217" s="397"/>
      <c r="X217" s="397"/>
      <c r="Y217" s="397"/>
      <c r="Z217" s="397"/>
      <c r="AA217" s="397"/>
    </row>
    <row r="218" ht="15.75" customHeight="1">
      <c r="A218" s="397"/>
      <c r="B218" s="397"/>
      <c r="C218" s="397"/>
      <c r="D218" s="397"/>
      <c r="E218" s="397"/>
      <c r="F218" s="397"/>
      <c r="G218" s="397"/>
      <c r="H218" s="397"/>
      <c r="I218" s="397"/>
      <c r="J218" s="397"/>
      <c r="K218" s="397"/>
      <c r="L218" s="397"/>
      <c r="M218" s="397"/>
      <c r="N218" s="397"/>
      <c r="O218" s="397"/>
      <c r="P218" s="397"/>
      <c r="Q218" s="397"/>
      <c r="R218" s="397"/>
      <c r="S218" s="397"/>
      <c r="T218" s="397"/>
      <c r="U218" s="397"/>
      <c r="V218" s="397"/>
      <c r="W218" s="397"/>
      <c r="X218" s="397"/>
      <c r="Y218" s="397"/>
      <c r="Z218" s="397"/>
      <c r="AA218" s="397"/>
    </row>
    <row r="219" ht="15.75" customHeight="1">
      <c r="A219" s="397"/>
      <c r="B219" s="397"/>
      <c r="C219" s="397"/>
      <c r="D219" s="397"/>
      <c r="E219" s="397"/>
      <c r="F219" s="397"/>
      <c r="G219" s="397"/>
      <c r="H219" s="397"/>
      <c r="I219" s="397"/>
      <c r="J219" s="397"/>
      <c r="K219" s="397"/>
      <c r="L219" s="397"/>
      <c r="M219" s="397"/>
      <c r="N219" s="397"/>
      <c r="O219" s="397"/>
      <c r="P219" s="397"/>
      <c r="Q219" s="397"/>
      <c r="R219" s="397"/>
      <c r="S219" s="397"/>
      <c r="T219" s="397"/>
      <c r="U219" s="397"/>
      <c r="V219" s="397"/>
      <c r="W219" s="397"/>
      <c r="X219" s="397"/>
      <c r="Y219" s="397"/>
      <c r="Z219" s="397"/>
      <c r="AA219" s="397"/>
    </row>
    <row r="220" ht="15.75" customHeight="1">
      <c r="A220" s="397"/>
      <c r="B220" s="397"/>
      <c r="C220" s="397"/>
      <c r="D220" s="397"/>
      <c r="E220" s="397"/>
      <c r="F220" s="397"/>
      <c r="G220" s="397"/>
      <c r="H220" s="397"/>
      <c r="I220" s="397"/>
      <c r="J220" s="397"/>
      <c r="K220" s="397"/>
      <c r="L220" s="397"/>
      <c r="M220" s="397"/>
      <c r="N220" s="397"/>
      <c r="O220" s="397"/>
      <c r="P220" s="397"/>
      <c r="Q220" s="397"/>
      <c r="R220" s="397"/>
      <c r="S220" s="397"/>
      <c r="T220" s="397"/>
      <c r="U220" s="397"/>
      <c r="V220" s="397"/>
      <c r="W220" s="397"/>
      <c r="X220" s="397"/>
      <c r="Y220" s="397"/>
      <c r="Z220" s="397"/>
      <c r="AA220" s="397"/>
    </row>
    <row r="221" ht="15.75" customHeight="1">
      <c r="A221" s="397"/>
      <c r="B221" s="397"/>
      <c r="C221" s="397"/>
      <c r="D221" s="397"/>
      <c r="E221" s="397"/>
      <c r="F221" s="397"/>
      <c r="G221" s="397"/>
      <c r="H221" s="397"/>
      <c r="I221" s="397"/>
      <c r="J221" s="397"/>
      <c r="K221" s="397"/>
      <c r="L221" s="397"/>
      <c r="M221" s="397"/>
      <c r="N221" s="397"/>
      <c r="O221" s="397"/>
      <c r="P221" s="397"/>
      <c r="Q221" s="397"/>
      <c r="R221" s="397"/>
      <c r="S221" s="397"/>
      <c r="T221" s="397"/>
      <c r="U221" s="397"/>
      <c r="V221" s="397"/>
      <c r="W221" s="397"/>
      <c r="X221" s="397"/>
      <c r="Y221" s="397"/>
      <c r="Z221" s="397"/>
      <c r="AA221" s="397"/>
    </row>
    <row r="222" ht="15.75" customHeight="1">
      <c r="A222" s="397"/>
      <c r="B222" s="397"/>
      <c r="C222" s="397"/>
      <c r="D222" s="397"/>
      <c r="E222" s="397"/>
      <c r="F222" s="397"/>
      <c r="G222" s="397"/>
      <c r="H222" s="397"/>
      <c r="I222" s="397"/>
      <c r="J222" s="397"/>
      <c r="K222" s="397"/>
      <c r="L222" s="397"/>
      <c r="M222" s="397"/>
      <c r="N222" s="397"/>
      <c r="O222" s="397"/>
      <c r="P222" s="397"/>
      <c r="Q222" s="397"/>
      <c r="R222" s="397"/>
      <c r="S222" s="397"/>
      <c r="T222" s="397"/>
      <c r="U222" s="397"/>
      <c r="V222" s="397"/>
      <c r="W222" s="397"/>
      <c r="X222" s="397"/>
      <c r="Y222" s="397"/>
      <c r="Z222" s="397"/>
      <c r="AA222" s="397"/>
    </row>
    <row r="223" ht="15.75" customHeight="1">
      <c r="A223" s="397"/>
      <c r="B223" s="397"/>
      <c r="C223" s="397"/>
      <c r="D223" s="397"/>
      <c r="E223" s="397"/>
      <c r="F223" s="397"/>
      <c r="G223" s="397"/>
      <c r="H223" s="397"/>
      <c r="I223" s="397"/>
      <c r="J223" s="397"/>
      <c r="K223" s="397"/>
      <c r="L223" s="397"/>
      <c r="M223" s="397"/>
      <c r="N223" s="397"/>
      <c r="O223" s="397"/>
      <c r="P223" s="397"/>
      <c r="Q223" s="397"/>
      <c r="R223" s="397"/>
      <c r="S223" s="397"/>
      <c r="T223" s="397"/>
      <c r="U223" s="397"/>
      <c r="V223" s="397"/>
      <c r="W223" s="397"/>
      <c r="X223" s="397"/>
      <c r="Y223" s="397"/>
      <c r="Z223" s="397"/>
      <c r="AA223" s="397"/>
    </row>
    <row r="224" ht="15.75" customHeight="1">
      <c r="A224" s="397"/>
      <c r="B224" s="397"/>
      <c r="C224" s="397"/>
      <c r="D224" s="397"/>
      <c r="E224" s="397"/>
      <c r="F224" s="397"/>
      <c r="G224" s="397"/>
      <c r="H224" s="397"/>
      <c r="I224" s="397"/>
      <c r="J224" s="397"/>
      <c r="K224" s="397"/>
      <c r="L224" s="397"/>
      <c r="M224" s="397"/>
      <c r="N224" s="397"/>
      <c r="O224" s="397"/>
      <c r="P224" s="397"/>
      <c r="Q224" s="397"/>
      <c r="R224" s="397"/>
      <c r="S224" s="397"/>
      <c r="T224" s="397"/>
      <c r="U224" s="397"/>
      <c r="V224" s="397"/>
      <c r="W224" s="397"/>
      <c r="X224" s="397"/>
      <c r="Y224" s="397"/>
      <c r="Z224" s="397"/>
      <c r="AA224" s="397"/>
    </row>
    <row r="225" ht="15.75" customHeight="1">
      <c r="A225" s="397"/>
      <c r="B225" s="397"/>
      <c r="C225" s="397"/>
      <c r="D225" s="397"/>
      <c r="E225" s="397"/>
      <c r="F225" s="397"/>
      <c r="G225" s="397"/>
      <c r="H225" s="397"/>
      <c r="I225" s="397"/>
      <c r="J225" s="397"/>
      <c r="K225" s="397"/>
      <c r="L225" s="397"/>
      <c r="M225" s="397"/>
      <c r="N225" s="397"/>
      <c r="O225" s="397"/>
      <c r="P225" s="397"/>
      <c r="Q225" s="397"/>
      <c r="R225" s="397"/>
      <c r="S225" s="397"/>
      <c r="T225" s="397"/>
      <c r="U225" s="397"/>
      <c r="V225" s="397"/>
      <c r="W225" s="397"/>
      <c r="X225" s="397"/>
      <c r="Y225" s="397"/>
      <c r="Z225" s="397"/>
      <c r="AA225" s="397"/>
    </row>
    <row r="226" ht="15.75" customHeight="1">
      <c r="A226" s="397"/>
      <c r="B226" s="397"/>
      <c r="C226" s="397"/>
      <c r="D226" s="397"/>
      <c r="E226" s="397"/>
      <c r="F226" s="397"/>
      <c r="G226" s="397"/>
      <c r="H226" s="397"/>
      <c r="I226" s="397"/>
      <c r="J226" s="397"/>
      <c r="K226" s="397"/>
      <c r="L226" s="397"/>
      <c r="M226" s="397"/>
      <c r="N226" s="397"/>
      <c r="O226" s="397"/>
      <c r="P226" s="397"/>
      <c r="Q226" s="397"/>
      <c r="R226" s="397"/>
      <c r="S226" s="397"/>
      <c r="T226" s="397"/>
      <c r="U226" s="397"/>
      <c r="V226" s="397"/>
      <c r="W226" s="397"/>
      <c r="X226" s="397"/>
      <c r="Y226" s="397"/>
      <c r="Z226" s="397"/>
      <c r="AA226" s="397"/>
    </row>
    <row r="227" ht="15.75" customHeight="1">
      <c r="A227" s="397"/>
      <c r="B227" s="397"/>
      <c r="C227" s="397"/>
      <c r="D227" s="397"/>
      <c r="E227" s="397"/>
      <c r="F227" s="397"/>
      <c r="G227" s="397"/>
      <c r="H227" s="397"/>
      <c r="I227" s="397"/>
      <c r="J227" s="397"/>
      <c r="K227" s="397"/>
      <c r="L227" s="397"/>
      <c r="M227" s="397"/>
      <c r="N227" s="397"/>
      <c r="O227" s="397"/>
      <c r="P227" s="397"/>
      <c r="Q227" s="397"/>
      <c r="R227" s="397"/>
      <c r="S227" s="397"/>
      <c r="T227" s="397"/>
      <c r="U227" s="397"/>
      <c r="V227" s="397"/>
      <c r="W227" s="397"/>
      <c r="X227" s="397"/>
      <c r="Y227" s="397"/>
      <c r="Z227" s="397"/>
      <c r="AA227" s="397"/>
    </row>
    <row r="228" ht="15.75" customHeight="1">
      <c r="A228" s="397"/>
      <c r="B228" s="397"/>
      <c r="C228" s="397"/>
      <c r="D228" s="397"/>
      <c r="E228" s="397"/>
      <c r="F228" s="397"/>
      <c r="G228" s="397"/>
      <c r="H228" s="397"/>
      <c r="I228" s="397"/>
      <c r="J228" s="397"/>
      <c r="K228" s="397"/>
      <c r="L228" s="397"/>
      <c r="M228" s="397"/>
      <c r="N228" s="397"/>
      <c r="O228" s="397"/>
      <c r="P228" s="397"/>
      <c r="Q228" s="397"/>
      <c r="R228" s="397"/>
      <c r="S228" s="397"/>
      <c r="T228" s="397"/>
      <c r="U228" s="397"/>
      <c r="V228" s="397"/>
      <c r="W228" s="397"/>
      <c r="X228" s="397"/>
      <c r="Y228" s="397"/>
      <c r="Z228" s="397"/>
      <c r="AA228" s="397"/>
    </row>
    <row r="229" ht="15.75" customHeight="1">
      <c r="A229" s="397"/>
      <c r="B229" s="397"/>
      <c r="C229" s="397"/>
      <c r="D229" s="397"/>
      <c r="E229" s="397"/>
      <c r="F229" s="397"/>
      <c r="G229" s="397"/>
      <c r="H229" s="397"/>
      <c r="I229" s="397"/>
      <c r="J229" s="397"/>
      <c r="K229" s="397"/>
      <c r="L229" s="397"/>
      <c r="M229" s="397"/>
      <c r="N229" s="397"/>
      <c r="O229" s="397"/>
      <c r="P229" s="397"/>
      <c r="Q229" s="397"/>
      <c r="R229" s="397"/>
      <c r="S229" s="397"/>
      <c r="T229" s="397"/>
      <c r="U229" s="397"/>
      <c r="V229" s="397"/>
      <c r="W229" s="397"/>
      <c r="X229" s="397"/>
      <c r="Y229" s="397"/>
      <c r="Z229" s="397"/>
      <c r="AA229" s="397"/>
    </row>
    <row r="230" ht="15.75" customHeight="1">
      <c r="A230" s="397"/>
      <c r="B230" s="397"/>
      <c r="C230" s="397"/>
      <c r="D230" s="397"/>
      <c r="E230" s="397"/>
      <c r="F230" s="397"/>
      <c r="G230" s="397"/>
      <c r="H230" s="397"/>
      <c r="I230" s="397"/>
      <c r="J230" s="397"/>
      <c r="K230" s="397"/>
      <c r="L230" s="397"/>
      <c r="M230" s="397"/>
      <c r="N230" s="397"/>
      <c r="O230" s="397"/>
      <c r="P230" s="397"/>
      <c r="Q230" s="397"/>
      <c r="R230" s="397"/>
      <c r="S230" s="397"/>
      <c r="T230" s="397"/>
      <c r="U230" s="397"/>
      <c r="V230" s="397"/>
      <c r="W230" s="397"/>
      <c r="X230" s="397"/>
      <c r="Y230" s="397"/>
      <c r="Z230" s="397"/>
      <c r="AA230" s="397"/>
    </row>
    <row r="231" ht="15.75" customHeight="1">
      <c r="A231" s="397"/>
      <c r="B231" s="397"/>
      <c r="C231" s="397"/>
      <c r="D231" s="397"/>
      <c r="E231" s="397"/>
      <c r="F231" s="397"/>
      <c r="G231" s="397"/>
      <c r="H231" s="397"/>
      <c r="I231" s="397"/>
      <c r="J231" s="397"/>
      <c r="K231" s="397"/>
      <c r="L231" s="397"/>
      <c r="M231" s="397"/>
      <c r="N231" s="397"/>
      <c r="O231" s="397"/>
      <c r="P231" s="397"/>
      <c r="Q231" s="397"/>
      <c r="R231" s="397"/>
      <c r="S231" s="397"/>
      <c r="T231" s="397"/>
      <c r="U231" s="397"/>
      <c r="V231" s="397"/>
      <c r="W231" s="397"/>
      <c r="X231" s="397"/>
      <c r="Y231" s="397"/>
      <c r="Z231" s="397"/>
      <c r="AA231" s="397"/>
    </row>
    <row r="232" ht="15.75" customHeight="1">
      <c r="A232" s="397"/>
      <c r="B232" s="397"/>
      <c r="C232" s="397"/>
      <c r="D232" s="397"/>
      <c r="E232" s="397"/>
      <c r="F232" s="397"/>
      <c r="G232" s="397"/>
      <c r="H232" s="397"/>
      <c r="I232" s="397"/>
      <c r="J232" s="397"/>
      <c r="K232" s="397"/>
      <c r="L232" s="397"/>
      <c r="M232" s="397"/>
      <c r="N232" s="397"/>
      <c r="O232" s="397"/>
      <c r="P232" s="397"/>
      <c r="Q232" s="397"/>
      <c r="R232" s="397"/>
      <c r="S232" s="397"/>
      <c r="T232" s="397"/>
      <c r="U232" s="397"/>
      <c r="V232" s="397"/>
      <c r="W232" s="397"/>
      <c r="X232" s="397"/>
      <c r="Y232" s="397"/>
      <c r="Z232" s="397"/>
      <c r="AA232" s="397"/>
    </row>
    <row r="233" ht="15.75" customHeight="1">
      <c r="A233" s="397"/>
      <c r="B233" s="397"/>
      <c r="C233" s="397"/>
      <c r="D233" s="397"/>
      <c r="E233" s="397"/>
      <c r="F233" s="397"/>
      <c r="G233" s="397"/>
      <c r="H233" s="397"/>
      <c r="I233" s="397"/>
      <c r="J233" s="397"/>
      <c r="K233" s="397"/>
      <c r="L233" s="397"/>
      <c r="M233" s="397"/>
      <c r="N233" s="397"/>
      <c r="O233" s="397"/>
      <c r="P233" s="397"/>
      <c r="Q233" s="397"/>
      <c r="R233" s="397"/>
      <c r="S233" s="397"/>
      <c r="T233" s="397"/>
      <c r="U233" s="397"/>
      <c r="V233" s="397"/>
      <c r="W233" s="397"/>
      <c r="X233" s="397"/>
      <c r="Y233" s="397"/>
      <c r="Z233" s="397"/>
      <c r="AA233" s="397"/>
    </row>
    <row r="234" ht="15.75" customHeight="1">
      <c r="A234" s="397"/>
      <c r="B234" s="397"/>
      <c r="C234" s="397"/>
      <c r="D234" s="397"/>
      <c r="E234" s="397"/>
      <c r="F234" s="397"/>
      <c r="G234" s="397"/>
      <c r="H234" s="397"/>
      <c r="I234" s="397"/>
      <c r="J234" s="397"/>
      <c r="K234" s="397"/>
      <c r="L234" s="397"/>
      <c r="M234" s="397"/>
      <c r="N234" s="397"/>
      <c r="O234" s="397"/>
      <c r="P234" s="397"/>
      <c r="Q234" s="397"/>
      <c r="R234" s="397"/>
      <c r="S234" s="397"/>
      <c r="T234" s="397"/>
      <c r="U234" s="397"/>
      <c r="V234" s="397"/>
      <c r="W234" s="397"/>
      <c r="X234" s="397"/>
      <c r="Y234" s="397"/>
      <c r="Z234" s="397"/>
      <c r="AA234" s="397"/>
    </row>
    <row r="235" ht="15.75" customHeight="1">
      <c r="A235" s="397"/>
      <c r="B235" s="397"/>
      <c r="C235" s="397"/>
      <c r="D235" s="397"/>
      <c r="E235" s="397"/>
      <c r="F235" s="397"/>
      <c r="G235" s="397"/>
      <c r="H235" s="397"/>
      <c r="I235" s="397"/>
      <c r="J235" s="397"/>
      <c r="K235" s="397"/>
      <c r="L235" s="397"/>
      <c r="M235" s="397"/>
      <c r="N235" s="397"/>
      <c r="O235" s="397"/>
      <c r="P235" s="397"/>
      <c r="Q235" s="397"/>
      <c r="R235" s="397"/>
      <c r="S235" s="397"/>
      <c r="T235" s="397"/>
      <c r="U235" s="397"/>
      <c r="V235" s="397"/>
      <c r="W235" s="397"/>
      <c r="X235" s="397"/>
      <c r="Y235" s="397"/>
      <c r="Z235" s="397"/>
      <c r="AA235" s="397"/>
    </row>
    <row r="236" ht="15.75" customHeight="1">
      <c r="A236" s="397"/>
      <c r="B236" s="397"/>
      <c r="C236" s="397"/>
      <c r="D236" s="397"/>
      <c r="E236" s="397"/>
      <c r="F236" s="397"/>
      <c r="G236" s="397"/>
      <c r="H236" s="397"/>
      <c r="I236" s="397"/>
      <c r="J236" s="397"/>
      <c r="K236" s="397"/>
      <c r="L236" s="397"/>
      <c r="M236" s="397"/>
      <c r="N236" s="397"/>
      <c r="O236" s="397"/>
      <c r="P236" s="397"/>
      <c r="Q236" s="397"/>
      <c r="R236" s="397"/>
      <c r="S236" s="397"/>
      <c r="T236" s="397"/>
      <c r="U236" s="397"/>
      <c r="V236" s="397"/>
      <c r="W236" s="397"/>
      <c r="X236" s="397"/>
      <c r="Y236" s="397"/>
      <c r="Z236" s="397"/>
      <c r="AA236" s="397"/>
    </row>
    <row r="237" ht="15.75" customHeight="1">
      <c r="A237" s="397"/>
      <c r="B237" s="397"/>
      <c r="C237" s="397"/>
      <c r="D237" s="397"/>
      <c r="E237" s="397"/>
      <c r="F237" s="397"/>
      <c r="G237" s="397"/>
      <c r="H237" s="397"/>
      <c r="I237" s="397"/>
      <c r="J237" s="397"/>
      <c r="K237" s="397"/>
      <c r="L237" s="397"/>
      <c r="M237" s="397"/>
      <c r="N237" s="397"/>
      <c r="O237" s="397"/>
      <c r="P237" s="397"/>
      <c r="Q237" s="397"/>
      <c r="R237" s="397"/>
      <c r="S237" s="397"/>
      <c r="T237" s="397"/>
      <c r="U237" s="397"/>
      <c r="V237" s="397"/>
      <c r="W237" s="397"/>
      <c r="X237" s="397"/>
      <c r="Y237" s="397"/>
      <c r="Z237" s="397"/>
      <c r="AA237" s="397"/>
    </row>
    <row r="238" ht="15.75" customHeight="1">
      <c r="A238" s="397"/>
      <c r="B238" s="397"/>
      <c r="C238" s="397"/>
      <c r="D238" s="397"/>
      <c r="E238" s="397"/>
      <c r="F238" s="397"/>
      <c r="G238" s="397"/>
      <c r="H238" s="397"/>
      <c r="I238" s="397"/>
      <c r="J238" s="397"/>
      <c r="K238" s="397"/>
      <c r="L238" s="397"/>
      <c r="M238" s="397"/>
      <c r="N238" s="397"/>
      <c r="O238" s="397"/>
      <c r="P238" s="397"/>
      <c r="Q238" s="397"/>
      <c r="R238" s="397"/>
      <c r="S238" s="397"/>
      <c r="T238" s="397"/>
      <c r="U238" s="397"/>
      <c r="V238" s="397"/>
      <c r="W238" s="397"/>
      <c r="X238" s="397"/>
      <c r="Y238" s="397"/>
      <c r="Z238" s="397"/>
      <c r="AA238" s="397"/>
    </row>
    <row r="239" ht="15.75" customHeight="1">
      <c r="A239" s="397"/>
      <c r="B239" s="397"/>
      <c r="C239" s="397"/>
      <c r="D239" s="397"/>
      <c r="E239" s="397"/>
      <c r="F239" s="397"/>
      <c r="G239" s="397"/>
      <c r="H239" s="397"/>
      <c r="I239" s="397"/>
      <c r="J239" s="397"/>
      <c r="K239" s="397"/>
      <c r="L239" s="397"/>
      <c r="M239" s="397"/>
      <c r="N239" s="397"/>
      <c r="O239" s="397"/>
      <c r="P239" s="397"/>
      <c r="Q239" s="397"/>
      <c r="R239" s="397"/>
      <c r="S239" s="397"/>
      <c r="T239" s="397"/>
      <c r="U239" s="397"/>
      <c r="V239" s="397"/>
      <c r="W239" s="397"/>
      <c r="X239" s="397"/>
      <c r="Y239" s="397"/>
      <c r="Z239" s="397"/>
      <c r="AA239" s="397"/>
    </row>
    <row r="240" ht="15.75" customHeight="1">
      <c r="A240" s="397"/>
      <c r="B240" s="397"/>
      <c r="C240" s="397"/>
      <c r="D240" s="397"/>
      <c r="E240" s="397"/>
      <c r="F240" s="397"/>
      <c r="G240" s="397"/>
      <c r="H240" s="397"/>
      <c r="I240" s="397"/>
      <c r="J240" s="397"/>
      <c r="K240" s="397"/>
      <c r="L240" s="397"/>
      <c r="M240" s="397"/>
      <c r="N240" s="397"/>
      <c r="O240" s="397"/>
      <c r="P240" s="397"/>
      <c r="Q240" s="397"/>
      <c r="R240" s="397"/>
      <c r="S240" s="397"/>
      <c r="T240" s="397"/>
      <c r="U240" s="397"/>
      <c r="V240" s="397"/>
      <c r="W240" s="397"/>
      <c r="X240" s="397"/>
      <c r="Y240" s="397"/>
      <c r="Z240" s="397"/>
      <c r="AA240" s="397"/>
    </row>
    <row r="241" ht="15.75" customHeight="1">
      <c r="A241" s="397"/>
      <c r="B241" s="397"/>
      <c r="C241" s="397"/>
      <c r="D241" s="397"/>
      <c r="E241" s="397"/>
      <c r="F241" s="397"/>
      <c r="G241" s="397"/>
      <c r="H241" s="397"/>
      <c r="I241" s="397"/>
      <c r="J241" s="397"/>
      <c r="K241" s="397"/>
      <c r="L241" s="397"/>
      <c r="M241" s="397"/>
      <c r="N241" s="397"/>
      <c r="O241" s="397"/>
      <c r="P241" s="397"/>
      <c r="Q241" s="397"/>
      <c r="R241" s="397"/>
      <c r="S241" s="397"/>
      <c r="T241" s="397"/>
      <c r="U241" s="397"/>
      <c r="V241" s="397"/>
      <c r="W241" s="397"/>
      <c r="X241" s="397"/>
      <c r="Y241" s="397"/>
      <c r="Z241" s="397"/>
      <c r="AA241" s="397"/>
    </row>
    <row r="242" ht="15.75" customHeight="1">
      <c r="A242" s="397"/>
      <c r="B242" s="397"/>
      <c r="C242" s="397"/>
      <c r="D242" s="397"/>
      <c r="E242" s="397"/>
      <c r="F242" s="397"/>
      <c r="G242" s="397"/>
      <c r="H242" s="397"/>
      <c r="I242" s="397"/>
      <c r="J242" s="397"/>
      <c r="K242" s="397"/>
      <c r="L242" s="397"/>
      <c r="M242" s="397"/>
      <c r="N242" s="397"/>
      <c r="O242" s="397"/>
      <c r="P242" s="397"/>
      <c r="Q242" s="397"/>
      <c r="R242" s="397"/>
      <c r="S242" s="397"/>
      <c r="T242" s="397"/>
      <c r="U242" s="397"/>
      <c r="V242" s="397"/>
      <c r="W242" s="397"/>
      <c r="X242" s="397"/>
      <c r="Y242" s="397"/>
      <c r="Z242" s="397"/>
      <c r="AA242" s="397"/>
    </row>
    <row r="243" ht="15.75" customHeight="1">
      <c r="A243" s="397"/>
      <c r="B243" s="397"/>
      <c r="C243" s="397"/>
      <c r="D243" s="397"/>
      <c r="E243" s="397"/>
      <c r="F243" s="397"/>
      <c r="G243" s="397"/>
      <c r="H243" s="397"/>
      <c r="I243" s="397"/>
      <c r="J243" s="397"/>
      <c r="K243" s="397"/>
      <c r="L243" s="397"/>
      <c r="M243" s="397"/>
      <c r="N243" s="397"/>
      <c r="O243" s="397"/>
      <c r="P243" s="397"/>
      <c r="Q243" s="397"/>
      <c r="R243" s="397"/>
      <c r="S243" s="397"/>
      <c r="T243" s="397"/>
      <c r="U243" s="397"/>
      <c r="V243" s="397"/>
      <c r="W243" s="397"/>
      <c r="X243" s="397"/>
      <c r="Y243" s="397"/>
      <c r="Z243" s="397"/>
      <c r="AA243" s="397"/>
    </row>
    <row r="244" ht="15.75" customHeight="1">
      <c r="A244" s="397"/>
      <c r="B244" s="397"/>
      <c r="C244" s="397"/>
      <c r="D244" s="397"/>
      <c r="E244" s="397"/>
      <c r="F244" s="397"/>
      <c r="G244" s="397"/>
      <c r="H244" s="397"/>
      <c r="I244" s="397"/>
      <c r="J244" s="397"/>
      <c r="K244" s="397"/>
      <c r="L244" s="397"/>
      <c r="M244" s="397"/>
      <c r="N244" s="397"/>
      <c r="O244" s="397"/>
      <c r="P244" s="397"/>
      <c r="Q244" s="397"/>
      <c r="R244" s="397"/>
      <c r="S244" s="397"/>
      <c r="T244" s="397"/>
      <c r="U244" s="397"/>
      <c r="V244" s="397"/>
      <c r="W244" s="397"/>
      <c r="X244" s="397"/>
      <c r="Y244" s="397"/>
      <c r="Z244" s="397"/>
      <c r="AA244" s="397"/>
    </row>
    <row r="245" ht="15.75" customHeight="1">
      <c r="A245" s="397"/>
      <c r="B245" s="397"/>
      <c r="C245" s="397"/>
      <c r="D245" s="397"/>
      <c r="E245" s="397"/>
      <c r="F245" s="397"/>
      <c r="G245" s="397"/>
      <c r="H245" s="397"/>
      <c r="I245" s="397"/>
      <c r="J245" s="397"/>
      <c r="K245" s="397"/>
      <c r="L245" s="397"/>
      <c r="M245" s="397"/>
      <c r="N245" s="397"/>
      <c r="O245" s="397"/>
      <c r="P245" s="397"/>
      <c r="Q245" s="397"/>
      <c r="R245" s="397"/>
      <c r="S245" s="397"/>
      <c r="T245" s="397"/>
      <c r="U245" s="397"/>
      <c r="V245" s="397"/>
      <c r="W245" s="397"/>
      <c r="X245" s="397"/>
      <c r="Y245" s="397"/>
      <c r="Z245" s="397"/>
      <c r="AA245" s="397"/>
    </row>
    <row r="246" ht="15.75" customHeight="1">
      <c r="A246" s="397"/>
      <c r="B246" s="397"/>
      <c r="C246" s="397"/>
      <c r="D246" s="397"/>
      <c r="E246" s="397"/>
      <c r="F246" s="397"/>
      <c r="G246" s="397"/>
      <c r="H246" s="397"/>
      <c r="I246" s="397"/>
      <c r="J246" s="397"/>
      <c r="K246" s="397"/>
      <c r="L246" s="397"/>
      <c r="M246" s="397"/>
      <c r="N246" s="397"/>
      <c r="O246" s="397"/>
      <c r="P246" s="397"/>
      <c r="Q246" s="397"/>
      <c r="R246" s="397"/>
      <c r="S246" s="397"/>
      <c r="T246" s="397"/>
      <c r="U246" s="397"/>
      <c r="V246" s="397"/>
      <c r="W246" s="397"/>
      <c r="X246" s="397"/>
      <c r="Y246" s="397"/>
      <c r="Z246" s="397"/>
      <c r="AA246" s="397"/>
    </row>
    <row r="247" ht="15.75" customHeight="1">
      <c r="A247" s="397"/>
      <c r="B247" s="397"/>
      <c r="C247" s="397"/>
      <c r="D247" s="397"/>
      <c r="E247" s="397"/>
      <c r="F247" s="397"/>
      <c r="G247" s="397"/>
      <c r="H247" s="397"/>
      <c r="I247" s="397"/>
      <c r="J247" s="397"/>
      <c r="K247" s="397"/>
      <c r="L247" s="397"/>
      <c r="M247" s="397"/>
      <c r="N247" s="397"/>
      <c r="O247" s="397"/>
      <c r="P247" s="397"/>
      <c r="Q247" s="397"/>
      <c r="R247" s="397"/>
      <c r="S247" s="397"/>
      <c r="T247" s="397"/>
      <c r="U247" s="397"/>
      <c r="V247" s="397"/>
      <c r="W247" s="397"/>
      <c r="X247" s="397"/>
      <c r="Y247" s="397"/>
      <c r="Z247" s="397"/>
      <c r="AA247" s="397"/>
    </row>
    <row r="248" ht="15.75" customHeight="1">
      <c r="A248" s="397"/>
      <c r="B248" s="397"/>
      <c r="C248" s="397"/>
      <c r="D248" s="397"/>
      <c r="E248" s="397"/>
      <c r="F248" s="397"/>
      <c r="G248" s="397"/>
      <c r="H248" s="397"/>
      <c r="I248" s="397"/>
      <c r="J248" s="397"/>
      <c r="K248" s="397"/>
      <c r="L248" s="397"/>
      <c r="M248" s="397"/>
      <c r="N248" s="397"/>
      <c r="O248" s="397"/>
      <c r="P248" s="397"/>
      <c r="Q248" s="397"/>
      <c r="R248" s="397"/>
      <c r="S248" s="397"/>
      <c r="T248" s="397"/>
      <c r="U248" s="397"/>
      <c r="V248" s="397"/>
      <c r="W248" s="397"/>
      <c r="X248" s="397"/>
      <c r="Y248" s="397"/>
      <c r="Z248" s="397"/>
      <c r="AA248" s="397"/>
    </row>
    <row r="249" ht="15.75" customHeight="1">
      <c r="A249" s="397"/>
      <c r="B249" s="397"/>
      <c r="C249" s="397"/>
      <c r="D249" s="397"/>
      <c r="E249" s="397"/>
      <c r="F249" s="397"/>
      <c r="G249" s="397"/>
      <c r="H249" s="397"/>
      <c r="I249" s="397"/>
      <c r="J249" s="397"/>
      <c r="K249" s="397"/>
      <c r="L249" s="397"/>
      <c r="M249" s="397"/>
      <c r="N249" s="397"/>
      <c r="O249" s="397"/>
      <c r="P249" s="397"/>
      <c r="Q249" s="397"/>
      <c r="R249" s="397"/>
      <c r="S249" s="397"/>
      <c r="T249" s="397"/>
      <c r="U249" s="397"/>
      <c r="V249" s="397"/>
      <c r="W249" s="397"/>
      <c r="X249" s="397"/>
      <c r="Y249" s="397"/>
      <c r="Z249" s="397"/>
      <c r="AA249" s="397"/>
    </row>
    <row r="250" ht="15.75" customHeight="1">
      <c r="A250" s="397"/>
      <c r="B250" s="397"/>
      <c r="C250" s="397"/>
      <c r="D250" s="397"/>
      <c r="E250" s="397"/>
      <c r="F250" s="397"/>
      <c r="G250" s="397"/>
      <c r="H250" s="397"/>
      <c r="I250" s="397"/>
      <c r="J250" s="397"/>
      <c r="K250" s="397"/>
      <c r="L250" s="397"/>
      <c r="M250" s="397"/>
      <c r="N250" s="397"/>
      <c r="O250" s="397"/>
      <c r="P250" s="397"/>
      <c r="Q250" s="397"/>
      <c r="R250" s="397"/>
      <c r="S250" s="397"/>
      <c r="T250" s="397"/>
      <c r="U250" s="397"/>
      <c r="V250" s="397"/>
      <c r="W250" s="397"/>
      <c r="X250" s="397"/>
      <c r="Y250" s="397"/>
      <c r="Z250" s="397"/>
      <c r="AA250" s="397"/>
    </row>
    <row r="251" ht="15.75" customHeight="1">
      <c r="A251" s="397"/>
      <c r="B251" s="397"/>
      <c r="C251" s="397"/>
      <c r="D251" s="397"/>
      <c r="E251" s="397"/>
      <c r="F251" s="397"/>
      <c r="G251" s="397"/>
      <c r="H251" s="397"/>
      <c r="I251" s="397"/>
      <c r="J251" s="397"/>
      <c r="K251" s="397"/>
      <c r="L251" s="397"/>
      <c r="M251" s="397"/>
      <c r="N251" s="397"/>
      <c r="O251" s="397"/>
      <c r="P251" s="397"/>
      <c r="Q251" s="397"/>
      <c r="R251" s="397"/>
      <c r="S251" s="397"/>
      <c r="T251" s="397"/>
      <c r="U251" s="397"/>
      <c r="V251" s="397"/>
      <c r="W251" s="397"/>
      <c r="X251" s="397"/>
      <c r="Y251" s="397"/>
      <c r="Z251" s="397"/>
      <c r="AA251" s="397"/>
    </row>
    <row r="252" ht="15.75" customHeight="1">
      <c r="A252" s="397"/>
      <c r="B252" s="397"/>
      <c r="C252" s="397"/>
      <c r="D252" s="397"/>
      <c r="E252" s="397"/>
      <c r="F252" s="397"/>
      <c r="G252" s="397"/>
      <c r="H252" s="397"/>
      <c r="I252" s="397"/>
      <c r="J252" s="397"/>
      <c r="K252" s="397"/>
      <c r="L252" s="397"/>
      <c r="M252" s="397"/>
      <c r="N252" s="397"/>
      <c r="O252" s="397"/>
      <c r="P252" s="397"/>
      <c r="Q252" s="397"/>
      <c r="R252" s="397"/>
      <c r="S252" s="397"/>
      <c r="T252" s="397"/>
      <c r="U252" s="397"/>
      <c r="V252" s="397"/>
      <c r="W252" s="397"/>
      <c r="X252" s="397"/>
      <c r="Y252" s="397"/>
      <c r="Z252" s="397"/>
      <c r="AA252" s="397"/>
    </row>
    <row r="253" ht="15.75" customHeight="1">
      <c r="A253" s="397"/>
      <c r="B253" s="397"/>
      <c r="C253" s="397"/>
      <c r="D253" s="397"/>
      <c r="E253" s="397"/>
      <c r="F253" s="397"/>
      <c r="G253" s="397"/>
      <c r="H253" s="397"/>
      <c r="I253" s="397"/>
      <c r="J253" s="397"/>
      <c r="K253" s="397"/>
      <c r="L253" s="397"/>
      <c r="M253" s="397"/>
      <c r="N253" s="397"/>
      <c r="O253" s="397"/>
      <c r="P253" s="397"/>
      <c r="Q253" s="397"/>
      <c r="R253" s="397"/>
      <c r="S253" s="397"/>
      <c r="T253" s="397"/>
      <c r="U253" s="397"/>
      <c r="V253" s="397"/>
      <c r="W253" s="397"/>
      <c r="X253" s="397"/>
      <c r="Y253" s="397"/>
      <c r="Z253" s="397"/>
      <c r="AA253" s="397"/>
    </row>
    <row r="254" ht="15.75" customHeight="1">
      <c r="A254" s="397"/>
      <c r="B254" s="397"/>
      <c r="C254" s="397"/>
      <c r="D254" s="397"/>
      <c r="E254" s="397"/>
      <c r="F254" s="397"/>
      <c r="G254" s="397"/>
      <c r="H254" s="397"/>
      <c r="I254" s="397"/>
      <c r="J254" s="397"/>
      <c r="K254" s="397"/>
      <c r="L254" s="397"/>
      <c r="M254" s="397"/>
      <c r="N254" s="397"/>
      <c r="O254" s="397"/>
      <c r="P254" s="397"/>
      <c r="Q254" s="397"/>
      <c r="R254" s="397"/>
      <c r="S254" s="397"/>
      <c r="T254" s="397"/>
      <c r="U254" s="397"/>
      <c r="V254" s="397"/>
      <c r="W254" s="397"/>
      <c r="X254" s="397"/>
      <c r="Y254" s="397"/>
      <c r="Z254" s="397"/>
      <c r="AA254" s="397"/>
    </row>
    <row r="255" ht="15.75" customHeight="1">
      <c r="A255" s="397"/>
      <c r="B255" s="397"/>
      <c r="C255" s="397"/>
      <c r="D255" s="397"/>
      <c r="E255" s="397"/>
      <c r="F255" s="397"/>
      <c r="G255" s="397"/>
      <c r="H255" s="397"/>
      <c r="I255" s="397"/>
      <c r="J255" s="397"/>
      <c r="K255" s="397"/>
      <c r="L255" s="397"/>
      <c r="M255" s="397"/>
      <c r="N255" s="397"/>
      <c r="O255" s="397"/>
      <c r="P255" s="397"/>
      <c r="Q255" s="397"/>
      <c r="R255" s="397"/>
      <c r="S255" s="397"/>
      <c r="T255" s="397"/>
      <c r="U255" s="397"/>
      <c r="V255" s="397"/>
      <c r="W255" s="397"/>
      <c r="X255" s="397"/>
      <c r="Y255" s="397"/>
      <c r="Z255" s="397"/>
      <c r="AA255" s="397"/>
    </row>
    <row r="256" ht="15.75" customHeight="1">
      <c r="A256" s="397"/>
      <c r="B256" s="397"/>
      <c r="C256" s="397"/>
      <c r="D256" s="397"/>
      <c r="E256" s="397"/>
      <c r="F256" s="397"/>
      <c r="G256" s="397"/>
      <c r="H256" s="397"/>
      <c r="I256" s="397"/>
      <c r="J256" s="397"/>
      <c r="K256" s="397"/>
      <c r="L256" s="397"/>
      <c r="M256" s="397"/>
      <c r="N256" s="397"/>
      <c r="O256" s="397"/>
      <c r="P256" s="397"/>
      <c r="Q256" s="397"/>
      <c r="R256" s="397"/>
      <c r="S256" s="397"/>
      <c r="T256" s="397"/>
      <c r="U256" s="397"/>
      <c r="V256" s="397"/>
      <c r="W256" s="397"/>
      <c r="X256" s="397"/>
      <c r="Y256" s="397"/>
      <c r="Z256" s="397"/>
      <c r="AA256" s="397"/>
    </row>
    <row r="257" ht="15.75" customHeight="1">
      <c r="A257" s="397"/>
      <c r="B257" s="397"/>
      <c r="C257" s="397"/>
      <c r="D257" s="397"/>
      <c r="E257" s="397"/>
      <c r="F257" s="397"/>
      <c r="G257" s="397"/>
      <c r="H257" s="397"/>
      <c r="I257" s="397"/>
      <c r="J257" s="397"/>
      <c r="K257" s="397"/>
      <c r="L257" s="397"/>
      <c r="M257" s="397"/>
      <c r="N257" s="397"/>
      <c r="O257" s="397"/>
      <c r="P257" s="397"/>
      <c r="Q257" s="397"/>
      <c r="R257" s="397"/>
      <c r="S257" s="397"/>
      <c r="T257" s="397"/>
      <c r="U257" s="397"/>
      <c r="V257" s="397"/>
      <c r="W257" s="397"/>
      <c r="X257" s="397"/>
      <c r="Y257" s="397"/>
      <c r="Z257" s="397"/>
      <c r="AA257" s="397"/>
    </row>
    <row r="258" ht="15.75" customHeight="1">
      <c r="A258" s="397"/>
      <c r="B258" s="397"/>
      <c r="C258" s="397"/>
      <c r="D258" s="397"/>
      <c r="E258" s="397"/>
      <c r="F258" s="397"/>
      <c r="G258" s="397"/>
      <c r="H258" s="397"/>
      <c r="I258" s="397"/>
      <c r="J258" s="397"/>
      <c r="K258" s="397"/>
      <c r="L258" s="397"/>
      <c r="M258" s="397"/>
      <c r="N258" s="397"/>
      <c r="O258" s="397"/>
      <c r="P258" s="397"/>
      <c r="Q258" s="397"/>
      <c r="R258" s="397"/>
      <c r="S258" s="397"/>
      <c r="T258" s="397"/>
      <c r="U258" s="397"/>
      <c r="V258" s="397"/>
      <c r="W258" s="397"/>
      <c r="X258" s="397"/>
      <c r="Y258" s="397"/>
      <c r="Z258" s="397"/>
      <c r="AA258" s="397"/>
    </row>
    <row r="259" ht="15.75" customHeight="1">
      <c r="A259" s="397"/>
      <c r="B259" s="397"/>
      <c r="C259" s="397"/>
      <c r="D259" s="397"/>
      <c r="E259" s="397"/>
      <c r="F259" s="397"/>
      <c r="G259" s="397"/>
      <c r="H259" s="397"/>
      <c r="I259" s="397"/>
      <c r="J259" s="397"/>
      <c r="K259" s="397"/>
      <c r="L259" s="397"/>
      <c r="M259" s="397"/>
      <c r="N259" s="397"/>
      <c r="O259" s="397"/>
      <c r="P259" s="397"/>
      <c r="Q259" s="397"/>
      <c r="R259" s="397"/>
      <c r="S259" s="397"/>
      <c r="T259" s="397"/>
      <c r="U259" s="397"/>
      <c r="V259" s="397"/>
      <c r="W259" s="397"/>
      <c r="X259" s="397"/>
      <c r="Y259" s="397"/>
      <c r="Z259" s="397"/>
      <c r="AA259" s="397"/>
    </row>
    <row r="260" ht="15.75" customHeight="1">
      <c r="A260" s="397"/>
      <c r="B260" s="397"/>
      <c r="C260" s="397"/>
      <c r="D260" s="397"/>
      <c r="E260" s="397"/>
      <c r="F260" s="397"/>
      <c r="G260" s="397"/>
      <c r="H260" s="397"/>
      <c r="I260" s="397"/>
      <c r="J260" s="397"/>
      <c r="K260" s="397"/>
      <c r="L260" s="397"/>
      <c r="M260" s="397"/>
      <c r="N260" s="397"/>
      <c r="O260" s="397"/>
      <c r="P260" s="397"/>
      <c r="Q260" s="397"/>
      <c r="R260" s="397"/>
      <c r="S260" s="397"/>
      <c r="T260" s="397"/>
      <c r="U260" s="397"/>
      <c r="V260" s="397"/>
      <c r="W260" s="397"/>
      <c r="X260" s="397"/>
      <c r="Y260" s="397"/>
      <c r="Z260" s="397"/>
      <c r="AA260" s="397"/>
    </row>
    <row r="261" ht="15.75" customHeight="1">
      <c r="A261" s="397"/>
      <c r="B261" s="397"/>
      <c r="C261" s="397"/>
      <c r="D261" s="397"/>
      <c r="E261" s="397"/>
      <c r="F261" s="397"/>
      <c r="G261" s="397"/>
      <c r="H261" s="397"/>
      <c r="I261" s="397"/>
      <c r="J261" s="397"/>
      <c r="K261" s="397"/>
      <c r="L261" s="397"/>
      <c r="M261" s="397"/>
      <c r="N261" s="397"/>
      <c r="O261" s="397"/>
      <c r="P261" s="397"/>
      <c r="Q261" s="397"/>
      <c r="R261" s="397"/>
      <c r="S261" s="397"/>
      <c r="T261" s="397"/>
      <c r="U261" s="397"/>
      <c r="V261" s="397"/>
      <c r="W261" s="397"/>
      <c r="X261" s="397"/>
      <c r="Y261" s="397"/>
      <c r="Z261" s="397"/>
      <c r="AA261" s="397"/>
    </row>
    <row r="262" ht="15.75" customHeight="1">
      <c r="A262" s="397"/>
      <c r="B262" s="397"/>
      <c r="C262" s="397"/>
      <c r="D262" s="397"/>
      <c r="E262" s="397"/>
      <c r="F262" s="397"/>
      <c r="G262" s="397"/>
      <c r="H262" s="397"/>
      <c r="I262" s="397"/>
      <c r="J262" s="397"/>
      <c r="K262" s="397"/>
      <c r="L262" s="397"/>
      <c r="M262" s="397"/>
      <c r="N262" s="397"/>
      <c r="O262" s="397"/>
      <c r="P262" s="397"/>
      <c r="Q262" s="397"/>
      <c r="R262" s="397"/>
      <c r="S262" s="397"/>
      <c r="T262" s="397"/>
      <c r="U262" s="397"/>
      <c r="V262" s="397"/>
      <c r="W262" s="397"/>
      <c r="X262" s="397"/>
      <c r="Y262" s="397"/>
      <c r="Z262" s="397"/>
      <c r="AA262" s="397"/>
    </row>
    <row r="263" ht="15.75" customHeight="1">
      <c r="A263" s="397"/>
      <c r="B263" s="397"/>
      <c r="C263" s="397"/>
      <c r="D263" s="397"/>
      <c r="E263" s="397"/>
      <c r="F263" s="397"/>
      <c r="G263" s="397"/>
      <c r="H263" s="397"/>
      <c r="I263" s="397"/>
      <c r="J263" s="397"/>
      <c r="K263" s="397"/>
      <c r="L263" s="397"/>
      <c r="M263" s="397"/>
      <c r="N263" s="397"/>
      <c r="O263" s="397"/>
      <c r="P263" s="397"/>
      <c r="Q263" s="397"/>
      <c r="R263" s="397"/>
      <c r="S263" s="397"/>
      <c r="T263" s="397"/>
      <c r="U263" s="397"/>
      <c r="V263" s="397"/>
      <c r="W263" s="397"/>
      <c r="X263" s="397"/>
      <c r="Y263" s="397"/>
      <c r="Z263" s="397"/>
      <c r="AA263" s="397"/>
    </row>
    <row r="264" ht="15.75" customHeight="1">
      <c r="A264" s="397"/>
      <c r="B264" s="397"/>
      <c r="C264" s="397"/>
      <c r="D264" s="397"/>
      <c r="E264" s="397"/>
      <c r="F264" s="397"/>
      <c r="G264" s="397"/>
      <c r="H264" s="397"/>
      <c r="I264" s="397"/>
      <c r="J264" s="397"/>
      <c r="K264" s="397"/>
      <c r="L264" s="397"/>
      <c r="M264" s="397"/>
      <c r="N264" s="397"/>
      <c r="O264" s="397"/>
      <c r="P264" s="397"/>
      <c r="Q264" s="397"/>
      <c r="R264" s="397"/>
      <c r="S264" s="397"/>
      <c r="T264" s="397"/>
      <c r="U264" s="397"/>
      <c r="V264" s="397"/>
      <c r="W264" s="397"/>
      <c r="X264" s="397"/>
      <c r="Y264" s="397"/>
      <c r="Z264" s="397"/>
      <c r="AA264" s="397"/>
    </row>
    <row r="265" ht="15.75" customHeight="1">
      <c r="A265" s="397"/>
      <c r="B265" s="397"/>
      <c r="C265" s="397"/>
      <c r="D265" s="397"/>
      <c r="E265" s="397"/>
      <c r="F265" s="397"/>
      <c r="G265" s="397"/>
      <c r="H265" s="397"/>
      <c r="I265" s="397"/>
      <c r="J265" s="397"/>
      <c r="K265" s="397"/>
      <c r="L265" s="397"/>
      <c r="M265" s="397"/>
      <c r="N265" s="397"/>
      <c r="O265" s="397"/>
      <c r="P265" s="397"/>
      <c r="Q265" s="397"/>
      <c r="R265" s="397"/>
      <c r="S265" s="397"/>
      <c r="T265" s="397"/>
      <c r="U265" s="397"/>
      <c r="V265" s="397"/>
      <c r="W265" s="397"/>
      <c r="X265" s="397"/>
      <c r="Y265" s="397"/>
      <c r="Z265" s="397"/>
      <c r="AA265" s="397"/>
    </row>
    <row r="266" ht="15.75" customHeight="1">
      <c r="A266" s="397"/>
      <c r="B266" s="397"/>
      <c r="C266" s="397"/>
      <c r="D266" s="397"/>
      <c r="E266" s="397"/>
      <c r="F266" s="397"/>
      <c r="G266" s="397"/>
      <c r="H266" s="397"/>
      <c r="I266" s="397"/>
      <c r="J266" s="397"/>
      <c r="K266" s="397"/>
      <c r="L266" s="397"/>
      <c r="M266" s="397"/>
      <c r="N266" s="397"/>
      <c r="O266" s="397"/>
      <c r="P266" s="397"/>
      <c r="Q266" s="397"/>
      <c r="R266" s="397"/>
      <c r="S266" s="397"/>
      <c r="T266" s="397"/>
      <c r="U266" s="397"/>
      <c r="V266" s="397"/>
      <c r="W266" s="397"/>
      <c r="X266" s="397"/>
      <c r="Y266" s="397"/>
      <c r="Z266" s="397"/>
      <c r="AA266" s="397"/>
    </row>
    <row r="267" ht="15.75" customHeight="1">
      <c r="A267" s="397"/>
      <c r="B267" s="397"/>
      <c r="C267" s="397"/>
      <c r="D267" s="397"/>
      <c r="E267" s="397"/>
      <c r="F267" s="397"/>
      <c r="G267" s="397"/>
      <c r="H267" s="397"/>
      <c r="I267" s="397"/>
      <c r="J267" s="397"/>
      <c r="K267" s="397"/>
      <c r="L267" s="397"/>
      <c r="M267" s="397"/>
      <c r="N267" s="397"/>
      <c r="O267" s="397"/>
      <c r="P267" s="397"/>
      <c r="Q267" s="397"/>
      <c r="R267" s="397"/>
      <c r="S267" s="397"/>
      <c r="T267" s="397"/>
      <c r="U267" s="397"/>
      <c r="V267" s="397"/>
      <c r="W267" s="397"/>
      <c r="X267" s="397"/>
      <c r="Y267" s="397"/>
      <c r="Z267" s="397"/>
      <c r="AA267" s="397"/>
    </row>
    <row r="268" ht="15.75" customHeight="1">
      <c r="A268" s="397"/>
      <c r="B268" s="397"/>
      <c r="C268" s="397"/>
      <c r="D268" s="397"/>
      <c r="E268" s="397"/>
      <c r="F268" s="397"/>
      <c r="G268" s="397"/>
      <c r="H268" s="397"/>
      <c r="I268" s="397"/>
      <c r="J268" s="397"/>
      <c r="K268" s="397"/>
      <c r="L268" s="397"/>
      <c r="M268" s="397"/>
      <c r="N268" s="397"/>
      <c r="O268" s="397"/>
      <c r="P268" s="397"/>
      <c r="Q268" s="397"/>
      <c r="R268" s="397"/>
      <c r="S268" s="397"/>
      <c r="T268" s="397"/>
      <c r="U268" s="397"/>
      <c r="V268" s="397"/>
      <c r="W268" s="397"/>
      <c r="X268" s="397"/>
      <c r="Y268" s="397"/>
      <c r="Z268" s="397"/>
      <c r="AA268" s="397"/>
    </row>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9">
    <mergeCell ref="A1:H1"/>
    <mergeCell ref="I1:Q1"/>
    <mergeCell ref="A3:D3"/>
    <mergeCell ref="F3:H9"/>
    <mergeCell ref="A18:A19"/>
    <mergeCell ref="B18:B19"/>
    <mergeCell ref="C18:C19"/>
    <mergeCell ref="D18:D19"/>
    <mergeCell ref="E18:E19"/>
    <mergeCell ref="A20:A21"/>
    <mergeCell ref="B20:B21"/>
    <mergeCell ref="C20:C21"/>
    <mergeCell ref="D20:D21"/>
    <mergeCell ref="E20:E21"/>
    <mergeCell ref="E24:E25"/>
    <mergeCell ref="A26:G26"/>
    <mergeCell ref="A22:A23"/>
    <mergeCell ref="B22:B23"/>
    <mergeCell ref="C22:C23"/>
    <mergeCell ref="D22:D23"/>
    <mergeCell ref="E22:E23"/>
    <mergeCell ref="A24:A25"/>
    <mergeCell ref="B24:B25"/>
    <mergeCell ref="C24:C25"/>
    <mergeCell ref="D24:D25"/>
    <mergeCell ref="A30:A31"/>
    <mergeCell ref="B30:B31"/>
    <mergeCell ref="A34:A35"/>
    <mergeCell ref="B34:B35"/>
    <mergeCell ref="A36:A37"/>
    <mergeCell ref="K45:L45"/>
    <mergeCell ref="F46:N46"/>
    <mergeCell ref="K29:M34"/>
    <mergeCell ref="J39:N40"/>
    <mergeCell ref="F40:I40"/>
    <mergeCell ref="K41:L41"/>
    <mergeCell ref="K42:L42"/>
    <mergeCell ref="K43:L43"/>
    <mergeCell ref="K44:L44"/>
  </mergeCells>
  <conditionalFormatting sqref="I29:I37 L18:L28 L35:L37">
    <cfRule type="cellIs" dxfId="3" priority="1" operator="lessThanOrEqual">
      <formula>"0%"</formula>
    </cfRule>
  </conditionalFormatting>
  <hyperlinks>
    <hyperlink r:id="rId1" location="gid=669368221" ref="J39"/>
  </hyperlinks>
  <printOptions/>
  <pageMargins bottom="0.75" footer="0.0" header="0.0" left="0.7" right="0.7" top="0.75"/>
  <pageSetup orientation="landscape"/>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A8DC"/>
    <pageSetUpPr/>
  </sheetPr>
  <sheetViews>
    <sheetView workbookViewId="0"/>
  </sheetViews>
  <sheetFormatPr customHeight="1" defaultColWidth="12.63" defaultRowHeight="15.0"/>
  <cols>
    <col customWidth="1" min="1" max="1" width="11.75"/>
    <col customWidth="1" min="2" max="2" width="13.75"/>
    <col customWidth="1" min="3" max="3" width="10.88"/>
    <col customWidth="1" min="4" max="4" width="12.13"/>
    <col customWidth="1" min="5" max="5" width="10.25"/>
    <col customWidth="1" min="6" max="6" width="8.0"/>
    <col customWidth="1" min="7" max="7" width="10.38"/>
    <col customWidth="1" min="8" max="8" width="10.13"/>
    <col customWidth="1" min="9" max="9" width="9.13"/>
    <col customWidth="1" min="10" max="10" width="9.88"/>
    <col customWidth="1" min="11" max="11" width="17.38"/>
    <col customWidth="1" min="12" max="12" width="9.13"/>
    <col customWidth="1" min="13" max="13" width="9.25"/>
    <col customWidth="1" min="14" max="15" width="9.13"/>
    <col customWidth="1" min="16" max="16" width="8.38"/>
    <col customWidth="1" min="17" max="18" width="9.13"/>
    <col customWidth="1" min="19" max="19" width="11.25"/>
    <col customWidth="1" min="20" max="20" width="9.13"/>
    <col customWidth="1" min="21" max="26" width="8.63"/>
  </cols>
  <sheetData>
    <row r="1" ht="12.0" customHeight="1">
      <c r="A1" s="494" t="s">
        <v>311</v>
      </c>
      <c r="G1" s="495"/>
      <c r="H1" s="495"/>
      <c r="I1" s="495"/>
      <c r="J1" s="5">
        <v>2204.62</v>
      </c>
      <c r="K1" s="495"/>
      <c r="L1" s="6" t="s">
        <v>312</v>
      </c>
      <c r="M1" s="7"/>
      <c r="N1" s="7"/>
      <c r="O1" s="8"/>
      <c r="P1" s="495"/>
      <c r="Q1" s="495"/>
      <c r="R1" s="495"/>
      <c r="S1" s="495"/>
      <c r="T1" s="495"/>
      <c r="U1" s="495"/>
      <c r="V1" s="495"/>
      <c r="W1" s="495"/>
      <c r="X1" s="495"/>
      <c r="Y1" s="495"/>
      <c r="Z1" s="495"/>
    </row>
    <row r="2" ht="12.0" customHeight="1">
      <c r="A2" s="496" t="s">
        <v>313</v>
      </c>
      <c r="B2" s="495"/>
      <c r="C2" s="495"/>
      <c r="D2" s="495"/>
      <c r="E2" s="495"/>
      <c r="F2" s="495"/>
      <c r="G2" s="495"/>
      <c r="H2" s="495"/>
      <c r="I2" s="495"/>
      <c r="J2" s="495"/>
      <c r="K2" s="497" t="s">
        <v>314</v>
      </c>
      <c r="L2" s="498"/>
      <c r="M2" s="498"/>
      <c r="N2" s="499"/>
      <c r="O2" s="499"/>
      <c r="P2" s="499"/>
      <c r="Q2" s="499"/>
      <c r="R2" s="499"/>
      <c r="S2" s="500"/>
      <c r="T2" s="495"/>
      <c r="U2" s="495"/>
      <c r="V2" s="495"/>
      <c r="W2" s="495"/>
      <c r="X2" s="495"/>
      <c r="Y2" s="495"/>
      <c r="Z2" s="495"/>
    </row>
    <row r="3" ht="12.0" customHeight="1">
      <c r="A3" s="501" t="s">
        <v>315</v>
      </c>
      <c r="B3" s="502" t="s">
        <v>5</v>
      </c>
      <c r="C3" s="502" t="s">
        <v>6</v>
      </c>
      <c r="D3" s="502" t="s">
        <v>18</v>
      </c>
      <c r="E3" s="503" t="s">
        <v>10</v>
      </c>
      <c r="F3" s="495"/>
      <c r="G3" s="495"/>
      <c r="H3" s="495"/>
      <c r="I3" s="495"/>
      <c r="J3" s="495"/>
      <c r="K3" s="504"/>
      <c r="L3" s="505" t="s">
        <v>5</v>
      </c>
      <c r="M3" s="505" t="s">
        <v>6</v>
      </c>
      <c r="N3" s="505" t="s">
        <v>8</v>
      </c>
      <c r="O3" s="249" t="s">
        <v>181</v>
      </c>
      <c r="P3" s="249" t="s">
        <v>127</v>
      </c>
      <c r="Q3" s="249" t="s">
        <v>129</v>
      </c>
      <c r="R3" s="505" t="s">
        <v>85</v>
      </c>
      <c r="S3" s="506" t="s">
        <v>86</v>
      </c>
      <c r="T3" s="495"/>
      <c r="U3" s="495"/>
      <c r="V3" s="495"/>
      <c r="W3" s="495"/>
      <c r="X3" s="495"/>
      <c r="Y3" s="495"/>
      <c r="Z3" s="495"/>
    </row>
    <row r="4" ht="12.0" customHeight="1">
      <c r="A4" s="507" t="s">
        <v>316</v>
      </c>
      <c r="B4" s="508">
        <f>'CP Primary Allocations by LLP'!C18</f>
        <v>40003505</v>
      </c>
      <c r="C4" s="508">
        <f>'CP Primary Allocations by LLP'!D18</f>
        <v>19148863</v>
      </c>
      <c r="D4" s="508">
        <f>'CP Primary Allocations by LLP'!E18</f>
        <v>12163508</v>
      </c>
      <c r="E4" s="509">
        <f>SUM(B4:D4)</f>
        <v>71315876</v>
      </c>
      <c r="F4" s="495"/>
      <c r="G4" s="495"/>
      <c r="H4" s="495"/>
      <c r="I4" s="495"/>
      <c r="J4" s="495"/>
      <c r="K4" s="504" t="s">
        <v>317</v>
      </c>
      <c r="L4" s="510">
        <f>F11</f>
        <v>9544.927609</v>
      </c>
      <c r="M4" s="510">
        <f>F12</f>
        <v>1352.579207</v>
      </c>
      <c r="N4" s="510">
        <f>F13</f>
        <v>2081.68493</v>
      </c>
      <c r="O4" s="510">
        <f>'CP Secondary and PSC Alloc'!C5</f>
        <v>193.9977</v>
      </c>
      <c r="P4" s="510">
        <f>'CP Secondary and PSC Alloc'!C6</f>
        <v>75.6</v>
      </c>
      <c r="Q4" s="510">
        <f>'CP Secondary and PSC Alloc'!C7</f>
        <v>215.4642</v>
      </c>
      <c r="R4" s="510">
        <f>'CP Secondary and PSC Alloc'!C8</f>
        <v>156.35</v>
      </c>
      <c r="S4" s="511">
        <f>'CP Secondary and PSC Alloc'!C9</f>
        <v>74.1125</v>
      </c>
      <c r="T4" s="495"/>
      <c r="U4" s="495"/>
      <c r="V4" s="495"/>
      <c r="W4" s="495"/>
      <c r="X4" s="495"/>
      <c r="Y4" s="495"/>
      <c r="Z4" s="495"/>
    </row>
    <row r="5" ht="12.0" customHeight="1">
      <c r="A5" s="507" t="s">
        <v>318</v>
      </c>
      <c r="B5" s="508">
        <v>0.0</v>
      </c>
      <c r="C5" s="508">
        <v>0.0</v>
      </c>
      <c r="D5" s="508">
        <v>0.0</v>
      </c>
      <c r="E5" s="509">
        <v>0.0</v>
      </c>
      <c r="F5" s="495"/>
      <c r="G5" s="495"/>
      <c r="H5" s="495"/>
      <c r="I5" s="495"/>
      <c r="J5" s="495"/>
      <c r="K5" s="9"/>
      <c r="L5" s="512"/>
      <c r="M5" s="512"/>
      <c r="N5" s="512"/>
      <c r="O5" s="512"/>
      <c r="P5" s="512"/>
      <c r="Q5" s="512"/>
      <c r="R5" s="512"/>
      <c r="S5" s="512"/>
      <c r="T5" s="495"/>
      <c r="U5" s="495"/>
      <c r="V5" s="495"/>
      <c r="W5" s="495"/>
      <c r="X5" s="495"/>
      <c r="Y5" s="495"/>
      <c r="Z5" s="495"/>
    </row>
    <row r="6" ht="12.0" customHeight="1">
      <c r="A6" s="501" t="s">
        <v>10</v>
      </c>
      <c r="B6" s="513">
        <f t="shared" ref="B6:E6" si="1">SUM(B4:B5)</f>
        <v>40003505</v>
      </c>
      <c r="C6" s="513">
        <f t="shared" si="1"/>
        <v>19148863</v>
      </c>
      <c r="D6" s="513">
        <f t="shared" si="1"/>
        <v>12163508</v>
      </c>
      <c r="E6" s="514">
        <f t="shared" si="1"/>
        <v>71315876</v>
      </c>
      <c r="F6" s="495"/>
      <c r="G6" s="495"/>
      <c r="H6" s="495"/>
      <c r="I6" s="495"/>
      <c r="J6" s="495"/>
      <c r="K6" s="497" t="s">
        <v>171</v>
      </c>
      <c r="L6" s="515"/>
      <c r="M6" s="515"/>
      <c r="N6" s="516"/>
      <c r="O6" s="516"/>
      <c r="P6" s="516"/>
      <c r="Q6" s="516"/>
      <c r="R6" s="516"/>
      <c r="S6" s="517"/>
      <c r="T6" s="495"/>
      <c r="U6" s="495"/>
      <c r="V6" s="495"/>
      <c r="W6" s="495"/>
      <c r="X6" s="495"/>
      <c r="Y6" s="495"/>
      <c r="Z6" s="495"/>
    </row>
    <row r="7" ht="12.0" customHeight="1">
      <c r="A7" s="495"/>
      <c r="B7" s="508"/>
      <c r="C7" s="508"/>
      <c r="D7" s="508"/>
      <c r="E7" s="508"/>
      <c r="F7" s="495"/>
      <c r="G7" s="495"/>
      <c r="H7" s="495"/>
      <c r="I7" s="495"/>
      <c r="J7" s="495"/>
      <c r="K7" s="518"/>
      <c r="L7" s="515" t="s">
        <v>5</v>
      </c>
      <c r="M7" s="515" t="s">
        <v>6</v>
      </c>
      <c r="N7" s="515" t="s">
        <v>8</v>
      </c>
      <c r="O7" s="519" t="s">
        <v>181</v>
      </c>
      <c r="P7" s="519" t="s">
        <v>127</v>
      </c>
      <c r="Q7" s="519" t="s">
        <v>129</v>
      </c>
      <c r="R7" s="515" t="s">
        <v>85</v>
      </c>
      <c r="S7" s="520" t="s">
        <v>86</v>
      </c>
      <c r="T7" s="495"/>
      <c r="U7" s="495"/>
      <c r="V7" s="495"/>
      <c r="W7" s="495"/>
      <c r="X7" s="495"/>
      <c r="Y7" s="495"/>
      <c r="Z7" s="495"/>
    </row>
    <row r="8" ht="12.0" customHeight="1">
      <c r="A8" s="495"/>
      <c r="B8" s="508"/>
      <c r="C8" s="508"/>
      <c r="D8" s="508"/>
      <c r="E8" s="508"/>
      <c r="F8" s="495"/>
      <c r="G8" s="495"/>
      <c r="H8" s="495"/>
      <c r="I8" s="495"/>
      <c r="J8" s="495"/>
      <c r="K8" s="504" t="s">
        <v>317</v>
      </c>
      <c r="L8" s="521">
        <v>9898.095</v>
      </c>
      <c r="M8" s="521">
        <v>791.509</v>
      </c>
      <c r="N8" s="521">
        <v>2665.296</v>
      </c>
      <c r="O8" s="521">
        <v>338.75</v>
      </c>
      <c r="P8" s="521">
        <v>75.6</v>
      </c>
      <c r="Q8" s="521">
        <v>185.441</v>
      </c>
      <c r="R8" s="521">
        <v>183.645</v>
      </c>
      <c r="S8" s="522">
        <v>74.1</v>
      </c>
      <c r="T8" s="495"/>
      <c r="U8" s="495"/>
      <c r="V8" s="495"/>
      <c r="W8" s="495"/>
      <c r="X8" s="495"/>
      <c r="Y8" s="495"/>
      <c r="Z8" s="495"/>
    </row>
    <row r="9" ht="12.0" customHeight="1">
      <c r="A9" s="496" t="s">
        <v>319</v>
      </c>
      <c r="B9" s="495"/>
      <c r="C9" s="495"/>
      <c r="D9" s="495"/>
      <c r="E9" s="495"/>
      <c r="F9" s="495"/>
      <c r="G9" s="495"/>
      <c r="H9" s="495"/>
      <c r="I9" s="495"/>
      <c r="J9" s="495"/>
      <c r="K9" s="9"/>
      <c r="L9" s="523"/>
      <c r="M9" s="523"/>
      <c r="N9" s="523"/>
      <c r="O9" s="523"/>
      <c r="P9" s="523"/>
      <c r="Q9" s="523"/>
      <c r="R9" s="523"/>
      <c r="S9" s="523"/>
      <c r="T9" s="495"/>
      <c r="U9" s="495"/>
      <c r="V9" s="495"/>
      <c r="W9" s="495"/>
      <c r="X9" s="495"/>
      <c r="Y9" s="495"/>
      <c r="Z9" s="495"/>
    </row>
    <row r="10" ht="12.0" customHeight="1">
      <c r="A10" s="524" t="s">
        <v>164</v>
      </c>
      <c r="B10" s="525" t="s">
        <v>320</v>
      </c>
      <c r="C10" s="525" t="s">
        <v>321</v>
      </c>
      <c r="D10" s="526" t="s">
        <v>121</v>
      </c>
      <c r="E10" s="525" t="s">
        <v>168</v>
      </c>
      <c r="F10" s="525" t="s">
        <v>169</v>
      </c>
      <c r="G10" s="527" t="s">
        <v>170</v>
      </c>
      <c r="H10" s="495"/>
      <c r="I10" s="495"/>
      <c r="J10" s="495"/>
      <c r="K10" s="497" t="s">
        <v>173</v>
      </c>
      <c r="L10" s="528"/>
      <c r="M10" s="528"/>
      <c r="N10" s="529"/>
      <c r="O10" s="529"/>
      <c r="P10" s="529"/>
      <c r="Q10" s="529"/>
      <c r="R10" s="529"/>
      <c r="S10" s="530"/>
      <c r="T10" s="495"/>
      <c r="U10" s="495"/>
      <c r="V10" s="495"/>
      <c r="W10" s="495"/>
      <c r="X10" s="495"/>
      <c r="Y10" s="495"/>
      <c r="Z10" s="495"/>
    </row>
    <row r="11" ht="23.25" customHeight="1">
      <c r="A11" s="524" t="s">
        <v>5</v>
      </c>
      <c r="B11" s="531">
        <f>'TAC Sector Allocations'!J7</f>
        <v>9544.927609</v>
      </c>
      <c r="C11" s="531">
        <f>B4</f>
        <v>40003505</v>
      </c>
      <c r="D11" s="531">
        <f>SUM(B4:B5)</f>
        <v>40003505</v>
      </c>
      <c r="E11" s="532">
        <f t="shared" ref="E11:E13" si="2">C11/D11</f>
        <v>1</v>
      </c>
      <c r="F11" s="533">
        <f t="shared" ref="F11:F13" si="3">E11*B11</f>
        <v>9544.927609</v>
      </c>
      <c r="G11" s="534">
        <f t="shared" ref="G11:G13" si="4">+F11*$J$1</f>
        <v>21042938.31</v>
      </c>
      <c r="H11" s="495"/>
      <c r="I11" s="495"/>
      <c r="J11" s="495"/>
      <c r="K11" s="518"/>
      <c r="L11" s="528" t="s">
        <v>5</v>
      </c>
      <c r="M11" s="528" t="s">
        <v>6</v>
      </c>
      <c r="N11" s="528" t="s">
        <v>8</v>
      </c>
      <c r="O11" s="535" t="s">
        <v>181</v>
      </c>
      <c r="P11" s="535" t="s">
        <v>127</v>
      </c>
      <c r="Q11" s="535" t="s">
        <v>129</v>
      </c>
      <c r="R11" s="528" t="s">
        <v>85</v>
      </c>
      <c r="S11" s="536" t="s">
        <v>86</v>
      </c>
      <c r="T11" s="537"/>
      <c r="U11" s="495"/>
      <c r="V11" s="495"/>
      <c r="W11" s="495"/>
      <c r="X11" s="495"/>
      <c r="Y11" s="495"/>
      <c r="Z11" s="495"/>
    </row>
    <row r="12" ht="14.25" customHeight="1">
      <c r="A12" s="507" t="s">
        <v>6</v>
      </c>
      <c r="B12" s="508">
        <f>'TAC Sector Allocations'!J10</f>
        <v>1352.579207</v>
      </c>
      <c r="C12" s="508">
        <f>C4</f>
        <v>19148863</v>
      </c>
      <c r="D12" s="508">
        <f>SUM(C4:C5)</f>
        <v>19148863</v>
      </c>
      <c r="E12" s="538">
        <f t="shared" si="2"/>
        <v>1</v>
      </c>
      <c r="F12" s="537">
        <f t="shared" si="3"/>
        <v>1352.579207</v>
      </c>
      <c r="G12" s="509">
        <f t="shared" si="4"/>
        <v>2981923.172</v>
      </c>
      <c r="H12" s="495"/>
      <c r="I12" s="495"/>
      <c r="J12" s="495"/>
      <c r="K12" s="504" t="s">
        <v>317</v>
      </c>
      <c r="L12" s="539">
        <f t="shared" ref="L12:S12" si="5">L4-L8</f>
        <v>-353.1673909</v>
      </c>
      <c r="M12" s="539">
        <f t="shared" si="5"/>
        <v>561.0702074</v>
      </c>
      <c r="N12" s="539">
        <f t="shared" si="5"/>
        <v>-583.6110705</v>
      </c>
      <c r="O12" s="539">
        <f t="shared" si="5"/>
        <v>-144.7523</v>
      </c>
      <c r="P12" s="539">
        <f t="shared" si="5"/>
        <v>0</v>
      </c>
      <c r="Q12" s="539">
        <f t="shared" si="5"/>
        <v>30.0232</v>
      </c>
      <c r="R12" s="539">
        <f t="shared" si="5"/>
        <v>-27.295</v>
      </c>
      <c r="S12" s="540">
        <f t="shared" si="5"/>
        <v>0.0125</v>
      </c>
      <c r="T12" s="537"/>
      <c r="U12" s="495"/>
      <c r="V12" s="495"/>
      <c r="W12" s="495"/>
      <c r="X12" s="495"/>
      <c r="Y12" s="495"/>
      <c r="Z12" s="495"/>
    </row>
    <row r="13" ht="12.0" customHeight="1">
      <c r="A13" s="541" t="s">
        <v>18</v>
      </c>
      <c r="B13" s="542">
        <f>'TAC Sector Allocations'!J13</f>
        <v>2081.68493</v>
      </c>
      <c r="C13" s="542">
        <f>D4</f>
        <v>12163508</v>
      </c>
      <c r="D13" s="542">
        <f>SUM(D4:D5)</f>
        <v>12163508</v>
      </c>
      <c r="E13" s="543">
        <f t="shared" si="2"/>
        <v>1</v>
      </c>
      <c r="F13" s="544">
        <f t="shared" si="3"/>
        <v>2081.68493</v>
      </c>
      <c r="G13" s="545">
        <f t="shared" si="4"/>
        <v>4589324.229</v>
      </c>
      <c r="H13" s="495"/>
      <c r="I13" s="495"/>
      <c r="J13" s="495"/>
      <c r="K13" s="495"/>
      <c r="L13" s="495"/>
      <c r="M13" s="495"/>
      <c r="N13" s="495"/>
      <c r="O13" s="495"/>
      <c r="P13" s="495"/>
      <c r="Q13" s="495"/>
      <c r="R13" s="495"/>
      <c r="S13" s="495"/>
      <c r="T13" s="495"/>
      <c r="U13" s="495"/>
      <c r="V13" s="495"/>
      <c r="W13" s="495"/>
      <c r="X13" s="495"/>
      <c r="Y13" s="495"/>
      <c r="Z13" s="495"/>
    </row>
    <row r="14" ht="12.0" customHeight="1">
      <c r="A14" s="541" t="s">
        <v>117</v>
      </c>
      <c r="B14" s="542">
        <f t="shared" ref="B14:D14" si="6">SUM(B11:B13)</f>
        <v>12979.19175</v>
      </c>
      <c r="C14" s="542">
        <f t="shared" si="6"/>
        <v>71315876</v>
      </c>
      <c r="D14" s="542">
        <f t="shared" si="6"/>
        <v>71315876</v>
      </c>
      <c r="E14" s="543">
        <f>+C14/D14</f>
        <v>1</v>
      </c>
      <c r="F14" s="544">
        <f t="shared" ref="F14:G14" si="7">SUM(F11:F13)</f>
        <v>12979.19175</v>
      </c>
      <c r="G14" s="545">
        <f t="shared" si="7"/>
        <v>28614185.71</v>
      </c>
      <c r="H14" s="495"/>
      <c r="I14" s="538"/>
      <c r="J14" s="495"/>
      <c r="K14" s="495"/>
      <c r="L14" s="495"/>
      <c r="M14" s="495"/>
      <c r="N14" s="495"/>
      <c r="O14" s="495"/>
      <c r="P14" s="495"/>
      <c r="Q14" s="495"/>
      <c r="R14" s="495"/>
      <c r="S14" s="495"/>
      <c r="T14" s="495"/>
      <c r="U14" s="495"/>
      <c r="V14" s="495"/>
      <c r="W14" s="495"/>
      <c r="X14" s="495"/>
      <c r="Y14" s="495"/>
      <c r="Z14" s="495"/>
    </row>
    <row r="15" ht="12.0" customHeight="1">
      <c r="A15" s="495"/>
      <c r="B15" s="495"/>
      <c r="C15" s="508"/>
      <c r="D15" s="495"/>
      <c r="E15" s="495"/>
      <c r="F15" s="495"/>
      <c r="G15" s="495"/>
      <c r="H15" s="495"/>
      <c r="I15" s="495"/>
      <c r="J15" s="495"/>
      <c r="K15" s="495"/>
      <c r="L15" s="305"/>
      <c r="M15" s="305"/>
      <c r="N15" s="495"/>
      <c r="O15" s="495"/>
      <c r="P15" s="495"/>
      <c r="Q15" s="495"/>
      <c r="R15" s="495"/>
      <c r="S15" s="495"/>
      <c r="T15" s="495"/>
      <c r="U15" s="495"/>
      <c r="V15" s="495"/>
      <c r="W15" s="495"/>
      <c r="X15" s="495"/>
      <c r="Y15" s="495"/>
      <c r="Z15" s="495"/>
    </row>
    <row r="16" ht="12.0" customHeight="1">
      <c r="A16" s="496" t="s">
        <v>322</v>
      </c>
      <c r="B16" s="495"/>
      <c r="C16" s="495"/>
      <c r="D16" s="495"/>
      <c r="E16" s="495"/>
      <c r="F16" s="495"/>
      <c r="G16" s="495"/>
      <c r="H16" s="495"/>
      <c r="I16" s="495"/>
      <c r="J16" s="495"/>
      <c r="K16" s="546"/>
      <c r="L16" s="305"/>
      <c r="M16" s="305"/>
      <c r="N16" s="547"/>
      <c r="O16" s="495"/>
      <c r="P16" s="495"/>
      <c r="Q16" s="495"/>
      <c r="R16" s="495"/>
      <c r="S16" s="495"/>
      <c r="T16" s="495"/>
      <c r="U16" s="495"/>
      <c r="V16" s="495"/>
      <c r="W16" s="495"/>
      <c r="X16" s="495"/>
      <c r="Y16" s="495"/>
      <c r="Z16" s="495"/>
    </row>
    <row r="17" ht="12.0" customHeight="1">
      <c r="A17" s="524" t="s">
        <v>164</v>
      </c>
      <c r="B17" s="525" t="s">
        <v>320</v>
      </c>
      <c r="C17" s="525" t="s">
        <v>323</v>
      </c>
      <c r="D17" s="526" t="s">
        <v>121</v>
      </c>
      <c r="E17" s="525" t="s">
        <v>168</v>
      </c>
      <c r="F17" s="525" t="s">
        <v>169</v>
      </c>
      <c r="G17" s="527" t="s">
        <v>170</v>
      </c>
      <c r="H17" s="495"/>
      <c r="I17" s="495"/>
      <c r="J17" s="495"/>
      <c r="K17" s="546"/>
      <c r="L17" s="305"/>
      <c r="M17" s="305"/>
      <c r="N17" s="305"/>
      <c r="O17" s="495"/>
      <c r="P17" s="495"/>
      <c r="Q17" s="495"/>
      <c r="R17" s="495"/>
      <c r="S17" s="495"/>
      <c r="T17" s="495"/>
      <c r="U17" s="495"/>
      <c r="V17" s="495"/>
      <c r="W17" s="495"/>
      <c r="X17" s="495"/>
      <c r="Y17" s="495"/>
      <c r="Z17" s="495"/>
    </row>
    <row r="18" ht="12.0" customHeight="1">
      <c r="A18" s="524" t="s">
        <v>5</v>
      </c>
      <c r="B18" s="531">
        <f>'TAC Sector Allocations'!J7</f>
        <v>9544.927609</v>
      </c>
      <c r="C18" s="531">
        <f>B5</f>
        <v>0</v>
      </c>
      <c r="D18" s="531">
        <f>B6</f>
        <v>40003505</v>
      </c>
      <c r="E18" s="532">
        <f t="shared" ref="E18:E20" si="8">C18/D18</f>
        <v>0</v>
      </c>
      <c r="F18" s="533">
        <f t="shared" ref="F18:F20" si="9">E18*B18</f>
        <v>0</v>
      </c>
      <c r="G18" s="534">
        <f t="shared" ref="G18:G20" si="10">+F18*$J$1</f>
        <v>0</v>
      </c>
      <c r="H18" s="495"/>
      <c r="I18" s="375"/>
      <c r="L18" s="305"/>
      <c r="M18" s="547"/>
      <c r="N18" s="305"/>
      <c r="O18" s="495"/>
      <c r="P18" s="495"/>
      <c r="Q18" s="495"/>
      <c r="R18" s="495"/>
      <c r="S18" s="495"/>
      <c r="T18" s="495"/>
      <c r="U18" s="495"/>
      <c r="V18" s="495"/>
      <c r="W18" s="495"/>
      <c r="X18" s="495"/>
      <c r="Y18" s="495"/>
      <c r="Z18" s="495"/>
    </row>
    <row r="19" ht="12.0" customHeight="1">
      <c r="A19" s="507" t="s">
        <v>6</v>
      </c>
      <c r="B19" s="508">
        <f>'TAC Sector Allocations'!J10</f>
        <v>1352.579207</v>
      </c>
      <c r="C19" s="508">
        <f>C5</f>
        <v>0</v>
      </c>
      <c r="D19" s="508">
        <f>C6</f>
        <v>19148863</v>
      </c>
      <c r="E19" s="538">
        <f t="shared" si="8"/>
        <v>0</v>
      </c>
      <c r="F19" s="537">
        <f t="shared" si="9"/>
        <v>0</v>
      </c>
      <c r="G19" s="509">
        <f t="shared" si="10"/>
        <v>0</v>
      </c>
      <c r="H19" s="495"/>
      <c r="L19" s="305"/>
      <c r="M19" s="547"/>
      <c r="N19" s="305"/>
      <c r="O19" s="495"/>
      <c r="P19" s="495"/>
      <c r="Q19" s="495"/>
      <c r="R19" s="495"/>
      <c r="S19" s="495"/>
      <c r="T19" s="495"/>
      <c r="U19" s="495"/>
      <c r="V19" s="495"/>
      <c r="W19" s="495"/>
      <c r="X19" s="495"/>
      <c r="Y19" s="495"/>
      <c r="Z19" s="495"/>
    </row>
    <row r="20" ht="12.0" customHeight="1">
      <c r="A20" s="541" t="s">
        <v>18</v>
      </c>
      <c r="B20" s="542">
        <f>'TAC Sector Allocations'!J13</f>
        <v>2081.68493</v>
      </c>
      <c r="C20" s="542">
        <f>D5</f>
        <v>0</v>
      </c>
      <c r="D20" s="542">
        <f>D6</f>
        <v>12163508</v>
      </c>
      <c r="E20" s="543">
        <f t="shared" si="8"/>
        <v>0</v>
      </c>
      <c r="F20" s="544">
        <f t="shared" si="9"/>
        <v>0</v>
      </c>
      <c r="G20" s="545">
        <f t="shared" si="10"/>
        <v>0</v>
      </c>
      <c r="H20" s="495"/>
      <c r="L20" s="305"/>
      <c r="M20" s="547"/>
      <c r="N20" s="305"/>
      <c r="O20" s="495"/>
      <c r="P20" s="537"/>
      <c r="Q20" s="495"/>
      <c r="R20" s="495"/>
      <c r="S20" s="495"/>
      <c r="T20" s="495"/>
      <c r="U20" s="495"/>
      <c r="V20" s="495"/>
      <c r="W20" s="495"/>
      <c r="X20" s="495"/>
      <c r="Y20" s="495"/>
      <c r="Z20" s="495"/>
    </row>
    <row r="21" ht="12.0" customHeight="1">
      <c r="A21" s="541" t="s">
        <v>117</v>
      </c>
      <c r="B21" s="542">
        <f t="shared" ref="B21:D21" si="11">SUM(B18:B20)</f>
        <v>12979.19175</v>
      </c>
      <c r="C21" s="542">
        <f t="shared" si="11"/>
        <v>0</v>
      </c>
      <c r="D21" s="542">
        <f t="shared" si="11"/>
        <v>71315876</v>
      </c>
      <c r="E21" s="543">
        <f>+C21/D21</f>
        <v>0</v>
      </c>
      <c r="F21" s="544">
        <f t="shared" ref="F21:G21" si="12">SUM(F18:F20)</f>
        <v>0</v>
      </c>
      <c r="G21" s="545">
        <f t="shared" si="12"/>
        <v>0</v>
      </c>
      <c r="H21" s="495"/>
      <c r="L21" s="305"/>
      <c r="M21" s="547"/>
      <c r="N21" s="305"/>
      <c r="O21" s="495"/>
      <c r="P21" s="537"/>
      <c r="Q21" s="495"/>
      <c r="R21" s="495"/>
      <c r="S21" s="495"/>
      <c r="T21" s="495"/>
      <c r="U21" s="495"/>
      <c r="V21" s="495"/>
      <c r="W21" s="495"/>
      <c r="X21" s="495"/>
      <c r="Y21" s="495"/>
      <c r="Z21" s="495"/>
    </row>
    <row r="22" ht="12.0" customHeight="1">
      <c r="A22" s="495"/>
      <c r="B22" s="495"/>
      <c r="C22" s="508"/>
      <c r="D22" s="495"/>
      <c r="E22" s="495"/>
      <c r="F22" s="495"/>
      <c r="G22" s="495"/>
      <c r="H22" s="495"/>
      <c r="L22" s="305"/>
      <c r="M22" s="547"/>
      <c r="N22" s="305"/>
      <c r="O22" s="495"/>
      <c r="P22" s="537"/>
      <c r="Q22" s="495"/>
      <c r="R22" s="495"/>
      <c r="S22" s="495"/>
      <c r="T22" s="495"/>
      <c r="U22" s="495"/>
      <c r="V22" s="495"/>
      <c r="W22" s="495"/>
      <c r="X22" s="495"/>
      <c r="Y22" s="495"/>
      <c r="Z22" s="495"/>
    </row>
    <row r="23" ht="12.0" customHeight="1">
      <c r="A23" s="495"/>
      <c r="B23" s="495"/>
      <c r="C23" s="495"/>
      <c r="D23" s="495"/>
      <c r="E23" s="495"/>
      <c r="F23" s="495"/>
      <c r="G23" s="495"/>
      <c r="H23" s="495"/>
      <c r="L23" s="305"/>
      <c r="M23" s="547"/>
      <c r="N23" s="305"/>
      <c r="O23" s="495"/>
      <c r="P23" s="537"/>
      <c r="Q23" s="495"/>
      <c r="R23" s="495"/>
      <c r="S23" s="495"/>
      <c r="T23" s="495"/>
      <c r="U23" s="495"/>
      <c r="V23" s="495"/>
      <c r="W23" s="495"/>
      <c r="X23" s="495"/>
      <c r="Y23" s="495"/>
      <c r="Z23" s="495"/>
    </row>
    <row r="24" ht="12.0" customHeight="1">
      <c r="A24" s="495"/>
      <c r="B24" s="495"/>
      <c r="C24" s="495"/>
      <c r="D24" s="495"/>
      <c r="E24" s="495"/>
      <c r="F24" s="495"/>
      <c r="G24" s="495"/>
      <c r="H24" s="495"/>
      <c r="L24" s="305"/>
      <c r="M24" s="547"/>
      <c r="N24" s="305"/>
      <c r="O24" s="495"/>
      <c r="P24" s="537"/>
      <c r="Q24" s="495"/>
      <c r="R24" s="495"/>
      <c r="S24" s="495"/>
      <c r="T24" s="495"/>
      <c r="U24" s="495"/>
      <c r="V24" s="495"/>
      <c r="W24" s="495"/>
      <c r="X24" s="495"/>
      <c r="Y24" s="495"/>
      <c r="Z24" s="495"/>
    </row>
    <row r="25" ht="12.0" customHeight="1">
      <c r="A25" s="495"/>
      <c r="B25" s="495"/>
      <c r="C25" s="495"/>
      <c r="D25" s="495"/>
      <c r="E25" s="495"/>
      <c r="F25" s="495"/>
      <c r="G25" s="495"/>
      <c r="H25" s="495"/>
      <c r="I25" s="495"/>
      <c r="J25" s="495"/>
      <c r="K25" s="495"/>
      <c r="L25" s="305"/>
      <c r="M25" s="547"/>
      <c r="N25" s="547"/>
      <c r="O25" s="495"/>
      <c r="P25" s="537"/>
      <c r="Q25" s="495"/>
      <c r="R25" s="495"/>
      <c r="S25" s="495"/>
      <c r="T25" s="495"/>
      <c r="U25" s="495"/>
      <c r="V25" s="495"/>
      <c r="W25" s="495"/>
      <c r="X25" s="495"/>
      <c r="Y25" s="495"/>
      <c r="Z25" s="495"/>
    </row>
    <row r="26" ht="12.0" customHeight="1">
      <c r="A26" s="495"/>
      <c r="B26" s="495"/>
      <c r="C26" s="495"/>
      <c r="D26" s="495"/>
      <c r="E26" s="495"/>
      <c r="F26" s="495"/>
      <c r="G26" s="495"/>
      <c r="H26" s="495"/>
      <c r="I26" s="495"/>
      <c r="J26" s="495"/>
      <c r="K26" s="495"/>
      <c r="L26" s="305"/>
      <c r="M26" s="547"/>
      <c r="N26" s="547"/>
      <c r="O26" s="495"/>
      <c r="P26" s="537"/>
      <c r="Q26" s="495"/>
      <c r="R26" s="495"/>
      <c r="S26" s="495"/>
      <c r="T26" s="495"/>
      <c r="U26" s="495"/>
      <c r="V26" s="495"/>
      <c r="W26" s="495"/>
      <c r="X26" s="495"/>
      <c r="Y26" s="495"/>
      <c r="Z26" s="495"/>
    </row>
    <row r="27" ht="12.0" customHeight="1">
      <c r="A27" s="495"/>
      <c r="B27" s="495"/>
      <c r="C27" s="495"/>
      <c r="D27" s="495"/>
      <c r="E27" s="495"/>
      <c r="F27" s="495"/>
      <c r="G27" s="495"/>
      <c r="H27" s="495"/>
      <c r="I27" s="495"/>
      <c r="J27" s="495"/>
      <c r="K27" s="495"/>
      <c r="L27" s="305"/>
      <c r="M27" s="305"/>
      <c r="N27" s="547"/>
      <c r="O27" s="495"/>
      <c r="P27" s="537"/>
      <c r="Q27" s="495"/>
      <c r="R27" s="495"/>
      <c r="S27" s="495"/>
      <c r="T27" s="495"/>
      <c r="U27" s="495"/>
      <c r="V27" s="495"/>
      <c r="W27" s="495"/>
      <c r="X27" s="495"/>
      <c r="Y27" s="495"/>
      <c r="Z27" s="495"/>
    </row>
    <row r="28" ht="12.0" customHeight="1">
      <c r="A28" s="495"/>
      <c r="B28" s="495"/>
      <c r="C28" s="495"/>
      <c r="D28" s="495"/>
      <c r="E28" s="495"/>
      <c r="F28" s="495"/>
      <c r="G28" s="495"/>
      <c r="H28" s="495"/>
      <c r="I28" s="495"/>
      <c r="J28" s="495"/>
      <c r="K28" s="495"/>
      <c r="L28" s="495"/>
      <c r="M28" s="495"/>
      <c r="N28" s="495"/>
      <c r="O28" s="495"/>
      <c r="P28" s="537"/>
      <c r="Q28" s="495"/>
      <c r="R28" s="495"/>
      <c r="S28" s="495"/>
      <c r="T28" s="495"/>
      <c r="U28" s="495"/>
      <c r="V28" s="495"/>
      <c r="W28" s="495"/>
      <c r="X28" s="495"/>
      <c r="Y28" s="495"/>
      <c r="Z28" s="495"/>
    </row>
    <row r="29" ht="12.0" customHeight="1">
      <c r="A29" s="495"/>
      <c r="B29" s="495"/>
      <c r="C29" s="495"/>
      <c r="D29" s="495"/>
      <c r="E29" s="495"/>
      <c r="F29" s="495"/>
      <c r="G29" s="495"/>
      <c r="H29" s="495"/>
      <c r="I29" s="495"/>
      <c r="J29" s="495"/>
      <c r="K29" s="495"/>
      <c r="L29" s="495"/>
      <c r="M29" s="495"/>
      <c r="N29" s="495"/>
      <c r="O29" s="495"/>
      <c r="P29" s="495"/>
      <c r="Q29" s="495"/>
      <c r="R29" s="495"/>
      <c r="S29" s="495"/>
      <c r="T29" s="495"/>
      <c r="U29" s="495"/>
      <c r="V29" s="495"/>
      <c r="W29" s="495"/>
      <c r="X29" s="495"/>
      <c r="Y29" s="495"/>
      <c r="Z29" s="495"/>
    </row>
    <row r="30" ht="12.0" customHeight="1">
      <c r="A30" s="495"/>
      <c r="B30" s="495"/>
      <c r="C30" s="495"/>
      <c r="D30" s="495"/>
      <c r="E30" s="495"/>
      <c r="F30" s="495"/>
      <c r="G30" s="495"/>
      <c r="H30" s="495"/>
      <c r="I30" s="495"/>
      <c r="J30" s="495"/>
      <c r="K30" s="495"/>
      <c r="L30" s="495"/>
      <c r="M30" s="495"/>
      <c r="N30" s="495"/>
      <c r="O30" s="495"/>
      <c r="P30" s="495"/>
      <c r="Q30" s="495"/>
      <c r="R30" s="495"/>
      <c r="S30" s="495"/>
      <c r="T30" s="495"/>
      <c r="U30" s="495"/>
      <c r="V30" s="495"/>
      <c r="W30" s="495"/>
      <c r="X30" s="495"/>
      <c r="Y30" s="495"/>
      <c r="Z30" s="495"/>
    </row>
    <row r="31" ht="12.0" customHeight="1">
      <c r="A31" s="495"/>
      <c r="B31" s="495"/>
      <c r="C31" s="495"/>
      <c r="D31" s="495"/>
      <c r="E31" s="495"/>
      <c r="F31" s="495"/>
      <c r="G31" s="495"/>
      <c r="H31" s="495"/>
      <c r="I31" s="495"/>
      <c r="J31" s="495"/>
      <c r="K31" s="495"/>
      <c r="L31" s="495"/>
      <c r="M31" s="495"/>
      <c r="N31" s="495"/>
      <c r="O31" s="495"/>
      <c r="P31" s="495"/>
      <c r="Q31" s="495"/>
      <c r="R31" s="495"/>
      <c r="S31" s="495"/>
      <c r="T31" s="495"/>
      <c r="U31" s="495"/>
      <c r="V31" s="495"/>
      <c r="W31" s="495"/>
      <c r="X31" s="495"/>
      <c r="Y31" s="495"/>
      <c r="Z31" s="495"/>
    </row>
    <row r="32" ht="12.0" customHeight="1">
      <c r="A32" s="495"/>
      <c r="B32" s="495"/>
      <c r="C32" s="495"/>
      <c r="D32" s="495"/>
      <c r="E32" s="495"/>
      <c r="F32" s="495"/>
      <c r="G32" s="495"/>
      <c r="H32" s="495"/>
      <c r="I32" s="495"/>
      <c r="J32" s="495"/>
      <c r="K32" s="495"/>
      <c r="L32" s="495"/>
      <c r="M32" s="495"/>
      <c r="N32" s="495"/>
      <c r="O32" s="495"/>
      <c r="P32" s="495"/>
      <c r="Q32" s="495"/>
      <c r="R32" s="495"/>
      <c r="S32" s="495"/>
      <c r="T32" s="495"/>
      <c r="U32" s="495"/>
      <c r="V32" s="495"/>
      <c r="W32" s="495"/>
      <c r="X32" s="495"/>
      <c r="Y32" s="495"/>
      <c r="Z32" s="495"/>
    </row>
    <row r="33" ht="12.0" customHeight="1">
      <c r="A33" s="495"/>
      <c r="B33" s="495"/>
      <c r="C33" s="495"/>
      <c r="D33" s="495"/>
      <c r="E33" s="495"/>
      <c r="F33" s="495"/>
      <c r="G33" s="495"/>
      <c r="H33" s="495"/>
      <c r="I33" s="495"/>
      <c r="J33" s="495"/>
      <c r="K33" s="495"/>
      <c r="L33" s="495"/>
      <c r="M33" s="495"/>
      <c r="N33" s="495"/>
      <c r="O33" s="495"/>
      <c r="P33" s="495"/>
      <c r="Q33" s="495"/>
      <c r="R33" s="495"/>
      <c r="S33" s="495"/>
      <c r="T33" s="495"/>
      <c r="U33" s="495"/>
      <c r="V33" s="495"/>
      <c r="W33" s="495"/>
      <c r="X33" s="495"/>
      <c r="Y33" s="495"/>
      <c r="Z33" s="495"/>
    </row>
    <row r="34" ht="12.0" customHeight="1">
      <c r="A34" s="495"/>
      <c r="B34" s="495"/>
      <c r="C34" s="495"/>
      <c r="D34" s="495"/>
      <c r="E34" s="495"/>
      <c r="F34" s="495"/>
      <c r="G34" s="495"/>
      <c r="H34" s="495"/>
      <c r="I34" s="495"/>
      <c r="J34" s="495"/>
      <c r="K34" s="495"/>
      <c r="L34" s="495"/>
      <c r="M34" s="495"/>
      <c r="N34" s="495"/>
      <c r="O34" s="495"/>
      <c r="P34" s="495"/>
      <c r="Q34" s="495"/>
      <c r="R34" s="495"/>
      <c r="S34" s="495"/>
      <c r="T34" s="495"/>
      <c r="U34" s="495"/>
      <c r="V34" s="495"/>
      <c r="W34" s="495"/>
      <c r="X34" s="495"/>
      <c r="Y34" s="495"/>
      <c r="Z34" s="495"/>
    </row>
    <row r="35" ht="12.0" customHeight="1">
      <c r="A35" s="495"/>
      <c r="B35" s="495"/>
      <c r="C35" s="495"/>
      <c r="D35" s="495"/>
      <c r="E35" s="495"/>
      <c r="F35" s="495"/>
      <c r="G35" s="495"/>
      <c r="H35" s="495"/>
      <c r="I35" s="495"/>
      <c r="J35" s="495"/>
      <c r="K35" s="495"/>
      <c r="L35" s="495"/>
      <c r="M35" s="495"/>
      <c r="N35" s="495"/>
      <c r="O35" s="495"/>
      <c r="P35" s="495"/>
      <c r="Q35" s="495"/>
      <c r="R35" s="495"/>
      <c r="S35" s="495"/>
      <c r="T35" s="495"/>
      <c r="U35" s="495"/>
      <c r="V35" s="495"/>
      <c r="W35" s="495"/>
      <c r="X35" s="495"/>
      <c r="Y35" s="495"/>
      <c r="Z35" s="495"/>
    </row>
    <row r="36" ht="12.0" customHeight="1">
      <c r="A36" s="495"/>
      <c r="B36" s="495"/>
      <c r="C36" s="495"/>
      <c r="D36" s="495"/>
      <c r="E36" s="495"/>
      <c r="F36" s="495"/>
      <c r="G36" s="495"/>
      <c r="H36" s="495"/>
      <c r="I36" s="495"/>
      <c r="J36" s="495"/>
      <c r="K36" s="495"/>
      <c r="L36" s="495"/>
      <c r="M36" s="495"/>
      <c r="N36" s="495"/>
      <c r="O36" s="495"/>
      <c r="P36" s="495"/>
      <c r="Q36" s="495"/>
      <c r="R36" s="495"/>
      <c r="S36" s="495"/>
      <c r="T36" s="495"/>
      <c r="U36" s="495"/>
      <c r="V36" s="495"/>
      <c r="W36" s="495"/>
      <c r="X36" s="495"/>
      <c r="Y36" s="495"/>
      <c r="Z36" s="495"/>
    </row>
    <row r="37" ht="12.0" customHeight="1">
      <c r="A37" s="495"/>
      <c r="B37" s="495"/>
      <c r="C37" s="495"/>
      <c r="D37" s="495"/>
      <c r="E37" s="495"/>
      <c r="F37" s="495"/>
      <c r="G37" s="495"/>
      <c r="H37" s="495"/>
      <c r="I37" s="495"/>
      <c r="J37" s="495"/>
      <c r="K37" s="495"/>
      <c r="L37" s="495"/>
      <c r="M37" s="495"/>
      <c r="N37" s="495"/>
      <c r="O37" s="495"/>
      <c r="P37" s="495"/>
      <c r="Q37" s="495"/>
      <c r="R37" s="495"/>
      <c r="S37" s="495"/>
      <c r="T37" s="495"/>
      <c r="U37" s="495"/>
      <c r="V37" s="495"/>
      <c r="W37" s="495"/>
      <c r="X37" s="495"/>
      <c r="Y37" s="495"/>
      <c r="Z37" s="495"/>
    </row>
    <row r="38" ht="12.0" customHeight="1">
      <c r="A38" s="495"/>
      <c r="B38" s="495"/>
      <c r="C38" s="495"/>
      <c r="D38" s="495"/>
      <c r="E38" s="495"/>
      <c r="F38" s="495"/>
      <c r="G38" s="495"/>
      <c r="H38" s="495"/>
      <c r="I38" s="495"/>
      <c r="J38" s="495"/>
      <c r="K38" s="495"/>
      <c r="L38" s="495"/>
      <c r="M38" s="495"/>
      <c r="N38" s="495"/>
      <c r="O38" s="495"/>
      <c r="P38" s="495"/>
      <c r="Q38" s="495"/>
      <c r="R38" s="495"/>
      <c r="S38" s="495"/>
      <c r="T38" s="495"/>
      <c r="U38" s="495"/>
      <c r="V38" s="495"/>
      <c r="W38" s="495"/>
      <c r="X38" s="495"/>
      <c r="Y38" s="495"/>
      <c r="Z38" s="495"/>
    </row>
    <row r="39" ht="12.0" customHeight="1">
      <c r="A39" s="495"/>
      <c r="B39" s="495"/>
      <c r="C39" s="495"/>
      <c r="D39" s="495"/>
      <c r="E39" s="495"/>
      <c r="F39" s="495"/>
      <c r="G39" s="495"/>
      <c r="H39" s="495"/>
      <c r="I39" s="495"/>
      <c r="J39" s="495"/>
      <c r="K39" s="495"/>
      <c r="L39" s="495"/>
      <c r="M39" s="495"/>
      <c r="N39" s="495"/>
      <c r="O39" s="495"/>
      <c r="P39" s="495"/>
      <c r="Q39" s="495"/>
      <c r="R39" s="495"/>
      <c r="S39" s="495"/>
      <c r="T39" s="495"/>
      <c r="U39" s="495"/>
      <c r="V39" s="495"/>
      <c r="W39" s="495"/>
      <c r="X39" s="495"/>
      <c r="Y39" s="495"/>
      <c r="Z39" s="495"/>
    </row>
    <row r="40" ht="12.0" customHeight="1">
      <c r="A40" s="495"/>
      <c r="B40" s="495"/>
      <c r="C40" s="495"/>
      <c r="D40" s="495"/>
      <c r="E40" s="495"/>
      <c r="F40" s="495"/>
      <c r="G40" s="495"/>
      <c r="H40" s="495"/>
      <c r="I40" s="495"/>
      <c r="J40" s="495"/>
      <c r="K40" s="495"/>
      <c r="L40" s="495"/>
      <c r="M40" s="495"/>
      <c r="N40" s="495"/>
      <c r="O40" s="495"/>
      <c r="P40" s="495"/>
      <c r="Q40" s="495"/>
      <c r="R40" s="495"/>
      <c r="S40" s="495"/>
      <c r="T40" s="495"/>
      <c r="U40" s="495"/>
      <c r="V40" s="495"/>
      <c r="W40" s="495"/>
      <c r="X40" s="495"/>
      <c r="Y40" s="495"/>
      <c r="Z40" s="495"/>
    </row>
    <row r="41" ht="12.0" customHeight="1">
      <c r="A41" s="495"/>
      <c r="B41" s="495"/>
      <c r="C41" s="495"/>
      <c r="D41" s="495"/>
      <c r="E41" s="495"/>
      <c r="F41" s="495"/>
      <c r="G41" s="495"/>
      <c r="H41" s="495"/>
      <c r="I41" s="495"/>
      <c r="J41" s="495"/>
      <c r="K41" s="495"/>
      <c r="L41" s="495"/>
      <c r="M41" s="495"/>
      <c r="N41" s="495"/>
      <c r="O41" s="495"/>
      <c r="P41" s="495"/>
      <c r="Q41" s="495"/>
      <c r="R41" s="495"/>
      <c r="S41" s="495"/>
      <c r="T41" s="495"/>
      <c r="U41" s="495"/>
      <c r="V41" s="495"/>
      <c r="W41" s="495"/>
      <c r="X41" s="495"/>
      <c r="Y41" s="495"/>
      <c r="Z41" s="495"/>
    </row>
    <row r="42" ht="12.0" customHeight="1">
      <c r="A42" s="495"/>
      <c r="B42" s="495"/>
      <c r="C42" s="495"/>
      <c r="D42" s="495"/>
      <c r="E42" s="495"/>
      <c r="F42" s="495"/>
      <c r="G42" s="495"/>
      <c r="H42" s="495"/>
      <c r="I42" s="495"/>
      <c r="J42" s="495"/>
      <c r="K42" s="495"/>
      <c r="L42" s="495"/>
      <c r="M42" s="495"/>
      <c r="N42" s="495"/>
      <c r="O42" s="495"/>
      <c r="P42" s="495"/>
      <c r="Q42" s="495"/>
      <c r="R42" s="495"/>
      <c r="S42" s="495"/>
      <c r="T42" s="495"/>
      <c r="U42" s="495"/>
      <c r="V42" s="495"/>
      <c r="W42" s="495"/>
      <c r="X42" s="495"/>
      <c r="Y42" s="495"/>
      <c r="Z42" s="495"/>
    </row>
    <row r="43" ht="12.0" customHeight="1">
      <c r="A43" s="495"/>
      <c r="B43" s="495"/>
      <c r="C43" s="495"/>
      <c r="D43" s="495"/>
      <c r="E43" s="495"/>
      <c r="F43" s="495"/>
      <c r="G43" s="495"/>
      <c r="H43" s="495"/>
      <c r="I43" s="495"/>
      <c r="J43" s="495"/>
      <c r="K43" s="495"/>
      <c r="L43" s="495"/>
      <c r="M43" s="495"/>
      <c r="N43" s="495"/>
      <c r="O43" s="495"/>
      <c r="P43" s="495"/>
      <c r="Q43" s="495"/>
      <c r="R43" s="495"/>
      <c r="S43" s="495"/>
      <c r="T43" s="495"/>
      <c r="U43" s="495"/>
      <c r="V43" s="495"/>
      <c r="W43" s="495"/>
      <c r="X43" s="495"/>
      <c r="Y43" s="495"/>
      <c r="Z43" s="495"/>
    </row>
    <row r="44" ht="12.0" customHeight="1">
      <c r="A44" s="495"/>
      <c r="B44" s="495"/>
      <c r="C44" s="495"/>
      <c r="D44" s="495"/>
      <c r="E44" s="495"/>
      <c r="F44" s="495"/>
      <c r="G44" s="495"/>
      <c r="H44" s="495"/>
      <c r="I44" s="495"/>
      <c r="J44" s="495"/>
      <c r="K44" s="495"/>
      <c r="L44" s="495"/>
      <c r="M44" s="495"/>
      <c r="N44" s="495"/>
      <c r="O44" s="495"/>
      <c r="P44" s="495"/>
      <c r="Q44" s="495"/>
      <c r="R44" s="495"/>
      <c r="S44" s="495"/>
      <c r="T44" s="495"/>
      <c r="U44" s="495"/>
      <c r="V44" s="495"/>
      <c r="W44" s="495"/>
      <c r="X44" s="495"/>
      <c r="Y44" s="495"/>
      <c r="Z44" s="495"/>
    </row>
    <row r="45" ht="12.0" customHeight="1">
      <c r="A45" s="495"/>
      <c r="B45" s="495"/>
      <c r="C45" s="495"/>
      <c r="D45" s="495"/>
      <c r="E45" s="495"/>
      <c r="F45" s="495"/>
      <c r="G45" s="495"/>
      <c r="H45" s="495"/>
      <c r="I45" s="495"/>
      <c r="J45" s="495"/>
      <c r="K45" s="495"/>
      <c r="L45" s="495"/>
      <c r="M45" s="495"/>
      <c r="N45" s="495"/>
      <c r="O45" s="495"/>
      <c r="P45" s="495"/>
      <c r="Q45" s="495"/>
      <c r="R45" s="495"/>
      <c r="S45" s="495"/>
      <c r="T45" s="495"/>
      <c r="U45" s="495"/>
      <c r="V45" s="495"/>
      <c r="W45" s="495"/>
      <c r="X45" s="495"/>
      <c r="Y45" s="495"/>
      <c r="Z45" s="495"/>
    </row>
    <row r="46" ht="12.0" customHeight="1">
      <c r="A46" s="495"/>
      <c r="B46" s="495"/>
      <c r="C46" s="495"/>
      <c r="D46" s="495"/>
      <c r="E46" s="495"/>
      <c r="F46" s="495"/>
      <c r="G46" s="495"/>
      <c r="H46" s="495"/>
      <c r="I46" s="495"/>
      <c r="J46" s="495"/>
      <c r="K46" s="495"/>
      <c r="L46" s="495"/>
      <c r="M46" s="495"/>
      <c r="N46" s="495"/>
      <c r="O46" s="495"/>
      <c r="P46" s="495"/>
      <c r="Q46" s="495"/>
      <c r="R46" s="495"/>
      <c r="S46" s="495"/>
      <c r="T46" s="495"/>
      <c r="U46" s="495"/>
      <c r="V46" s="495"/>
      <c r="W46" s="495"/>
      <c r="X46" s="495"/>
      <c r="Y46" s="495"/>
      <c r="Z46" s="495"/>
    </row>
    <row r="47" ht="12.0" customHeight="1">
      <c r="A47" s="495"/>
      <c r="B47" s="495"/>
      <c r="C47" s="495"/>
      <c r="D47" s="495"/>
      <c r="E47" s="495"/>
      <c r="F47" s="495"/>
      <c r="G47" s="495"/>
      <c r="H47" s="495"/>
      <c r="I47" s="495"/>
      <c r="J47" s="495"/>
      <c r="K47" s="495"/>
      <c r="L47" s="495"/>
      <c r="M47" s="495"/>
      <c r="N47" s="495"/>
      <c r="O47" s="495"/>
      <c r="P47" s="495"/>
      <c r="Q47" s="495"/>
      <c r="R47" s="495"/>
      <c r="S47" s="495"/>
      <c r="T47" s="495"/>
      <c r="U47" s="495"/>
      <c r="V47" s="495"/>
      <c r="W47" s="495"/>
      <c r="X47" s="495"/>
      <c r="Y47" s="495"/>
      <c r="Z47" s="495"/>
    </row>
    <row r="48" ht="12.0" customHeight="1">
      <c r="A48" s="495"/>
      <c r="B48" s="495"/>
      <c r="C48" s="495"/>
      <c r="D48" s="495"/>
      <c r="E48" s="495"/>
      <c r="F48" s="495"/>
      <c r="G48" s="495"/>
      <c r="H48" s="495"/>
      <c r="I48" s="495"/>
      <c r="J48" s="495"/>
      <c r="K48" s="495"/>
      <c r="L48" s="495"/>
      <c r="M48" s="495"/>
      <c r="N48" s="495"/>
      <c r="O48" s="495"/>
      <c r="P48" s="495"/>
      <c r="Q48" s="495"/>
      <c r="R48" s="495"/>
      <c r="S48" s="495"/>
      <c r="T48" s="495"/>
      <c r="U48" s="495"/>
      <c r="V48" s="495"/>
      <c r="W48" s="495"/>
      <c r="X48" s="495"/>
      <c r="Y48" s="495"/>
      <c r="Z48" s="495"/>
    </row>
    <row r="49" ht="12.0" customHeight="1">
      <c r="A49" s="495"/>
      <c r="B49" s="495"/>
      <c r="C49" s="495"/>
      <c r="D49" s="495"/>
      <c r="E49" s="495"/>
      <c r="F49" s="495"/>
      <c r="G49" s="495"/>
      <c r="H49" s="495"/>
      <c r="I49" s="495"/>
      <c r="J49" s="495"/>
      <c r="K49" s="495"/>
      <c r="L49" s="495"/>
      <c r="M49" s="495"/>
      <c r="N49" s="495"/>
      <c r="O49" s="495"/>
      <c r="P49" s="495"/>
      <c r="Q49" s="495"/>
      <c r="R49" s="495"/>
      <c r="S49" s="495"/>
      <c r="T49" s="495"/>
      <c r="U49" s="495"/>
      <c r="V49" s="495"/>
      <c r="W49" s="495"/>
      <c r="X49" s="495"/>
      <c r="Y49" s="495"/>
      <c r="Z49" s="495"/>
    </row>
    <row r="50" ht="12.0" customHeight="1">
      <c r="A50" s="495"/>
      <c r="B50" s="495"/>
      <c r="C50" s="495"/>
      <c r="D50" s="495"/>
      <c r="E50" s="495"/>
      <c r="F50" s="495"/>
      <c r="G50" s="495"/>
      <c r="H50" s="495"/>
      <c r="I50" s="495"/>
      <c r="J50" s="495"/>
      <c r="K50" s="495"/>
      <c r="L50" s="495"/>
      <c r="M50" s="495"/>
      <c r="N50" s="495"/>
      <c r="O50" s="495"/>
      <c r="P50" s="495"/>
      <c r="Q50" s="495"/>
      <c r="R50" s="495"/>
      <c r="S50" s="495"/>
      <c r="T50" s="495"/>
      <c r="U50" s="495"/>
      <c r="V50" s="495"/>
      <c r="W50" s="495"/>
      <c r="X50" s="495"/>
      <c r="Y50" s="495"/>
      <c r="Z50" s="495"/>
    </row>
    <row r="51" ht="12.0" customHeight="1">
      <c r="A51" s="495"/>
      <c r="B51" s="495"/>
      <c r="C51" s="495"/>
      <c r="D51" s="495"/>
      <c r="E51" s="495"/>
      <c r="F51" s="495"/>
      <c r="G51" s="495"/>
      <c r="H51" s="495"/>
      <c r="I51" s="495"/>
      <c r="J51" s="495"/>
      <c r="K51" s="495"/>
      <c r="L51" s="495"/>
      <c r="M51" s="495"/>
      <c r="N51" s="495"/>
      <c r="O51" s="495"/>
      <c r="P51" s="495"/>
      <c r="Q51" s="495"/>
      <c r="R51" s="495"/>
      <c r="S51" s="495"/>
      <c r="T51" s="495"/>
      <c r="U51" s="495"/>
      <c r="V51" s="495"/>
      <c r="W51" s="495"/>
      <c r="X51" s="495"/>
      <c r="Y51" s="495"/>
      <c r="Z51" s="495"/>
    </row>
    <row r="52" ht="12.0" customHeight="1">
      <c r="A52" s="495"/>
      <c r="B52" s="495"/>
      <c r="C52" s="495"/>
      <c r="D52" s="495"/>
      <c r="E52" s="495"/>
      <c r="F52" s="495"/>
      <c r="G52" s="495"/>
      <c r="H52" s="495"/>
      <c r="I52" s="495"/>
      <c r="J52" s="495"/>
      <c r="K52" s="495"/>
      <c r="L52" s="495"/>
      <c r="M52" s="495"/>
      <c r="N52" s="495"/>
      <c r="O52" s="495"/>
      <c r="P52" s="495"/>
      <c r="Q52" s="495"/>
      <c r="R52" s="495"/>
      <c r="S52" s="495"/>
      <c r="T52" s="495"/>
      <c r="U52" s="495"/>
      <c r="V52" s="495"/>
      <c r="W52" s="495"/>
      <c r="X52" s="495"/>
      <c r="Y52" s="495"/>
      <c r="Z52" s="495"/>
    </row>
    <row r="53" ht="12.0" customHeight="1">
      <c r="A53" s="495"/>
      <c r="B53" s="495"/>
      <c r="C53" s="495"/>
      <c r="D53" s="495"/>
      <c r="E53" s="495"/>
      <c r="F53" s="495"/>
      <c r="G53" s="495"/>
      <c r="H53" s="495"/>
      <c r="I53" s="495"/>
      <c r="J53" s="495"/>
      <c r="K53" s="495"/>
      <c r="L53" s="495"/>
      <c r="M53" s="495"/>
      <c r="N53" s="495"/>
      <c r="O53" s="495"/>
      <c r="P53" s="495"/>
      <c r="Q53" s="495"/>
      <c r="R53" s="495"/>
      <c r="S53" s="495"/>
      <c r="T53" s="495"/>
      <c r="U53" s="495"/>
      <c r="V53" s="495"/>
      <c r="W53" s="495"/>
      <c r="X53" s="495"/>
      <c r="Y53" s="495"/>
      <c r="Z53" s="495"/>
    </row>
    <row r="54" ht="12.0" customHeight="1">
      <c r="A54" s="495"/>
      <c r="B54" s="495"/>
      <c r="C54" s="495"/>
      <c r="D54" s="495"/>
      <c r="E54" s="495"/>
      <c r="F54" s="495"/>
      <c r="G54" s="495"/>
      <c r="H54" s="495"/>
      <c r="I54" s="495"/>
      <c r="J54" s="495"/>
      <c r="K54" s="495"/>
      <c r="L54" s="495"/>
      <c r="M54" s="495"/>
      <c r="N54" s="495"/>
      <c r="O54" s="495"/>
      <c r="P54" s="495"/>
      <c r="Q54" s="495"/>
      <c r="R54" s="495"/>
      <c r="S54" s="495"/>
      <c r="T54" s="495"/>
      <c r="U54" s="495"/>
      <c r="V54" s="495"/>
      <c r="W54" s="495"/>
      <c r="X54" s="495"/>
      <c r="Y54" s="495"/>
      <c r="Z54" s="495"/>
    </row>
    <row r="55" ht="12.0" customHeight="1">
      <c r="A55" s="495"/>
      <c r="B55" s="495"/>
      <c r="C55" s="495"/>
      <c r="D55" s="495"/>
      <c r="E55" s="495"/>
      <c r="F55" s="495"/>
      <c r="G55" s="495"/>
      <c r="H55" s="495"/>
      <c r="I55" s="495"/>
      <c r="J55" s="495"/>
      <c r="K55" s="495"/>
      <c r="L55" s="495"/>
      <c r="M55" s="495"/>
      <c r="N55" s="495"/>
      <c r="O55" s="495"/>
      <c r="P55" s="495"/>
      <c r="Q55" s="495"/>
      <c r="R55" s="495"/>
      <c r="S55" s="495"/>
      <c r="T55" s="495"/>
      <c r="U55" s="495"/>
      <c r="V55" s="495"/>
      <c r="W55" s="495"/>
      <c r="X55" s="495"/>
      <c r="Y55" s="495"/>
      <c r="Z55" s="495"/>
    </row>
    <row r="56" ht="12.0" customHeight="1">
      <c r="A56" s="495"/>
      <c r="B56" s="495"/>
      <c r="C56" s="495"/>
      <c r="D56" s="495"/>
      <c r="E56" s="495"/>
      <c r="F56" s="495"/>
      <c r="G56" s="495"/>
      <c r="H56" s="495"/>
      <c r="I56" s="495"/>
      <c r="J56" s="495"/>
      <c r="K56" s="495"/>
      <c r="L56" s="495"/>
      <c r="M56" s="495"/>
      <c r="N56" s="495"/>
      <c r="O56" s="495"/>
      <c r="P56" s="495"/>
      <c r="Q56" s="495"/>
      <c r="R56" s="495"/>
      <c r="S56" s="495"/>
      <c r="T56" s="495"/>
      <c r="U56" s="495"/>
      <c r="V56" s="495"/>
      <c r="W56" s="495"/>
      <c r="X56" s="495"/>
      <c r="Y56" s="495"/>
      <c r="Z56" s="495"/>
    </row>
    <row r="57" ht="12.0" customHeight="1">
      <c r="A57" s="495"/>
      <c r="B57" s="495"/>
      <c r="C57" s="495"/>
      <c r="D57" s="495"/>
      <c r="E57" s="495"/>
      <c r="F57" s="495"/>
      <c r="G57" s="495"/>
      <c r="H57" s="495"/>
      <c r="I57" s="495"/>
      <c r="J57" s="495"/>
      <c r="K57" s="495"/>
      <c r="L57" s="495"/>
      <c r="M57" s="495"/>
      <c r="N57" s="495"/>
      <c r="O57" s="495"/>
      <c r="P57" s="495"/>
      <c r="Q57" s="495"/>
      <c r="R57" s="495"/>
      <c r="S57" s="495"/>
      <c r="T57" s="495"/>
      <c r="U57" s="495"/>
      <c r="V57" s="495"/>
      <c r="W57" s="495"/>
      <c r="X57" s="495"/>
      <c r="Y57" s="495"/>
      <c r="Z57" s="495"/>
    </row>
    <row r="58" ht="12.0" customHeight="1">
      <c r="A58" s="495"/>
      <c r="B58" s="495"/>
      <c r="C58" s="495"/>
      <c r="D58" s="495"/>
      <c r="E58" s="495"/>
      <c r="F58" s="495"/>
      <c r="G58" s="495"/>
      <c r="H58" s="495"/>
      <c r="I58" s="495"/>
      <c r="J58" s="495"/>
      <c r="K58" s="495"/>
      <c r="L58" s="495"/>
      <c r="M58" s="495"/>
      <c r="N58" s="495"/>
      <c r="O58" s="495"/>
      <c r="P58" s="495"/>
      <c r="Q58" s="495"/>
      <c r="R58" s="495"/>
      <c r="S58" s="495"/>
      <c r="T58" s="495"/>
      <c r="U58" s="495"/>
      <c r="V58" s="495"/>
      <c r="W58" s="495"/>
      <c r="X58" s="495"/>
      <c r="Y58" s="495"/>
      <c r="Z58" s="495"/>
    </row>
    <row r="59" ht="12.0" customHeight="1">
      <c r="A59" s="495"/>
      <c r="B59" s="495"/>
      <c r="C59" s="495"/>
      <c r="D59" s="495"/>
      <c r="E59" s="495"/>
      <c r="F59" s="495"/>
      <c r="G59" s="495"/>
      <c r="H59" s="495"/>
      <c r="I59" s="495"/>
      <c r="J59" s="495"/>
      <c r="K59" s="495"/>
      <c r="L59" s="495"/>
      <c r="M59" s="495"/>
      <c r="N59" s="495"/>
      <c r="O59" s="495"/>
      <c r="P59" s="495"/>
      <c r="Q59" s="495"/>
      <c r="R59" s="495"/>
      <c r="S59" s="495"/>
      <c r="T59" s="495"/>
      <c r="U59" s="495"/>
      <c r="V59" s="495"/>
      <c r="W59" s="495"/>
      <c r="X59" s="495"/>
      <c r="Y59" s="495"/>
      <c r="Z59" s="495"/>
    </row>
    <row r="60" ht="12.0" customHeight="1">
      <c r="A60" s="495"/>
      <c r="B60" s="495"/>
      <c r="C60" s="495"/>
      <c r="D60" s="495"/>
      <c r="E60" s="495"/>
      <c r="F60" s="495"/>
      <c r="G60" s="495"/>
      <c r="H60" s="495"/>
      <c r="I60" s="495"/>
      <c r="J60" s="495"/>
      <c r="K60" s="495"/>
      <c r="L60" s="495"/>
      <c r="M60" s="495"/>
      <c r="N60" s="495"/>
      <c r="O60" s="495"/>
      <c r="P60" s="495"/>
      <c r="Q60" s="495"/>
      <c r="R60" s="495"/>
      <c r="S60" s="495"/>
      <c r="T60" s="495"/>
      <c r="U60" s="495"/>
      <c r="V60" s="495"/>
      <c r="W60" s="495"/>
      <c r="X60" s="495"/>
      <c r="Y60" s="495"/>
      <c r="Z60" s="495"/>
    </row>
    <row r="61" ht="12.0" customHeight="1">
      <c r="A61" s="495"/>
      <c r="B61" s="495"/>
      <c r="C61" s="495"/>
      <c r="D61" s="495"/>
      <c r="E61" s="495"/>
      <c r="F61" s="495"/>
      <c r="G61" s="495"/>
      <c r="H61" s="495"/>
      <c r="I61" s="495"/>
      <c r="J61" s="495"/>
      <c r="K61" s="495"/>
      <c r="L61" s="495"/>
      <c r="M61" s="495"/>
      <c r="N61" s="495"/>
      <c r="O61" s="495"/>
      <c r="P61" s="495"/>
      <c r="Q61" s="495"/>
      <c r="R61" s="495"/>
      <c r="S61" s="495"/>
      <c r="T61" s="495"/>
      <c r="U61" s="495"/>
      <c r="V61" s="495"/>
      <c r="W61" s="495"/>
      <c r="X61" s="495"/>
      <c r="Y61" s="495"/>
      <c r="Z61" s="495"/>
    </row>
    <row r="62" ht="12.0" customHeight="1">
      <c r="A62" s="495"/>
      <c r="B62" s="495"/>
      <c r="C62" s="495"/>
      <c r="D62" s="495"/>
      <c r="E62" s="495"/>
      <c r="F62" s="495"/>
      <c r="G62" s="495"/>
      <c r="H62" s="495"/>
      <c r="I62" s="495"/>
      <c r="J62" s="495"/>
      <c r="K62" s="495"/>
      <c r="L62" s="495"/>
      <c r="M62" s="495"/>
      <c r="N62" s="495"/>
      <c r="O62" s="495"/>
      <c r="P62" s="495"/>
      <c r="Q62" s="495"/>
      <c r="R62" s="495"/>
      <c r="S62" s="495"/>
      <c r="T62" s="495"/>
      <c r="U62" s="495"/>
      <c r="V62" s="495"/>
      <c r="W62" s="495"/>
      <c r="X62" s="495"/>
      <c r="Y62" s="495"/>
      <c r="Z62" s="495"/>
    </row>
    <row r="63" ht="12.0" customHeight="1">
      <c r="A63" s="495"/>
      <c r="B63" s="495"/>
      <c r="C63" s="495"/>
      <c r="D63" s="495"/>
      <c r="E63" s="495"/>
      <c r="F63" s="495"/>
      <c r="G63" s="495"/>
      <c r="H63" s="495"/>
      <c r="I63" s="495"/>
      <c r="J63" s="495"/>
      <c r="K63" s="495"/>
      <c r="L63" s="495"/>
      <c r="M63" s="495"/>
      <c r="N63" s="495"/>
      <c r="O63" s="495"/>
      <c r="P63" s="495"/>
      <c r="Q63" s="495"/>
      <c r="R63" s="495"/>
      <c r="S63" s="495"/>
      <c r="T63" s="495"/>
      <c r="U63" s="495"/>
      <c r="V63" s="495"/>
      <c r="W63" s="495"/>
      <c r="X63" s="495"/>
      <c r="Y63" s="495"/>
      <c r="Z63" s="495"/>
    </row>
    <row r="64" ht="12.0" customHeight="1">
      <c r="A64" s="495"/>
      <c r="B64" s="495"/>
      <c r="C64" s="495"/>
      <c r="D64" s="495"/>
      <c r="E64" s="495"/>
      <c r="F64" s="495"/>
      <c r="G64" s="495"/>
      <c r="H64" s="495"/>
      <c r="I64" s="495"/>
      <c r="J64" s="495"/>
      <c r="K64" s="495"/>
      <c r="L64" s="495"/>
      <c r="M64" s="495"/>
      <c r="N64" s="495"/>
      <c r="O64" s="495"/>
      <c r="P64" s="495"/>
      <c r="Q64" s="495"/>
      <c r="R64" s="495"/>
      <c r="S64" s="495"/>
      <c r="T64" s="495"/>
      <c r="U64" s="495"/>
      <c r="V64" s="495"/>
      <c r="W64" s="495"/>
      <c r="X64" s="495"/>
      <c r="Y64" s="495"/>
      <c r="Z64" s="495"/>
    </row>
    <row r="65" ht="12.0" customHeight="1">
      <c r="A65" s="495"/>
      <c r="B65" s="495"/>
      <c r="C65" s="495"/>
      <c r="D65" s="495"/>
      <c r="E65" s="495"/>
      <c r="F65" s="495"/>
      <c r="G65" s="495"/>
      <c r="H65" s="495"/>
      <c r="I65" s="495"/>
      <c r="J65" s="495"/>
      <c r="K65" s="495"/>
      <c r="L65" s="495"/>
      <c r="M65" s="495"/>
      <c r="N65" s="495"/>
      <c r="O65" s="495"/>
      <c r="P65" s="495"/>
      <c r="Q65" s="495"/>
      <c r="R65" s="495"/>
      <c r="S65" s="495"/>
      <c r="T65" s="495"/>
      <c r="U65" s="495"/>
      <c r="V65" s="495"/>
      <c r="W65" s="495"/>
      <c r="X65" s="495"/>
      <c r="Y65" s="495"/>
      <c r="Z65" s="495"/>
    </row>
    <row r="66" ht="12.0" customHeight="1">
      <c r="A66" s="495"/>
      <c r="B66" s="495"/>
      <c r="C66" s="495"/>
      <c r="D66" s="495"/>
      <c r="E66" s="495"/>
      <c r="F66" s="495"/>
      <c r="G66" s="495"/>
      <c r="H66" s="495"/>
      <c r="I66" s="495"/>
      <c r="J66" s="495"/>
      <c r="K66" s="495"/>
      <c r="L66" s="495"/>
      <c r="M66" s="495"/>
      <c r="N66" s="495"/>
      <c r="O66" s="495"/>
      <c r="P66" s="495"/>
      <c r="Q66" s="495"/>
      <c r="R66" s="495"/>
      <c r="S66" s="495"/>
      <c r="T66" s="495"/>
      <c r="U66" s="495"/>
      <c r="V66" s="495"/>
      <c r="W66" s="495"/>
      <c r="X66" s="495"/>
      <c r="Y66" s="495"/>
      <c r="Z66" s="495"/>
    </row>
    <row r="67" ht="12.0" customHeight="1">
      <c r="A67" s="495"/>
      <c r="B67" s="495"/>
      <c r="C67" s="495"/>
      <c r="D67" s="495"/>
      <c r="E67" s="495"/>
      <c r="F67" s="495"/>
      <c r="G67" s="495"/>
      <c r="H67" s="495"/>
      <c r="I67" s="495"/>
      <c r="J67" s="495"/>
      <c r="K67" s="495"/>
      <c r="L67" s="495"/>
      <c r="M67" s="495"/>
      <c r="N67" s="495"/>
      <c r="O67" s="495"/>
      <c r="P67" s="495"/>
      <c r="Q67" s="495"/>
      <c r="R67" s="495"/>
      <c r="S67" s="495"/>
      <c r="T67" s="495"/>
      <c r="U67" s="495"/>
      <c r="V67" s="495"/>
      <c r="W67" s="495"/>
      <c r="X67" s="495"/>
      <c r="Y67" s="495"/>
      <c r="Z67" s="495"/>
    </row>
    <row r="68" ht="12.0" customHeight="1">
      <c r="A68" s="495"/>
      <c r="B68" s="495"/>
      <c r="C68" s="495"/>
      <c r="D68" s="495"/>
      <c r="E68" s="495"/>
      <c r="F68" s="495"/>
      <c r="G68" s="495"/>
      <c r="H68" s="495"/>
      <c r="I68" s="495"/>
      <c r="J68" s="495"/>
      <c r="K68" s="495"/>
      <c r="L68" s="495"/>
      <c r="M68" s="495"/>
      <c r="N68" s="495"/>
      <c r="O68" s="495"/>
      <c r="P68" s="495"/>
      <c r="Q68" s="495"/>
      <c r="R68" s="495"/>
      <c r="S68" s="495"/>
      <c r="T68" s="495"/>
      <c r="U68" s="495"/>
      <c r="V68" s="495"/>
      <c r="W68" s="495"/>
      <c r="X68" s="495"/>
      <c r="Y68" s="495"/>
      <c r="Z68" s="495"/>
    </row>
    <row r="69" ht="12.0" customHeight="1">
      <c r="A69" s="495"/>
      <c r="B69" s="495"/>
      <c r="C69" s="495"/>
      <c r="D69" s="495"/>
      <c r="E69" s="495"/>
      <c r="F69" s="495"/>
      <c r="G69" s="495"/>
      <c r="H69" s="495"/>
      <c r="I69" s="495"/>
      <c r="J69" s="495"/>
      <c r="K69" s="495"/>
      <c r="L69" s="495"/>
      <c r="M69" s="495"/>
      <c r="N69" s="495"/>
      <c r="O69" s="495"/>
      <c r="P69" s="495"/>
      <c r="Q69" s="495"/>
      <c r="R69" s="495"/>
      <c r="S69" s="495"/>
      <c r="T69" s="495"/>
      <c r="U69" s="495"/>
      <c r="V69" s="495"/>
      <c r="W69" s="495"/>
      <c r="X69" s="495"/>
      <c r="Y69" s="495"/>
      <c r="Z69" s="495"/>
    </row>
    <row r="70" ht="12.0" customHeight="1">
      <c r="A70" s="495"/>
      <c r="B70" s="495"/>
      <c r="C70" s="495"/>
      <c r="D70" s="495"/>
      <c r="E70" s="495"/>
      <c r="F70" s="495"/>
      <c r="G70" s="495"/>
      <c r="H70" s="495"/>
      <c r="I70" s="495"/>
      <c r="J70" s="495"/>
      <c r="K70" s="495"/>
      <c r="L70" s="495"/>
      <c r="M70" s="495"/>
      <c r="N70" s="495"/>
      <c r="O70" s="495"/>
      <c r="P70" s="495"/>
      <c r="Q70" s="495"/>
      <c r="R70" s="495"/>
      <c r="S70" s="495"/>
      <c r="T70" s="495"/>
      <c r="U70" s="495"/>
      <c r="V70" s="495"/>
      <c r="W70" s="495"/>
      <c r="X70" s="495"/>
      <c r="Y70" s="495"/>
      <c r="Z70" s="495"/>
    </row>
    <row r="71" ht="12.0" customHeight="1">
      <c r="A71" s="495"/>
      <c r="B71" s="495"/>
      <c r="C71" s="495"/>
      <c r="D71" s="495"/>
      <c r="E71" s="495"/>
      <c r="F71" s="495"/>
      <c r="G71" s="495"/>
      <c r="H71" s="495"/>
      <c r="I71" s="495"/>
      <c r="J71" s="495"/>
      <c r="K71" s="495"/>
      <c r="L71" s="495"/>
      <c r="M71" s="495"/>
      <c r="N71" s="495"/>
      <c r="O71" s="495"/>
      <c r="P71" s="495"/>
      <c r="Q71" s="495"/>
      <c r="R71" s="495"/>
      <c r="S71" s="495"/>
      <c r="T71" s="495"/>
      <c r="U71" s="495"/>
      <c r="V71" s="495"/>
      <c r="W71" s="495"/>
      <c r="X71" s="495"/>
      <c r="Y71" s="495"/>
      <c r="Z71" s="495"/>
    </row>
    <row r="72" ht="12.0" customHeight="1">
      <c r="A72" s="495"/>
      <c r="B72" s="495"/>
      <c r="C72" s="495"/>
      <c r="D72" s="495"/>
      <c r="E72" s="495"/>
      <c r="F72" s="495"/>
      <c r="G72" s="495"/>
      <c r="H72" s="495"/>
      <c r="I72" s="495"/>
      <c r="J72" s="495"/>
      <c r="K72" s="495"/>
      <c r="L72" s="495"/>
      <c r="M72" s="495"/>
      <c r="N72" s="495"/>
      <c r="O72" s="495"/>
      <c r="P72" s="495"/>
      <c r="Q72" s="495"/>
      <c r="R72" s="495"/>
      <c r="S72" s="495"/>
      <c r="T72" s="495"/>
      <c r="U72" s="495"/>
      <c r="V72" s="495"/>
      <c r="W72" s="495"/>
      <c r="X72" s="495"/>
      <c r="Y72" s="495"/>
      <c r="Z72" s="495"/>
    </row>
    <row r="73" ht="12.0" customHeight="1">
      <c r="A73" s="495"/>
      <c r="B73" s="495"/>
      <c r="C73" s="495"/>
      <c r="D73" s="495"/>
      <c r="E73" s="495"/>
      <c r="F73" s="495"/>
      <c r="G73" s="495"/>
      <c r="H73" s="495"/>
      <c r="I73" s="495"/>
      <c r="J73" s="495"/>
      <c r="K73" s="495"/>
      <c r="L73" s="495"/>
      <c r="M73" s="495"/>
      <c r="N73" s="495"/>
      <c r="O73" s="495"/>
      <c r="P73" s="495"/>
      <c r="Q73" s="495"/>
      <c r="R73" s="495"/>
      <c r="S73" s="495"/>
      <c r="T73" s="495"/>
      <c r="U73" s="495"/>
      <c r="V73" s="495"/>
      <c r="W73" s="495"/>
      <c r="X73" s="495"/>
      <c r="Y73" s="495"/>
      <c r="Z73" s="495"/>
    </row>
    <row r="74" ht="12.0" customHeight="1">
      <c r="A74" s="495"/>
      <c r="B74" s="495"/>
      <c r="C74" s="495"/>
      <c r="D74" s="495"/>
      <c r="E74" s="495"/>
      <c r="F74" s="495"/>
      <c r="G74" s="495"/>
      <c r="H74" s="495"/>
      <c r="I74" s="495"/>
      <c r="J74" s="495"/>
      <c r="K74" s="495"/>
      <c r="L74" s="495"/>
      <c r="M74" s="495"/>
      <c r="N74" s="495"/>
      <c r="O74" s="495"/>
      <c r="P74" s="495"/>
      <c r="Q74" s="495"/>
      <c r="R74" s="495"/>
      <c r="S74" s="495"/>
      <c r="T74" s="495"/>
      <c r="U74" s="495"/>
      <c r="V74" s="495"/>
      <c r="W74" s="495"/>
      <c r="X74" s="495"/>
      <c r="Y74" s="495"/>
      <c r="Z74" s="495"/>
    </row>
    <row r="75" ht="12.0" customHeight="1">
      <c r="A75" s="495"/>
      <c r="B75" s="495"/>
      <c r="C75" s="495"/>
      <c r="D75" s="495"/>
      <c r="E75" s="495"/>
      <c r="F75" s="495"/>
      <c r="G75" s="495"/>
      <c r="H75" s="495"/>
      <c r="I75" s="495"/>
      <c r="J75" s="495"/>
      <c r="K75" s="495"/>
      <c r="L75" s="495"/>
      <c r="M75" s="495"/>
      <c r="N75" s="495"/>
      <c r="O75" s="495"/>
      <c r="P75" s="495"/>
      <c r="Q75" s="495"/>
      <c r="R75" s="495"/>
      <c r="S75" s="495"/>
      <c r="T75" s="495"/>
      <c r="U75" s="495"/>
      <c r="V75" s="495"/>
      <c r="W75" s="495"/>
      <c r="X75" s="495"/>
      <c r="Y75" s="495"/>
      <c r="Z75" s="495"/>
    </row>
    <row r="76" ht="12.0" customHeight="1">
      <c r="A76" s="495"/>
      <c r="B76" s="495"/>
      <c r="C76" s="495"/>
      <c r="D76" s="495"/>
      <c r="E76" s="495"/>
      <c r="F76" s="495"/>
      <c r="G76" s="495"/>
      <c r="H76" s="495"/>
      <c r="I76" s="495"/>
      <c r="J76" s="495"/>
      <c r="K76" s="495"/>
      <c r="L76" s="495"/>
      <c r="M76" s="495"/>
      <c r="N76" s="495"/>
      <c r="O76" s="495"/>
      <c r="P76" s="495"/>
      <c r="Q76" s="495"/>
      <c r="R76" s="495"/>
      <c r="S76" s="495"/>
      <c r="T76" s="495"/>
      <c r="U76" s="495"/>
      <c r="V76" s="495"/>
      <c r="W76" s="495"/>
      <c r="X76" s="495"/>
      <c r="Y76" s="495"/>
      <c r="Z76" s="495"/>
    </row>
    <row r="77" ht="12.0" customHeight="1">
      <c r="A77" s="495"/>
      <c r="B77" s="495"/>
      <c r="C77" s="495"/>
      <c r="D77" s="495"/>
      <c r="E77" s="495"/>
      <c r="F77" s="495"/>
      <c r="G77" s="495"/>
      <c r="H77" s="495"/>
      <c r="I77" s="495"/>
      <c r="J77" s="495"/>
      <c r="K77" s="495"/>
      <c r="L77" s="495"/>
      <c r="M77" s="495"/>
      <c r="N77" s="495"/>
      <c r="O77" s="495"/>
      <c r="P77" s="495"/>
      <c r="Q77" s="495"/>
      <c r="R77" s="495"/>
      <c r="S77" s="495"/>
      <c r="T77" s="495"/>
      <c r="U77" s="495"/>
      <c r="V77" s="495"/>
      <c r="W77" s="495"/>
      <c r="X77" s="495"/>
      <c r="Y77" s="495"/>
      <c r="Z77" s="495"/>
    </row>
    <row r="78" ht="12.0" customHeight="1">
      <c r="A78" s="495"/>
      <c r="B78" s="495"/>
      <c r="C78" s="495"/>
      <c r="D78" s="495"/>
      <c r="E78" s="495"/>
      <c r="F78" s="495"/>
      <c r="G78" s="495"/>
      <c r="H78" s="495"/>
      <c r="I78" s="495"/>
      <c r="J78" s="495"/>
      <c r="K78" s="495"/>
      <c r="L78" s="495"/>
      <c r="M78" s="495"/>
      <c r="N78" s="495"/>
      <c r="O78" s="495"/>
      <c r="P78" s="495"/>
      <c r="Q78" s="495"/>
      <c r="R78" s="495"/>
      <c r="S78" s="495"/>
      <c r="T78" s="495"/>
      <c r="U78" s="495"/>
      <c r="V78" s="495"/>
      <c r="W78" s="495"/>
      <c r="X78" s="495"/>
      <c r="Y78" s="495"/>
      <c r="Z78" s="495"/>
    </row>
    <row r="79" ht="12.0" customHeight="1">
      <c r="A79" s="495"/>
      <c r="B79" s="495"/>
      <c r="C79" s="495"/>
      <c r="D79" s="495"/>
      <c r="E79" s="495"/>
      <c r="F79" s="495"/>
      <c r="G79" s="495"/>
      <c r="H79" s="495"/>
      <c r="I79" s="495"/>
      <c r="J79" s="495"/>
      <c r="K79" s="495"/>
      <c r="L79" s="495"/>
      <c r="M79" s="495"/>
      <c r="N79" s="495"/>
      <c r="O79" s="495"/>
      <c r="P79" s="495"/>
      <c r="Q79" s="495"/>
      <c r="R79" s="495"/>
      <c r="S79" s="495"/>
      <c r="T79" s="495"/>
      <c r="U79" s="495"/>
      <c r="V79" s="495"/>
      <c r="W79" s="495"/>
      <c r="X79" s="495"/>
      <c r="Y79" s="495"/>
      <c r="Z79" s="495"/>
    </row>
    <row r="80" ht="12.0" customHeight="1">
      <c r="A80" s="495"/>
      <c r="B80" s="495"/>
      <c r="C80" s="495"/>
      <c r="D80" s="495"/>
      <c r="E80" s="495"/>
      <c r="F80" s="495"/>
      <c r="G80" s="495"/>
      <c r="H80" s="495"/>
      <c r="I80" s="495"/>
      <c r="J80" s="495"/>
      <c r="K80" s="495"/>
      <c r="L80" s="495"/>
      <c r="M80" s="495"/>
      <c r="N80" s="495"/>
      <c r="O80" s="495"/>
      <c r="P80" s="495"/>
      <c r="Q80" s="495"/>
      <c r="R80" s="495"/>
      <c r="S80" s="495"/>
      <c r="T80" s="495"/>
      <c r="U80" s="495"/>
      <c r="V80" s="495"/>
      <c r="W80" s="495"/>
      <c r="X80" s="495"/>
      <c r="Y80" s="495"/>
      <c r="Z80" s="495"/>
    </row>
    <row r="81" ht="12.0" customHeight="1">
      <c r="A81" s="495"/>
      <c r="B81" s="495"/>
      <c r="C81" s="495"/>
      <c r="D81" s="495"/>
      <c r="E81" s="495"/>
      <c r="F81" s="495"/>
      <c r="G81" s="495"/>
      <c r="H81" s="495"/>
      <c r="I81" s="495"/>
      <c r="J81" s="495"/>
      <c r="K81" s="495"/>
      <c r="L81" s="495"/>
      <c r="M81" s="495"/>
      <c r="N81" s="495"/>
      <c r="O81" s="495"/>
      <c r="P81" s="495"/>
      <c r="Q81" s="495"/>
      <c r="R81" s="495"/>
      <c r="S81" s="495"/>
      <c r="T81" s="495"/>
      <c r="U81" s="495"/>
      <c r="V81" s="495"/>
      <c r="W81" s="495"/>
      <c r="X81" s="495"/>
      <c r="Y81" s="495"/>
      <c r="Z81" s="495"/>
    </row>
    <row r="82" ht="12.0" customHeight="1">
      <c r="A82" s="495"/>
      <c r="B82" s="495"/>
      <c r="C82" s="495"/>
      <c r="D82" s="495"/>
      <c r="E82" s="495"/>
      <c r="F82" s="495"/>
      <c r="G82" s="495"/>
      <c r="H82" s="495"/>
      <c r="I82" s="495"/>
      <c r="J82" s="495"/>
      <c r="K82" s="495"/>
      <c r="L82" s="495"/>
      <c r="M82" s="495"/>
      <c r="N82" s="495"/>
      <c r="O82" s="495"/>
      <c r="P82" s="495"/>
      <c r="Q82" s="495"/>
      <c r="R82" s="495"/>
      <c r="S82" s="495"/>
      <c r="T82" s="495"/>
      <c r="U82" s="495"/>
      <c r="V82" s="495"/>
      <c r="W82" s="495"/>
      <c r="X82" s="495"/>
      <c r="Y82" s="495"/>
      <c r="Z82" s="495"/>
    </row>
    <row r="83" ht="12.0" customHeight="1">
      <c r="A83" s="495"/>
      <c r="B83" s="495"/>
      <c r="C83" s="495"/>
      <c r="D83" s="495"/>
      <c r="E83" s="495"/>
      <c r="F83" s="495"/>
      <c r="G83" s="495"/>
      <c r="H83" s="495"/>
      <c r="I83" s="495"/>
      <c r="J83" s="495"/>
      <c r="K83" s="495"/>
      <c r="L83" s="495"/>
      <c r="M83" s="495"/>
      <c r="N83" s="495"/>
      <c r="O83" s="495"/>
      <c r="P83" s="495"/>
      <c r="Q83" s="495"/>
      <c r="R83" s="495"/>
      <c r="S83" s="495"/>
      <c r="T83" s="495"/>
      <c r="U83" s="495"/>
      <c r="V83" s="495"/>
      <c r="W83" s="495"/>
      <c r="X83" s="495"/>
      <c r="Y83" s="495"/>
      <c r="Z83" s="495"/>
    </row>
    <row r="84" ht="12.0" customHeight="1">
      <c r="A84" s="495"/>
      <c r="B84" s="495"/>
      <c r="C84" s="495"/>
      <c r="D84" s="495"/>
      <c r="E84" s="495"/>
      <c r="F84" s="495"/>
      <c r="G84" s="495"/>
      <c r="H84" s="495"/>
      <c r="I84" s="495"/>
      <c r="J84" s="495"/>
      <c r="K84" s="495"/>
      <c r="L84" s="495"/>
      <c r="M84" s="495"/>
      <c r="N84" s="495"/>
      <c r="O84" s="495"/>
      <c r="P84" s="495"/>
      <c r="Q84" s="495"/>
      <c r="R84" s="495"/>
      <c r="S84" s="495"/>
      <c r="T84" s="495"/>
      <c r="U84" s="495"/>
      <c r="V84" s="495"/>
      <c r="W84" s="495"/>
      <c r="X84" s="495"/>
      <c r="Y84" s="495"/>
      <c r="Z84" s="495"/>
    </row>
    <row r="85" ht="12.0" customHeight="1">
      <c r="A85" s="495"/>
      <c r="B85" s="495"/>
      <c r="C85" s="495"/>
      <c r="D85" s="495"/>
      <c r="E85" s="495"/>
      <c r="F85" s="495"/>
      <c r="G85" s="495"/>
      <c r="H85" s="495"/>
      <c r="I85" s="495"/>
      <c r="J85" s="495"/>
      <c r="K85" s="495"/>
      <c r="L85" s="495"/>
      <c r="M85" s="495"/>
      <c r="N85" s="495"/>
      <c r="O85" s="495"/>
      <c r="P85" s="495"/>
      <c r="Q85" s="495"/>
      <c r="R85" s="495"/>
      <c r="S85" s="495"/>
      <c r="T85" s="495"/>
      <c r="U85" s="495"/>
      <c r="V85" s="495"/>
      <c r="W85" s="495"/>
      <c r="X85" s="495"/>
      <c r="Y85" s="495"/>
      <c r="Z85" s="495"/>
    </row>
    <row r="86" ht="12.0" customHeight="1">
      <c r="A86" s="495"/>
      <c r="B86" s="495"/>
      <c r="C86" s="495"/>
      <c r="D86" s="495"/>
      <c r="E86" s="495"/>
      <c r="F86" s="495"/>
      <c r="G86" s="495"/>
      <c r="H86" s="495"/>
      <c r="I86" s="495"/>
      <c r="J86" s="495"/>
      <c r="K86" s="495"/>
      <c r="L86" s="495"/>
      <c r="M86" s="495"/>
      <c r="N86" s="495"/>
      <c r="O86" s="495"/>
      <c r="P86" s="495"/>
      <c r="Q86" s="495"/>
      <c r="R86" s="495"/>
      <c r="S86" s="495"/>
      <c r="T86" s="495"/>
      <c r="U86" s="495"/>
      <c r="V86" s="495"/>
      <c r="W86" s="495"/>
      <c r="X86" s="495"/>
      <c r="Y86" s="495"/>
      <c r="Z86" s="495"/>
    </row>
    <row r="87" ht="12.0" customHeight="1">
      <c r="A87" s="495"/>
      <c r="B87" s="495"/>
      <c r="C87" s="495"/>
      <c r="D87" s="495"/>
      <c r="E87" s="495"/>
      <c r="F87" s="495"/>
      <c r="G87" s="495"/>
      <c r="H87" s="495"/>
      <c r="I87" s="495"/>
      <c r="J87" s="495"/>
      <c r="K87" s="495"/>
      <c r="L87" s="495"/>
      <c r="M87" s="495"/>
      <c r="N87" s="495"/>
      <c r="O87" s="495"/>
      <c r="P87" s="495"/>
      <c r="Q87" s="495"/>
      <c r="R87" s="495"/>
      <c r="S87" s="495"/>
      <c r="T87" s="495"/>
      <c r="U87" s="495"/>
      <c r="V87" s="495"/>
      <c r="W87" s="495"/>
      <c r="X87" s="495"/>
      <c r="Y87" s="495"/>
      <c r="Z87" s="495"/>
    </row>
    <row r="88" ht="12.0" customHeight="1">
      <c r="A88" s="495"/>
      <c r="B88" s="495"/>
      <c r="C88" s="495"/>
      <c r="D88" s="495"/>
      <c r="E88" s="495"/>
      <c r="F88" s="495"/>
      <c r="G88" s="495"/>
      <c r="H88" s="495"/>
      <c r="I88" s="495"/>
      <c r="J88" s="495"/>
      <c r="K88" s="495"/>
      <c r="L88" s="495"/>
      <c r="M88" s="495"/>
      <c r="N88" s="495"/>
      <c r="O88" s="495"/>
      <c r="P88" s="495"/>
      <c r="Q88" s="495"/>
      <c r="R88" s="495"/>
      <c r="S88" s="495"/>
      <c r="T88" s="495"/>
      <c r="U88" s="495"/>
      <c r="V88" s="495"/>
      <c r="W88" s="495"/>
      <c r="X88" s="495"/>
      <c r="Y88" s="495"/>
      <c r="Z88" s="495"/>
    </row>
    <row r="89" ht="12.0" customHeight="1">
      <c r="A89" s="495"/>
      <c r="B89" s="495"/>
      <c r="C89" s="495"/>
      <c r="D89" s="495"/>
      <c r="E89" s="495"/>
      <c r="F89" s="495"/>
      <c r="G89" s="495"/>
      <c r="H89" s="495"/>
      <c r="I89" s="495"/>
      <c r="J89" s="495"/>
      <c r="K89" s="495"/>
      <c r="L89" s="495"/>
      <c r="M89" s="495"/>
      <c r="N89" s="495"/>
      <c r="O89" s="495"/>
      <c r="P89" s="495"/>
      <c r="Q89" s="495"/>
      <c r="R89" s="495"/>
      <c r="S89" s="495"/>
      <c r="T89" s="495"/>
      <c r="U89" s="495"/>
      <c r="V89" s="495"/>
      <c r="W89" s="495"/>
      <c r="X89" s="495"/>
      <c r="Y89" s="495"/>
      <c r="Z89" s="495"/>
    </row>
    <row r="90" ht="12.0" customHeight="1">
      <c r="A90" s="495"/>
      <c r="B90" s="495"/>
      <c r="C90" s="495"/>
      <c r="D90" s="495"/>
      <c r="E90" s="495"/>
      <c r="F90" s="495"/>
      <c r="G90" s="495"/>
      <c r="H90" s="495"/>
      <c r="I90" s="495"/>
      <c r="J90" s="495"/>
      <c r="K90" s="495"/>
      <c r="L90" s="495"/>
      <c r="M90" s="495"/>
      <c r="N90" s="495"/>
      <c r="O90" s="495"/>
      <c r="P90" s="495"/>
      <c r="Q90" s="495"/>
      <c r="R90" s="495"/>
      <c r="S90" s="495"/>
      <c r="T90" s="495"/>
      <c r="U90" s="495"/>
      <c r="V90" s="495"/>
      <c r="W90" s="495"/>
      <c r="X90" s="495"/>
      <c r="Y90" s="495"/>
      <c r="Z90" s="495"/>
    </row>
    <row r="91" ht="12.0" customHeight="1">
      <c r="A91" s="495"/>
      <c r="B91" s="495"/>
      <c r="C91" s="495"/>
      <c r="D91" s="495"/>
      <c r="E91" s="495"/>
      <c r="F91" s="495"/>
      <c r="G91" s="495"/>
      <c r="H91" s="495"/>
      <c r="I91" s="495"/>
      <c r="J91" s="495"/>
      <c r="K91" s="495"/>
      <c r="L91" s="495"/>
      <c r="M91" s="495"/>
      <c r="N91" s="495"/>
      <c r="O91" s="495"/>
      <c r="P91" s="495"/>
      <c r="Q91" s="495"/>
      <c r="R91" s="495"/>
      <c r="S91" s="495"/>
      <c r="T91" s="495"/>
      <c r="U91" s="495"/>
      <c r="V91" s="495"/>
      <c r="W91" s="495"/>
      <c r="X91" s="495"/>
      <c r="Y91" s="495"/>
      <c r="Z91" s="495"/>
    </row>
    <row r="92" ht="12.0" customHeight="1">
      <c r="A92" s="495"/>
      <c r="B92" s="495"/>
      <c r="C92" s="495"/>
      <c r="D92" s="495"/>
      <c r="E92" s="495"/>
      <c r="F92" s="495"/>
      <c r="G92" s="495"/>
      <c r="H92" s="495"/>
      <c r="I92" s="495"/>
      <c r="J92" s="495"/>
      <c r="K92" s="495"/>
      <c r="L92" s="495"/>
      <c r="M92" s="495"/>
      <c r="N92" s="495"/>
      <c r="O92" s="495"/>
      <c r="P92" s="495"/>
      <c r="Q92" s="495"/>
      <c r="R92" s="495"/>
      <c r="S92" s="495"/>
      <c r="T92" s="495"/>
      <c r="U92" s="495"/>
      <c r="V92" s="495"/>
      <c r="W92" s="495"/>
      <c r="X92" s="495"/>
      <c r="Y92" s="495"/>
      <c r="Z92" s="495"/>
    </row>
    <row r="93" ht="12.0" customHeight="1">
      <c r="A93" s="495"/>
      <c r="B93" s="495"/>
      <c r="C93" s="495"/>
      <c r="D93" s="495"/>
      <c r="E93" s="495"/>
      <c r="F93" s="495"/>
      <c r="G93" s="495"/>
      <c r="H93" s="495"/>
      <c r="I93" s="495"/>
      <c r="J93" s="495"/>
      <c r="K93" s="495"/>
      <c r="L93" s="495"/>
      <c r="M93" s="495"/>
      <c r="N93" s="495"/>
      <c r="O93" s="495"/>
      <c r="P93" s="495"/>
      <c r="Q93" s="495"/>
      <c r="R93" s="495"/>
      <c r="S93" s="495"/>
      <c r="T93" s="495"/>
      <c r="U93" s="495"/>
      <c r="V93" s="495"/>
      <c r="W93" s="495"/>
      <c r="X93" s="495"/>
      <c r="Y93" s="495"/>
      <c r="Z93" s="495"/>
    </row>
    <row r="94" ht="12.0" customHeight="1">
      <c r="A94" s="495"/>
      <c r="B94" s="495"/>
      <c r="C94" s="495"/>
      <c r="D94" s="495"/>
      <c r="E94" s="495"/>
      <c r="F94" s="495"/>
      <c r="G94" s="495"/>
      <c r="H94" s="495"/>
      <c r="I94" s="495"/>
      <c r="J94" s="495"/>
      <c r="K94" s="495"/>
      <c r="L94" s="495"/>
      <c r="M94" s="495"/>
      <c r="N94" s="495"/>
      <c r="O94" s="495"/>
      <c r="P94" s="495"/>
      <c r="Q94" s="495"/>
      <c r="R94" s="495"/>
      <c r="S94" s="495"/>
      <c r="T94" s="495"/>
      <c r="U94" s="495"/>
      <c r="V94" s="495"/>
      <c r="W94" s="495"/>
      <c r="X94" s="495"/>
      <c r="Y94" s="495"/>
      <c r="Z94" s="495"/>
    </row>
    <row r="95" ht="12.0" customHeight="1">
      <c r="A95" s="495"/>
      <c r="B95" s="495"/>
      <c r="C95" s="495"/>
      <c r="D95" s="495"/>
      <c r="E95" s="495"/>
      <c r="F95" s="495"/>
      <c r="G95" s="495"/>
      <c r="H95" s="495"/>
      <c r="I95" s="495"/>
      <c r="J95" s="495"/>
      <c r="K95" s="495"/>
      <c r="L95" s="495"/>
      <c r="M95" s="495"/>
      <c r="N95" s="495"/>
      <c r="O95" s="495"/>
      <c r="P95" s="495"/>
      <c r="Q95" s="495"/>
      <c r="R95" s="495"/>
      <c r="S95" s="495"/>
      <c r="T95" s="495"/>
      <c r="U95" s="495"/>
      <c r="V95" s="495"/>
      <c r="W95" s="495"/>
      <c r="X95" s="495"/>
      <c r="Y95" s="495"/>
      <c r="Z95" s="495"/>
    </row>
    <row r="96" ht="12.0" customHeight="1">
      <c r="A96" s="495"/>
      <c r="B96" s="495"/>
      <c r="C96" s="495"/>
      <c r="D96" s="495"/>
      <c r="E96" s="495"/>
      <c r="F96" s="495"/>
      <c r="G96" s="495"/>
      <c r="H96" s="495"/>
      <c r="I96" s="495"/>
      <c r="J96" s="495"/>
      <c r="K96" s="495"/>
      <c r="L96" s="495"/>
      <c r="M96" s="495"/>
      <c r="N96" s="495"/>
      <c r="O96" s="495"/>
      <c r="P96" s="495"/>
      <c r="Q96" s="495"/>
      <c r="R96" s="495"/>
      <c r="S96" s="495"/>
      <c r="T96" s="495"/>
      <c r="U96" s="495"/>
      <c r="V96" s="495"/>
      <c r="W96" s="495"/>
      <c r="X96" s="495"/>
      <c r="Y96" s="495"/>
      <c r="Z96" s="495"/>
    </row>
    <row r="97" ht="12.0" customHeight="1">
      <c r="A97" s="495"/>
      <c r="B97" s="495"/>
      <c r="C97" s="495"/>
      <c r="D97" s="495"/>
      <c r="E97" s="495"/>
      <c r="F97" s="495"/>
      <c r="G97" s="495"/>
      <c r="H97" s="495"/>
      <c r="I97" s="495"/>
      <c r="J97" s="495"/>
      <c r="K97" s="495"/>
      <c r="L97" s="495"/>
      <c r="M97" s="495"/>
      <c r="N97" s="495"/>
      <c r="O97" s="495"/>
      <c r="P97" s="495"/>
      <c r="Q97" s="495"/>
      <c r="R97" s="495"/>
      <c r="S97" s="495"/>
      <c r="T97" s="495"/>
      <c r="U97" s="495"/>
      <c r="V97" s="495"/>
      <c r="W97" s="495"/>
      <c r="X97" s="495"/>
      <c r="Y97" s="495"/>
      <c r="Z97" s="495"/>
    </row>
    <row r="98" ht="12.0" customHeight="1">
      <c r="A98" s="495"/>
      <c r="B98" s="495"/>
      <c r="C98" s="495"/>
      <c r="D98" s="495"/>
      <c r="E98" s="495"/>
      <c r="F98" s="495"/>
      <c r="G98" s="495"/>
      <c r="H98" s="495"/>
      <c r="I98" s="495"/>
      <c r="J98" s="495"/>
      <c r="K98" s="495"/>
      <c r="L98" s="495"/>
      <c r="M98" s="495"/>
      <c r="N98" s="495"/>
      <c r="O98" s="495"/>
      <c r="P98" s="495"/>
      <c r="Q98" s="495"/>
      <c r="R98" s="495"/>
      <c r="S98" s="495"/>
      <c r="T98" s="495"/>
      <c r="U98" s="495"/>
      <c r="V98" s="495"/>
      <c r="W98" s="495"/>
      <c r="X98" s="495"/>
      <c r="Y98" s="495"/>
      <c r="Z98" s="495"/>
    </row>
    <row r="99" ht="12.0" customHeight="1">
      <c r="A99" s="495"/>
      <c r="B99" s="495"/>
      <c r="C99" s="495"/>
      <c r="D99" s="495"/>
      <c r="E99" s="495"/>
      <c r="F99" s="495"/>
      <c r="G99" s="495"/>
      <c r="H99" s="495"/>
      <c r="I99" s="495"/>
      <c r="J99" s="495"/>
      <c r="K99" s="495"/>
      <c r="L99" s="495"/>
      <c r="M99" s="495"/>
      <c r="N99" s="495"/>
      <c r="O99" s="495"/>
      <c r="P99" s="495"/>
      <c r="Q99" s="495"/>
      <c r="R99" s="495"/>
      <c r="S99" s="495"/>
      <c r="T99" s="495"/>
      <c r="U99" s="495"/>
      <c r="V99" s="495"/>
      <c r="W99" s="495"/>
      <c r="X99" s="495"/>
      <c r="Y99" s="495"/>
      <c r="Z99" s="495"/>
    </row>
    <row r="100" ht="12.0" customHeight="1">
      <c r="A100" s="495"/>
      <c r="B100" s="495"/>
      <c r="C100" s="495"/>
      <c r="D100" s="495"/>
      <c r="E100" s="495"/>
      <c r="F100" s="495"/>
      <c r="G100" s="495"/>
      <c r="H100" s="495"/>
      <c r="I100" s="495"/>
      <c r="J100" s="495"/>
      <c r="K100" s="495"/>
      <c r="L100" s="495"/>
      <c r="M100" s="495"/>
      <c r="N100" s="495"/>
      <c r="O100" s="495"/>
      <c r="P100" s="495"/>
      <c r="Q100" s="495"/>
      <c r="R100" s="495"/>
      <c r="S100" s="495"/>
      <c r="T100" s="495"/>
      <c r="U100" s="495"/>
      <c r="V100" s="495"/>
      <c r="W100" s="495"/>
      <c r="X100" s="495"/>
      <c r="Y100" s="495"/>
      <c r="Z100" s="495"/>
    </row>
    <row r="101" ht="12.0" customHeight="1">
      <c r="A101" s="495"/>
      <c r="B101" s="495"/>
      <c r="C101" s="495"/>
      <c r="D101" s="495"/>
      <c r="E101" s="495"/>
      <c r="F101" s="495"/>
      <c r="G101" s="495"/>
      <c r="H101" s="495"/>
      <c r="I101" s="495"/>
      <c r="J101" s="495"/>
      <c r="K101" s="495"/>
      <c r="L101" s="495"/>
      <c r="M101" s="495"/>
      <c r="N101" s="495"/>
      <c r="O101" s="495"/>
      <c r="P101" s="495"/>
      <c r="Q101" s="495"/>
      <c r="R101" s="495"/>
      <c r="S101" s="495"/>
      <c r="T101" s="495"/>
      <c r="U101" s="495"/>
      <c r="V101" s="495"/>
      <c r="W101" s="495"/>
      <c r="X101" s="495"/>
      <c r="Y101" s="495"/>
      <c r="Z101" s="495"/>
    </row>
    <row r="102" ht="12.0" customHeight="1">
      <c r="A102" s="495"/>
      <c r="B102" s="495"/>
      <c r="C102" s="495"/>
      <c r="D102" s="495"/>
      <c r="E102" s="495"/>
      <c r="F102" s="495"/>
      <c r="G102" s="495"/>
      <c r="H102" s="495"/>
      <c r="I102" s="495"/>
      <c r="J102" s="495"/>
      <c r="K102" s="495"/>
      <c r="L102" s="495"/>
      <c r="M102" s="495"/>
      <c r="N102" s="495"/>
      <c r="O102" s="495"/>
      <c r="P102" s="495"/>
      <c r="Q102" s="495"/>
      <c r="R102" s="495"/>
      <c r="S102" s="495"/>
      <c r="T102" s="495"/>
      <c r="U102" s="495"/>
      <c r="V102" s="495"/>
      <c r="W102" s="495"/>
      <c r="X102" s="495"/>
      <c r="Y102" s="495"/>
      <c r="Z102" s="495"/>
    </row>
    <row r="103" ht="12.0" customHeight="1">
      <c r="A103" s="495"/>
      <c r="B103" s="495"/>
      <c r="C103" s="495"/>
      <c r="D103" s="495"/>
      <c r="E103" s="495"/>
      <c r="F103" s="495"/>
      <c r="G103" s="495"/>
      <c r="H103" s="495"/>
      <c r="I103" s="495"/>
      <c r="J103" s="495"/>
      <c r="K103" s="495"/>
      <c r="L103" s="495"/>
      <c r="M103" s="495"/>
      <c r="N103" s="495"/>
      <c r="O103" s="495"/>
      <c r="P103" s="495"/>
      <c r="Q103" s="495"/>
      <c r="R103" s="495"/>
      <c r="S103" s="495"/>
      <c r="T103" s="495"/>
      <c r="U103" s="495"/>
      <c r="V103" s="495"/>
      <c r="W103" s="495"/>
      <c r="X103" s="495"/>
      <c r="Y103" s="495"/>
      <c r="Z103" s="495"/>
    </row>
    <row r="104" ht="12.0" customHeight="1">
      <c r="A104" s="495"/>
      <c r="B104" s="495"/>
      <c r="C104" s="495"/>
      <c r="D104" s="495"/>
      <c r="E104" s="495"/>
      <c r="F104" s="495"/>
      <c r="G104" s="495"/>
      <c r="H104" s="495"/>
      <c r="I104" s="495"/>
      <c r="J104" s="495"/>
      <c r="K104" s="495"/>
      <c r="L104" s="495"/>
      <c r="M104" s="495"/>
      <c r="N104" s="495"/>
      <c r="O104" s="495"/>
      <c r="P104" s="495"/>
      <c r="Q104" s="495"/>
      <c r="R104" s="495"/>
      <c r="S104" s="495"/>
      <c r="T104" s="495"/>
      <c r="U104" s="495"/>
      <c r="V104" s="495"/>
      <c r="W104" s="495"/>
      <c r="X104" s="495"/>
      <c r="Y104" s="495"/>
      <c r="Z104" s="495"/>
    </row>
    <row r="105" ht="12.0" customHeight="1">
      <c r="A105" s="495"/>
      <c r="B105" s="495"/>
      <c r="C105" s="495"/>
      <c r="D105" s="495"/>
      <c r="E105" s="495"/>
      <c r="F105" s="495"/>
      <c r="G105" s="495"/>
      <c r="H105" s="495"/>
      <c r="I105" s="495"/>
      <c r="J105" s="495"/>
      <c r="K105" s="495"/>
      <c r="L105" s="495"/>
      <c r="M105" s="495"/>
      <c r="N105" s="495"/>
      <c r="O105" s="495"/>
      <c r="P105" s="495"/>
      <c r="Q105" s="495"/>
      <c r="R105" s="495"/>
      <c r="S105" s="495"/>
      <c r="T105" s="495"/>
      <c r="U105" s="495"/>
      <c r="V105" s="495"/>
      <c r="W105" s="495"/>
      <c r="X105" s="495"/>
      <c r="Y105" s="495"/>
      <c r="Z105" s="495"/>
    </row>
    <row r="106" ht="12.0" customHeight="1">
      <c r="A106" s="495"/>
      <c r="B106" s="495"/>
      <c r="C106" s="495"/>
      <c r="D106" s="495"/>
      <c r="E106" s="495"/>
      <c r="F106" s="495"/>
      <c r="G106" s="495"/>
      <c r="H106" s="495"/>
      <c r="I106" s="495"/>
      <c r="J106" s="495"/>
      <c r="K106" s="495"/>
      <c r="L106" s="495"/>
      <c r="M106" s="495"/>
      <c r="N106" s="495"/>
      <c r="O106" s="495"/>
      <c r="P106" s="495"/>
      <c r="Q106" s="495"/>
      <c r="R106" s="495"/>
      <c r="S106" s="495"/>
      <c r="T106" s="495"/>
      <c r="U106" s="495"/>
      <c r="V106" s="495"/>
      <c r="W106" s="495"/>
      <c r="X106" s="495"/>
      <c r="Y106" s="495"/>
      <c r="Z106" s="495"/>
    </row>
    <row r="107" ht="12.0" customHeight="1">
      <c r="A107" s="495"/>
      <c r="B107" s="495"/>
      <c r="C107" s="495"/>
      <c r="D107" s="495"/>
      <c r="E107" s="495"/>
      <c r="F107" s="495"/>
      <c r="G107" s="495"/>
      <c r="H107" s="495"/>
      <c r="I107" s="495"/>
      <c r="J107" s="495"/>
      <c r="K107" s="495"/>
      <c r="L107" s="495"/>
      <c r="M107" s="495"/>
      <c r="N107" s="495"/>
      <c r="O107" s="495"/>
      <c r="P107" s="495"/>
      <c r="Q107" s="495"/>
      <c r="R107" s="495"/>
      <c r="S107" s="495"/>
      <c r="T107" s="495"/>
      <c r="U107" s="495"/>
      <c r="V107" s="495"/>
      <c r="W107" s="495"/>
      <c r="X107" s="495"/>
      <c r="Y107" s="495"/>
      <c r="Z107" s="495"/>
    </row>
    <row r="108" ht="12.0" customHeight="1">
      <c r="A108" s="495"/>
      <c r="B108" s="495"/>
      <c r="C108" s="495"/>
      <c r="D108" s="495"/>
      <c r="E108" s="495"/>
      <c r="F108" s="495"/>
      <c r="G108" s="495"/>
      <c r="H108" s="495"/>
      <c r="I108" s="495"/>
      <c r="J108" s="495"/>
      <c r="K108" s="495"/>
      <c r="L108" s="495"/>
      <c r="M108" s="495"/>
      <c r="N108" s="495"/>
      <c r="O108" s="495"/>
      <c r="P108" s="495"/>
      <c r="Q108" s="495"/>
      <c r="R108" s="495"/>
      <c r="S108" s="495"/>
      <c r="T108" s="495"/>
      <c r="U108" s="495"/>
      <c r="V108" s="495"/>
      <c r="W108" s="495"/>
      <c r="X108" s="495"/>
      <c r="Y108" s="495"/>
      <c r="Z108" s="495"/>
    </row>
    <row r="109" ht="12.0" customHeight="1">
      <c r="A109" s="495"/>
      <c r="B109" s="495"/>
      <c r="C109" s="495"/>
      <c r="D109" s="495"/>
      <c r="E109" s="495"/>
      <c r="F109" s="495"/>
      <c r="G109" s="495"/>
      <c r="H109" s="495"/>
      <c r="I109" s="495"/>
      <c r="J109" s="495"/>
      <c r="K109" s="495"/>
      <c r="L109" s="495"/>
      <c r="M109" s="495"/>
      <c r="N109" s="495"/>
      <c r="O109" s="495"/>
      <c r="P109" s="495"/>
      <c r="Q109" s="495"/>
      <c r="R109" s="495"/>
      <c r="S109" s="495"/>
      <c r="T109" s="495"/>
      <c r="U109" s="495"/>
      <c r="V109" s="495"/>
      <c r="W109" s="495"/>
      <c r="X109" s="495"/>
      <c r="Y109" s="495"/>
      <c r="Z109" s="495"/>
    </row>
    <row r="110" ht="12.0" customHeight="1">
      <c r="A110" s="495"/>
      <c r="B110" s="495"/>
      <c r="C110" s="495"/>
      <c r="D110" s="495"/>
      <c r="E110" s="495"/>
      <c r="F110" s="495"/>
      <c r="G110" s="495"/>
      <c r="H110" s="495"/>
      <c r="I110" s="495"/>
      <c r="J110" s="495"/>
      <c r="K110" s="495"/>
      <c r="L110" s="495"/>
      <c r="M110" s="495"/>
      <c r="N110" s="495"/>
      <c r="O110" s="495"/>
      <c r="P110" s="495"/>
      <c r="Q110" s="495"/>
      <c r="R110" s="495"/>
      <c r="S110" s="495"/>
      <c r="T110" s="495"/>
      <c r="U110" s="495"/>
      <c r="V110" s="495"/>
      <c r="W110" s="495"/>
      <c r="X110" s="495"/>
      <c r="Y110" s="495"/>
      <c r="Z110" s="495"/>
    </row>
    <row r="111" ht="12.0" customHeight="1">
      <c r="A111" s="495"/>
      <c r="B111" s="495"/>
      <c r="C111" s="495"/>
      <c r="D111" s="495"/>
      <c r="E111" s="495"/>
      <c r="F111" s="495"/>
      <c r="G111" s="495"/>
      <c r="H111" s="495"/>
      <c r="I111" s="495"/>
      <c r="J111" s="495"/>
      <c r="K111" s="495"/>
      <c r="L111" s="495"/>
      <c r="M111" s="495"/>
      <c r="N111" s="495"/>
      <c r="O111" s="495"/>
      <c r="P111" s="495"/>
      <c r="Q111" s="495"/>
      <c r="R111" s="495"/>
      <c r="S111" s="495"/>
      <c r="T111" s="495"/>
      <c r="U111" s="495"/>
      <c r="V111" s="495"/>
      <c r="W111" s="495"/>
      <c r="X111" s="495"/>
      <c r="Y111" s="495"/>
      <c r="Z111" s="495"/>
    </row>
    <row r="112" ht="12.0" customHeight="1">
      <c r="A112" s="495"/>
      <c r="B112" s="495"/>
      <c r="C112" s="495"/>
      <c r="D112" s="495"/>
      <c r="E112" s="495"/>
      <c r="F112" s="495"/>
      <c r="G112" s="495"/>
      <c r="H112" s="495"/>
      <c r="I112" s="495"/>
      <c r="J112" s="495"/>
      <c r="K112" s="495"/>
      <c r="L112" s="495"/>
      <c r="M112" s="495"/>
      <c r="N112" s="495"/>
      <c r="O112" s="495"/>
      <c r="P112" s="495"/>
      <c r="Q112" s="495"/>
      <c r="R112" s="495"/>
      <c r="S112" s="495"/>
      <c r="T112" s="495"/>
      <c r="U112" s="495"/>
      <c r="V112" s="495"/>
      <c r="W112" s="495"/>
      <c r="X112" s="495"/>
      <c r="Y112" s="495"/>
      <c r="Z112" s="495"/>
    </row>
    <row r="113" ht="12.0" customHeight="1">
      <c r="A113" s="495"/>
      <c r="B113" s="495"/>
      <c r="C113" s="495"/>
      <c r="D113" s="495"/>
      <c r="E113" s="495"/>
      <c r="F113" s="495"/>
      <c r="G113" s="495"/>
      <c r="H113" s="495"/>
      <c r="I113" s="495"/>
      <c r="J113" s="495"/>
      <c r="K113" s="495"/>
      <c r="L113" s="495"/>
      <c r="M113" s="495"/>
      <c r="N113" s="495"/>
      <c r="O113" s="495"/>
      <c r="P113" s="495"/>
      <c r="Q113" s="495"/>
      <c r="R113" s="495"/>
      <c r="S113" s="495"/>
      <c r="T113" s="495"/>
      <c r="U113" s="495"/>
      <c r="V113" s="495"/>
      <c r="W113" s="495"/>
      <c r="X113" s="495"/>
      <c r="Y113" s="495"/>
      <c r="Z113" s="495"/>
    </row>
    <row r="114" ht="12.0" customHeight="1">
      <c r="A114" s="495"/>
      <c r="B114" s="495"/>
      <c r="C114" s="495"/>
      <c r="D114" s="495"/>
      <c r="E114" s="495"/>
      <c r="F114" s="495"/>
      <c r="G114" s="495"/>
      <c r="H114" s="495"/>
      <c r="I114" s="495"/>
      <c r="J114" s="495"/>
      <c r="K114" s="495"/>
      <c r="L114" s="495"/>
      <c r="M114" s="495"/>
      <c r="N114" s="495"/>
      <c r="O114" s="495"/>
      <c r="P114" s="495"/>
      <c r="Q114" s="495"/>
      <c r="R114" s="495"/>
      <c r="S114" s="495"/>
      <c r="T114" s="495"/>
      <c r="U114" s="495"/>
      <c r="V114" s="495"/>
      <c r="W114" s="495"/>
      <c r="X114" s="495"/>
      <c r="Y114" s="495"/>
      <c r="Z114" s="495"/>
    </row>
    <row r="115" ht="12.0" customHeight="1">
      <c r="A115" s="495"/>
      <c r="B115" s="495"/>
      <c r="C115" s="495"/>
      <c r="D115" s="495"/>
      <c r="E115" s="495"/>
      <c r="F115" s="495"/>
      <c r="G115" s="495"/>
      <c r="H115" s="495"/>
      <c r="I115" s="495"/>
      <c r="J115" s="495"/>
      <c r="K115" s="495"/>
      <c r="L115" s="495"/>
      <c r="M115" s="495"/>
      <c r="N115" s="495"/>
      <c r="O115" s="495"/>
      <c r="P115" s="495"/>
      <c r="Q115" s="495"/>
      <c r="R115" s="495"/>
      <c r="S115" s="495"/>
      <c r="T115" s="495"/>
      <c r="U115" s="495"/>
      <c r="V115" s="495"/>
      <c r="W115" s="495"/>
      <c r="X115" s="495"/>
      <c r="Y115" s="495"/>
      <c r="Z115" s="495"/>
    </row>
    <row r="116" ht="12.0" customHeight="1">
      <c r="A116" s="495"/>
      <c r="B116" s="495"/>
      <c r="C116" s="495"/>
      <c r="D116" s="495"/>
      <c r="E116" s="495"/>
      <c r="F116" s="495"/>
      <c r="G116" s="495"/>
      <c r="H116" s="495"/>
      <c r="I116" s="495"/>
      <c r="J116" s="495"/>
      <c r="K116" s="495"/>
      <c r="L116" s="495"/>
      <c r="M116" s="495"/>
      <c r="N116" s="495"/>
      <c r="O116" s="495"/>
      <c r="P116" s="495"/>
      <c r="Q116" s="495"/>
      <c r="R116" s="495"/>
      <c r="S116" s="495"/>
      <c r="T116" s="495"/>
      <c r="U116" s="495"/>
      <c r="V116" s="495"/>
      <c r="W116" s="495"/>
      <c r="X116" s="495"/>
      <c r="Y116" s="495"/>
      <c r="Z116" s="495"/>
    </row>
    <row r="117" ht="12.0" customHeight="1">
      <c r="A117" s="495"/>
      <c r="B117" s="495"/>
      <c r="C117" s="495"/>
      <c r="D117" s="495"/>
      <c r="E117" s="495"/>
      <c r="F117" s="495"/>
      <c r="G117" s="495"/>
      <c r="H117" s="495"/>
      <c r="I117" s="495"/>
      <c r="J117" s="495"/>
      <c r="K117" s="495"/>
      <c r="L117" s="495"/>
      <c r="M117" s="495"/>
      <c r="N117" s="495"/>
      <c r="O117" s="495"/>
      <c r="P117" s="495"/>
      <c r="Q117" s="495"/>
      <c r="R117" s="495"/>
      <c r="S117" s="495"/>
      <c r="T117" s="495"/>
      <c r="U117" s="495"/>
      <c r="V117" s="495"/>
      <c r="W117" s="495"/>
      <c r="X117" s="495"/>
      <c r="Y117" s="495"/>
      <c r="Z117" s="495"/>
    </row>
    <row r="118" ht="12.0" customHeight="1">
      <c r="A118" s="495"/>
      <c r="B118" s="495"/>
      <c r="C118" s="495"/>
      <c r="D118" s="495"/>
      <c r="E118" s="495"/>
      <c r="F118" s="495"/>
      <c r="G118" s="495"/>
      <c r="H118" s="495"/>
      <c r="I118" s="495"/>
      <c r="J118" s="495"/>
      <c r="K118" s="495"/>
      <c r="L118" s="495"/>
      <c r="M118" s="495"/>
      <c r="N118" s="495"/>
      <c r="O118" s="495"/>
      <c r="P118" s="495"/>
      <c r="Q118" s="495"/>
      <c r="R118" s="495"/>
      <c r="S118" s="495"/>
      <c r="T118" s="495"/>
      <c r="U118" s="495"/>
      <c r="V118" s="495"/>
      <c r="W118" s="495"/>
      <c r="X118" s="495"/>
      <c r="Y118" s="495"/>
      <c r="Z118" s="495"/>
    </row>
    <row r="119" ht="12.0" customHeight="1">
      <c r="A119" s="495"/>
      <c r="B119" s="495"/>
      <c r="C119" s="495"/>
      <c r="D119" s="495"/>
      <c r="E119" s="495"/>
      <c r="F119" s="495"/>
      <c r="G119" s="495"/>
      <c r="H119" s="495"/>
      <c r="I119" s="495"/>
      <c r="J119" s="495"/>
      <c r="K119" s="495"/>
      <c r="L119" s="495"/>
      <c r="M119" s="495"/>
      <c r="N119" s="495"/>
      <c r="O119" s="495"/>
      <c r="P119" s="495"/>
      <c r="Q119" s="495"/>
      <c r="R119" s="495"/>
      <c r="S119" s="495"/>
      <c r="T119" s="495"/>
      <c r="U119" s="495"/>
      <c r="V119" s="495"/>
      <c r="W119" s="495"/>
      <c r="X119" s="495"/>
      <c r="Y119" s="495"/>
      <c r="Z119" s="495"/>
    </row>
    <row r="120" ht="12.0" customHeight="1">
      <c r="A120" s="495"/>
      <c r="B120" s="495"/>
      <c r="C120" s="495"/>
      <c r="D120" s="495"/>
      <c r="E120" s="495"/>
      <c r="F120" s="495"/>
      <c r="G120" s="495"/>
      <c r="H120" s="495"/>
      <c r="I120" s="495"/>
      <c r="J120" s="495"/>
      <c r="K120" s="495"/>
      <c r="L120" s="495"/>
      <c r="M120" s="495"/>
      <c r="N120" s="495"/>
      <c r="O120" s="495"/>
      <c r="P120" s="495"/>
      <c r="Q120" s="495"/>
      <c r="R120" s="495"/>
      <c r="S120" s="495"/>
      <c r="T120" s="495"/>
      <c r="U120" s="495"/>
      <c r="V120" s="495"/>
      <c r="W120" s="495"/>
      <c r="X120" s="495"/>
      <c r="Y120" s="495"/>
      <c r="Z120" s="495"/>
    </row>
    <row r="121" ht="12.0" customHeight="1">
      <c r="A121" s="495"/>
      <c r="B121" s="495"/>
      <c r="C121" s="495"/>
      <c r="D121" s="495"/>
      <c r="E121" s="495"/>
      <c r="F121" s="495"/>
      <c r="G121" s="495"/>
      <c r="H121" s="495"/>
      <c r="I121" s="495"/>
      <c r="J121" s="495"/>
      <c r="K121" s="495"/>
      <c r="L121" s="495"/>
      <c r="M121" s="495"/>
      <c r="N121" s="495"/>
      <c r="O121" s="495"/>
      <c r="P121" s="495"/>
      <c r="Q121" s="495"/>
      <c r="R121" s="495"/>
      <c r="S121" s="495"/>
      <c r="T121" s="495"/>
      <c r="U121" s="495"/>
      <c r="V121" s="495"/>
      <c r="W121" s="495"/>
      <c r="X121" s="495"/>
      <c r="Y121" s="495"/>
      <c r="Z121" s="495"/>
    </row>
    <row r="122" ht="12.0" customHeight="1">
      <c r="A122" s="495"/>
      <c r="B122" s="495"/>
      <c r="C122" s="495"/>
      <c r="D122" s="495"/>
      <c r="E122" s="495"/>
      <c r="F122" s="495"/>
      <c r="G122" s="495"/>
      <c r="H122" s="495"/>
      <c r="I122" s="495"/>
      <c r="J122" s="495"/>
      <c r="K122" s="495"/>
      <c r="L122" s="495"/>
      <c r="M122" s="495"/>
      <c r="N122" s="495"/>
      <c r="O122" s="495"/>
      <c r="P122" s="495"/>
      <c r="Q122" s="495"/>
      <c r="R122" s="495"/>
      <c r="S122" s="495"/>
      <c r="T122" s="495"/>
      <c r="U122" s="495"/>
      <c r="V122" s="495"/>
      <c r="W122" s="495"/>
      <c r="X122" s="495"/>
      <c r="Y122" s="495"/>
      <c r="Z122" s="495"/>
    </row>
    <row r="123" ht="12.0" customHeight="1">
      <c r="A123" s="495"/>
      <c r="B123" s="495"/>
      <c r="C123" s="495"/>
      <c r="D123" s="495"/>
      <c r="E123" s="495"/>
      <c r="F123" s="495"/>
      <c r="G123" s="495"/>
      <c r="H123" s="495"/>
      <c r="I123" s="495"/>
      <c r="J123" s="495"/>
      <c r="K123" s="495"/>
      <c r="L123" s="495"/>
      <c r="M123" s="495"/>
      <c r="N123" s="495"/>
      <c r="O123" s="495"/>
      <c r="P123" s="495"/>
      <c r="Q123" s="495"/>
      <c r="R123" s="495"/>
      <c r="S123" s="495"/>
      <c r="T123" s="495"/>
      <c r="U123" s="495"/>
      <c r="V123" s="495"/>
      <c r="W123" s="495"/>
      <c r="X123" s="495"/>
      <c r="Y123" s="495"/>
      <c r="Z123" s="495"/>
    </row>
    <row r="124" ht="12.0" customHeight="1">
      <c r="A124" s="495"/>
      <c r="B124" s="495"/>
      <c r="C124" s="495"/>
      <c r="D124" s="495"/>
      <c r="E124" s="495"/>
      <c r="F124" s="495"/>
      <c r="G124" s="495"/>
      <c r="H124" s="495"/>
      <c r="I124" s="495"/>
      <c r="J124" s="495"/>
      <c r="K124" s="495"/>
      <c r="L124" s="495"/>
      <c r="M124" s="495"/>
      <c r="N124" s="495"/>
      <c r="O124" s="495"/>
      <c r="P124" s="495"/>
      <c r="Q124" s="495"/>
      <c r="R124" s="495"/>
      <c r="S124" s="495"/>
      <c r="T124" s="495"/>
      <c r="U124" s="495"/>
      <c r="V124" s="495"/>
      <c r="W124" s="495"/>
      <c r="X124" s="495"/>
      <c r="Y124" s="495"/>
      <c r="Z124" s="495"/>
    </row>
    <row r="125" ht="12.0" customHeight="1">
      <c r="A125" s="495"/>
      <c r="B125" s="495"/>
      <c r="C125" s="495"/>
      <c r="D125" s="495"/>
      <c r="E125" s="495"/>
      <c r="F125" s="495"/>
      <c r="G125" s="495"/>
      <c r="H125" s="495"/>
      <c r="I125" s="495"/>
      <c r="J125" s="495"/>
      <c r="K125" s="495"/>
      <c r="L125" s="495"/>
      <c r="M125" s="495"/>
      <c r="N125" s="495"/>
      <c r="O125" s="495"/>
      <c r="P125" s="495"/>
      <c r="Q125" s="495"/>
      <c r="R125" s="495"/>
      <c r="S125" s="495"/>
      <c r="T125" s="495"/>
      <c r="U125" s="495"/>
      <c r="V125" s="495"/>
      <c r="W125" s="495"/>
      <c r="X125" s="495"/>
      <c r="Y125" s="495"/>
      <c r="Z125" s="495"/>
    </row>
    <row r="126" ht="12.0" customHeight="1">
      <c r="A126" s="495"/>
      <c r="B126" s="495"/>
      <c r="C126" s="495"/>
      <c r="D126" s="495"/>
      <c r="E126" s="495"/>
      <c r="F126" s="495"/>
      <c r="G126" s="495"/>
      <c r="H126" s="495"/>
      <c r="I126" s="495"/>
      <c r="J126" s="495"/>
      <c r="K126" s="495"/>
      <c r="L126" s="495"/>
      <c r="M126" s="495"/>
      <c r="N126" s="495"/>
      <c r="O126" s="495"/>
      <c r="P126" s="495"/>
      <c r="Q126" s="495"/>
      <c r="R126" s="495"/>
      <c r="S126" s="495"/>
      <c r="T126" s="495"/>
      <c r="U126" s="495"/>
      <c r="V126" s="495"/>
      <c r="W126" s="495"/>
      <c r="X126" s="495"/>
      <c r="Y126" s="495"/>
      <c r="Z126" s="495"/>
    </row>
    <row r="127" ht="12.0" customHeight="1">
      <c r="A127" s="495"/>
      <c r="B127" s="495"/>
      <c r="C127" s="495"/>
      <c r="D127" s="495"/>
      <c r="E127" s="495"/>
      <c r="F127" s="495"/>
      <c r="G127" s="495"/>
      <c r="H127" s="495"/>
      <c r="I127" s="495"/>
      <c r="J127" s="495"/>
      <c r="K127" s="495"/>
      <c r="L127" s="495"/>
      <c r="M127" s="495"/>
      <c r="N127" s="495"/>
      <c r="O127" s="495"/>
      <c r="P127" s="495"/>
      <c r="Q127" s="495"/>
      <c r="R127" s="495"/>
      <c r="S127" s="495"/>
      <c r="T127" s="495"/>
      <c r="U127" s="495"/>
      <c r="V127" s="495"/>
      <c r="W127" s="495"/>
      <c r="X127" s="495"/>
      <c r="Y127" s="495"/>
      <c r="Z127" s="495"/>
    </row>
    <row r="128" ht="12.0" customHeight="1">
      <c r="A128" s="495"/>
      <c r="B128" s="495"/>
      <c r="C128" s="495"/>
      <c r="D128" s="495"/>
      <c r="E128" s="495"/>
      <c r="F128" s="495"/>
      <c r="G128" s="495"/>
      <c r="H128" s="495"/>
      <c r="I128" s="495"/>
      <c r="J128" s="495"/>
      <c r="K128" s="495"/>
      <c r="L128" s="495"/>
      <c r="M128" s="495"/>
      <c r="N128" s="495"/>
      <c r="O128" s="495"/>
      <c r="P128" s="495"/>
      <c r="Q128" s="495"/>
      <c r="R128" s="495"/>
      <c r="S128" s="495"/>
      <c r="T128" s="495"/>
      <c r="U128" s="495"/>
      <c r="V128" s="495"/>
      <c r="W128" s="495"/>
      <c r="X128" s="495"/>
      <c r="Y128" s="495"/>
      <c r="Z128" s="495"/>
    </row>
    <row r="129" ht="12.0" customHeight="1">
      <c r="A129" s="495"/>
      <c r="B129" s="495"/>
      <c r="C129" s="495"/>
      <c r="D129" s="495"/>
      <c r="E129" s="495"/>
      <c r="F129" s="495"/>
      <c r="G129" s="495"/>
      <c r="H129" s="495"/>
      <c r="I129" s="495"/>
      <c r="J129" s="495"/>
      <c r="K129" s="495"/>
      <c r="L129" s="495"/>
      <c r="M129" s="495"/>
      <c r="N129" s="495"/>
      <c r="O129" s="495"/>
      <c r="P129" s="495"/>
      <c r="Q129" s="495"/>
      <c r="R129" s="495"/>
      <c r="S129" s="495"/>
      <c r="T129" s="495"/>
      <c r="U129" s="495"/>
      <c r="V129" s="495"/>
      <c r="W129" s="495"/>
      <c r="X129" s="495"/>
      <c r="Y129" s="495"/>
      <c r="Z129" s="495"/>
    </row>
    <row r="130" ht="12.0" customHeight="1">
      <c r="A130" s="495"/>
      <c r="B130" s="495"/>
      <c r="C130" s="495"/>
      <c r="D130" s="495"/>
      <c r="E130" s="495"/>
      <c r="F130" s="495"/>
      <c r="G130" s="495"/>
      <c r="H130" s="495"/>
      <c r="I130" s="495"/>
      <c r="J130" s="495"/>
      <c r="K130" s="495"/>
      <c r="L130" s="495"/>
      <c r="M130" s="495"/>
      <c r="N130" s="495"/>
      <c r="O130" s="495"/>
      <c r="P130" s="495"/>
      <c r="Q130" s="495"/>
      <c r="R130" s="495"/>
      <c r="S130" s="495"/>
      <c r="T130" s="495"/>
      <c r="U130" s="495"/>
      <c r="V130" s="495"/>
      <c r="W130" s="495"/>
      <c r="X130" s="495"/>
      <c r="Y130" s="495"/>
      <c r="Z130" s="495"/>
    </row>
    <row r="131" ht="12.0" customHeight="1">
      <c r="A131" s="495"/>
      <c r="B131" s="495"/>
      <c r="C131" s="495"/>
      <c r="D131" s="495"/>
      <c r="E131" s="495"/>
      <c r="F131" s="495"/>
      <c r="G131" s="495"/>
      <c r="H131" s="495"/>
      <c r="I131" s="495"/>
      <c r="J131" s="495"/>
      <c r="K131" s="495"/>
      <c r="L131" s="495"/>
      <c r="M131" s="495"/>
      <c r="N131" s="495"/>
      <c r="O131" s="495"/>
      <c r="P131" s="495"/>
      <c r="Q131" s="495"/>
      <c r="R131" s="495"/>
      <c r="S131" s="495"/>
      <c r="T131" s="495"/>
      <c r="U131" s="495"/>
      <c r="V131" s="495"/>
      <c r="W131" s="495"/>
      <c r="X131" s="495"/>
      <c r="Y131" s="495"/>
      <c r="Z131" s="495"/>
    </row>
    <row r="132" ht="12.0" customHeight="1">
      <c r="A132" s="495"/>
      <c r="B132" s="495"/>
      <c r="C132" s="495"/>
      <c r="D132" s="495"/>
      <c r="E132" s="495"/>
      <c r="F132" s="495"/>
      <c r="G132" s="495"/>
      <c r="H132" s="495"/>
      <c r="I132" s="495"/>
      <c r="J132" s="495"/>
      <c r="K132" s="495"/>
      <c r="L132" s="495"/>
      <c r="M132" s="495"/>
      <c r="N132" s="495"/>
      <c r="O132" s="495"/>
      <c r="P132" s="495"/>
      <c r="Q132" s="495"/>
      <c r="R132" s="495"/>
      <c r="S132" s="495"/>
      <c r="T132" s="495"/>
      <c r="U132" s="495"/>
      <c r="V132" s="495"/>
      <c r="W132" s="495"/>
      <c r="X132" s="495"/>
      <c r="Y132" s="495"/>
      <c r="Z132" s="495"/>
    </row>
    <row r="133" ht="12.0" customHeight="1">
      <c r="A133" s="495"/>
      <c r="B133" s="495"/>
      <c r="C133" s="495"/>
      <c r="D133" s="495"/>
      <c r="E133" s="495"/>
      <c r="F133" s="495"/>
      <c r="G133" s="495"/>
      <c r="H133" s="495"/>
      <c r="I133" s="495"/>
      <c r="J133" s="495"/>
      <c r="K133" s="495"/>
      <c r="L133" s="495"/>
      <c r="M133" s="495"/>
      <c r="N133" s="495"/>
      <c r="O133" s="495"/>
      <c r="P133" s="495"/>
      <c r="Q133" s="495"/>
      <c r="R133" s="495"/>
      <c r="S133" s="495"/>
      <c r="T133" s="495"/>
      <c r="U133" s="495"/>
      <c r="V133" s="495"/>
      <c r="W133" s="495"/>
      <c r="X133" s="495"/>
      <c r="Y133" s="495"/>
      <c r="Z133" s="495"/>
    </row>
    <row r="134" ht="12.0" customHeight="1">
      <c r="A134" s="495"/>
      <c r="B134" s="495"/>
      <c r="C134" s="495"/>
      <c r="D134" s="495"/>
      <c r="E134" s="495"/>
      <c r="F134" s="495"/>
      <c r="G134" s="495"/>
      <c r="H134" s="495"/>
      <c r="I134" s="495"/>
      <c r="J134" s="495"/>
      <c r="K134" s="495"/>
      <c r="L134" s="495"/>
      <c r="M134" s="495"/>
      <c r="N134" s="495"/>
      <c r="O134" s="495"/>
      <c r="P134" s="495"/>
      <c r="Q134" s="495"/>
      <c r="R134" s="495"/>
      <c r="S134" s="495"/>
      <c r="T134" s="495"/>
      <c r="U134" s="495"/>
      <c r="V134" s="495"/>
      <c r="W134" s="495"/>
      <c r="X134" s="495"/>
      <c r="Y134" s="495"/>
      <c r="Z134" s="495"/>
    </row>
    <row r="135" ht="12.0" customHeight="1">
      <c r="A135" s="495"/>
      <c r="B135" s="495"/>
      <c r="C135" s="495"/>
      <c r="D135" s="495"/>
      <c r="E135" s="495"/>
      <c r="F135" s="495"/>
      <c r="G135" s="495"/>
      <c r="H135" s="495"/>
      <c r="I135" s="495"/>
      <c r="J135" s="495"/>
      <c r="K135" s="495"/>
      <c r="L135" s="495"/>
      <c r="M135" s="495"/>
      <c r="N135" s="495"/>
      <c r="O135" s="495"/>
      <c r="P135" s="495"/>
      <c r="Q135" s="495"/>
      <c r="R135" s="495"/>
      <c r="S135" s="495"/>
      <c r="T135" s="495"/>
      <c r="U135" s="495"/>
      <c r="V135" s="495"/>
      <c r="W135" s="495"/>
      <c r="X135" s="495"/>
      <c r="Y135" s="495"/>
      <c r="Z135" s="495"/>
    </row>
    <row r="136" ht="12.0" customHeight="1">
      <c r="A136" s="495"/>
      <c r="B136" s="495"/>
      <c r="C136" s="495"/>
      <c r="D136" s="495"/>
      <c r="E136" s="495"/>
      <c r="F136" s="495"/>
      <c r="G136" s="495"/>
      <c r="H136" s="495"/>
      <c r="I136" s="495"/>
      <c r="J136" s="495"/>
      <c r="K136" s="495"/>
      <c r="L136" s="495"/>
      <c r="M136" s="495"/>
      <c r="N136" s="495"/>
      <c r="O136" s="495"/>
      <c r="P136" s="495"/>
      <c r="Q136" s="495"/>
      <c r="R136" s="495"/>
      <c r="S136" s="495"/>
      <c r="T136" s="495"/>
      <c r="U136" s="495"/>
      <c r="V136" s="495"/>
      <c r="W136" s="495"/>
      <c r="X136" s="495"/>
      <c r="Y136" s="495"/>
      <c r="Z136" s="495"/>
    </row>
    <row r="137" ht="12.0" customHeight="1">
      <c r="A137" s="495"/>
      <c r="B137" s="495"/>
      <c r="C137" s="495"/>
      <c r="D137" s="495"/>
      <c r="E137" s="495"/>
      <c r="F137" s="495"/>
      <c r="G137" s="495"/>
      <c r="H137" s="495"/>
      <c r="I137" s="495"/>
      <c r="J137" s="495"/>
      <c r="K137" s="495"/>
      <c r="L137" s="495"/>
      <c r="M137" s="495"/>
      <c r="N137" s="495"/>
      <c r="O137" s="495"/>
      <c r="P137" s="495"/>
      <c r="Q137" s="495"/>
      <c r="R137" s="495"/>
      <c r="S137" s="495"/>
      <c r="T137" s="495"/>
      <c r="U137" s="495"/>
      <c r="V137" s="495"/>
      <c r="W137" s="495"/>
      <c r="X137" s="495"/>
      <c r="Y137" s="495"/>
      <c r="Z137" s="495"/>
    </row>
    <row r="138" ht="12.0" customHeight="1">
      <c r="A138" s="495"/>
      <c r="B138" s="495"/>
      <c r="C138" s="495"/>
      <c r="D138" s="495"/>
      <c r="E138" s="495"/>
      <c r="F138" s="495"/>
      <c r="G138" s="495"/>
      <c r="H138" s="495"/>
      <c r="I138" s="495"/>
      <c r="J138" s="495"/>
      <c r="K138" s="495"/>
      <c r="L138" s="495"/>
      <c r="M138" s="495"/>
      <c r="N138" s="495"/>
      <c r="O138" s="495"/>
      <c r="P138" s="495"/>
      <c r="Q138" s="495"/>
      <c r="R138" s="495"/>
      <c r="S138" s="495"/>
      <c r="T138" s="495"/>
      <c r="U138" s="495"/>
      <c r="V138" s="495"/>
      <c r="W138" s="495"/>
      <c r="X138" s="495"/>
      <c r="Y138" s="495"/>
      <c r="Z138" s="495"/>
    </row>
    <row r="139" ht="12.0" customHeight="1">
      <c r="A139" s="495"/>
      <c r="B139" s="495"/>
      <c r="C139" s="495"/>
      <c r="D139" s="495"/>
      <c r="E139" s="495"/>
      <c r="F139" s="495"/>
      <c r="G139" s="495"/>
      <c r="H139" s="495"/>
      <c r="I139" s="495"/>
      <c r="J139" s="495"/>
      <c r="K139" s="495"/>
      <c r="L139" s="495"/>
      <c r="M139" s="495"/>
      <c r="N139" s="495"/>
      <c r="O139" s="495"/>
      <c r="P139" s="495"/>
      <c r="Q139" s="495"/>
      <c r="R139" s="495"/>
      <c r="S139" s="495"/>
      <c r="T139" s="495"/>
      <c r="U139" s="495"/>
      <c r="V139" s="495"/>
      <c r="W139" s="495"/>
      <c r="X139" s="495"/>
      <c r="Y139" s="495"/>
      <c r="Z139" s="495"/>
    </row>
    <row r="140" ht="12.0" customHeight="1">
      <c r="A140" s="495"/>
      <c r="B140" s="495"/>
      <c r="C140" s="495"/>
      <c r="D140" s="495"/>
      <c r="E140" s="495"/>
      <c r="F140" s="495"/>
      <c r="G140" s="495"/>
      <c r="H140" s="495"/>
      <c r="I140" s="495"/>
      <c r="J140" s="495"/>
      <c r="K140" s="495"/>
      <c r="L140" s="495"/>
      <c r="M140" s="495"/>
      <c r="N140" s="495"/>
      <c r="O140" s="495"/>
      <c r="P140" s="495"/>
      <c r="Q140" s="495"/>
      <c r="R140" s="495"/>
      <c r="S140" s="495"/>
      <c r="T140" s="495"/>
      <c r="U140" s="495"/>
      <c r="V140" s="495"/>
      <c r="W140" s="495"/>
      <c r="X140" s="495"/>
      <c r="Y140" s="495"/>
      <c r="Z140" s="495"/>
    </row>
    <row r="141" ht="12.0" customHeight="1">
      <c r="A141" s="495"/>
      <c r="B141" s="495"/>
      <c r="C141" s="495"/>
      <c r="D141" s="495"/>
      <c r="E141" s="495"/>
      <c r="F141" s="495"/>
      <c r="G141" s="495"/>
      <c r="H141" s="495"/>
      <c r="I141" s="495"/>
      <c r="J141" s="495"/>
      <c r="K141" s="495"/>
      <c r="L141" s="495"/>
      <c r="M141" s="495"/>
      <c r="N141" s="495"/>
      <c r="O141" s="495"/>
      <c r="P141" s="495"/>
      <c r="Q141" s="495"/>
      <c r="R141" s="495"/>
      <c r="S141" s="495"/>
      <c r="T141" s="495"/>
      <c r="U141" s="495"/>
      <c r="V141" s="495"/>
      <c r="W141" s="495"/>
      <c r="X141" s="495"/>
      <c r="Y141" s="495"/>
      <c r="Z141" s="495"/>
    </row>
    <row r="142" ht="12.0" customHeight="1">
      <c r="A142" s="495"/>
      <c r="B142" s="495"/>
      <c r="C142" s="495"/>
      <c r="D142" s="495"/>
      <c r="E142" s="495"/>
      <c r="F142" s="495"/>
      <c r="G142" s="495"/>
      <c r="H142" s="495"/>
      <c r="I142" s="495"/>
      <c r="J142" s="495"/>
      <c r="K142" s="495"/>
      <c r="L142" s="495"/>
      <c r="M142" s="495"/>
      <c r="N142" s="495"/>
      <c r="O142" s="495"/>
      <c r="P142" s="495"/>
      <c r="Q142" s="495"/>
      <c r="R142" s="495"/>
      <c r="S142" s="495"/>
      <c r="T142" s="495"/>
      <c r="U142" s="495"/>
      <c r="V142" s="495"/>
      <c r="W142" s="495"/>
      <c r="X142" s="495"/>
      <c r="Y142" s="495"/>
      <c r="Z142" s="495"/>
    </row>
    <row r="143" ht="12.0" customHeight="1">
      <c r="A143" s="495"/>
      <c r="B143" s="495"/>
      <c r="C143" s="495"/>
      <c r="D143" s="495"/>
      <c r="E143" s="495"/>
      <c r="F143" s="495"/>
      <c r="G143" s="495"/>
      <c r="H143" s="495"/>
      <c r="I143" s="495"/>
      <c r="J143" s="495"/>
      <c r="K143" s="495"/>
      <c r="L143" s="495"/>
      <c r="M143" s="495"/>
      <c r="N143" s="495"/>
      <c r="O143" s="495"/>
      <c r="P143" s="495"/>
      <c r="Q143" s="495"/>
      <c r="R143" s="495"/>
      <c r="S143" s="495"/>
      <c r="T143" s="495"/>
      <c r="U143" s="495"/>
      <c r="V143" s="495"/>
      <c r="W143" s="495"/>
      <c r="X143" s="495"/>
      <c r="Y143" s="495"/>
      <c r="Z143" s="495"/>
    </row>
    <row r="144" ht="12.0" customHeight="1">
      <c r="A144" s="495"/>
      <c r="B144" s="495"/>
      <c r="C144" s="495"/>
      <c r="D144" s="495"/>
      <c r="E144" s="495"/>
      <c r="F144" s="495"/>
      <c r="G144" s="495"/>
      <c r="H144" s="495"/>
      <c r="I144" s="495"/>
      <c r="J144" s="495"/>
      <c r="K144" s="495"/>
      <c r="L144" s="495"/>
      <c r="M144" s="495"/>
      <c r="N144" s="495"/>
      <c r="O144" s="495"/>
      <c r="P144" s="495"/>
      <c r="Q144" s="495"/>
      <c r="R144" s="495"/>
      <c r="S144" s="495"/>
      <c r="T144" s="495"/>
      <c r="U144" s="495"/>
      <c r="V144" s="495"/>
      <c r="W144" s="495"/>
      <c r="X144" s="495"/>
      <c r="Y144" s="495"/>
      <c r="Z144" s="495"/>
    </row>
    <row r="145" ht="12.0" customHeight="1">
      <c r="A145" s="495"/>
      <c r="B145" s="495"/>
      <c r="C145" s="495"/>
      <c r="D145" s="495"/>
      <c r="E145" s="495"/>
      <c r="F145" s="495"/>
      <c r="G145" s="495"/>
      <c r="H145" s="495"/>
      <c r="I145" s="495"/>
      <c r="J145" s="495"/>
      <c r="K145" s="495"/>
      <c r="L145" s="495"/>
      <c r="M145" s="495"/>
      <c r="N145" s="495"/>
      <c r="O145" s="495"/>
      <c r="P145" s="495"/>
      <c r="Q145" s="495"/>
      <c r="R145" s="495"/>
      <c r="S145" s="495"/>
      <c r="T145" s="495"/>
      <c r="U145" s="495"/>
      <c r="V145" s="495"/>
      <c r="W145" s="495"/>
      <c r="X145" s="495"/>
      <c r="Y145" s="495"/>
      <c r="Z145" s="495"/>
    </row>
    <row r="146" ht="12.0" customHeight="1">
      <c r="A146" s="495"/>
      <c r="B146" s="495"/>
      <c r="C146" s="495"/>
      <c r="D146" s="495"/>
      <c r="E146" s="495"/>
      <c r="F146" s="495"/>
      <c r="G146" s="495"/>
      <c r="H146" s="495"/>
      <c r="I146" s="495"/>
      <c r="J146" s="495"/>
      <c r="K146" s="495"/>
      <c r="L146" s="495"/>
      <c r="M146" s="495"/>
      <c r="N146" s="495"/>
      <c r="O146" s="495"/>
      <c r="P146" s="495"/>
      <c r="Q146" s="495"/>
      <c r="R146" s="495"/>
      <c r="S146" s="495"/>
      <c r="T146" s="495"/>
      <c r="U146" s="495"/>
      <c r="V146" s="495"/>
      <c r="W146" s="495"/>
      <c r="X146" s="495"/>
      <c r="Y146" s="495"/>
      <c r="Z146" s="495"/>
    </row>
    <row r="147" ht="12.0" customHeight="1">
      <c r="A147" s="495"/>
      <c r="B147" s="495"/>
      <c r="C147" s="495"/>
      <c r="D147" s="495"/>
      <c r="E147" s="495"/>
      <c r="F147" s="495"/>
      <c r="G147" s="495"/>
      <c r="H147" s="495"/>
      <c r="I147" s="495"/>
      <c r="J147" s="495"/>
      <c r="K147" s="495"/>
      <c r="L147" s="495"/>
      <c r="M147" s="495"/>
      <c r="N147" s="495"/>
      <c r="O147" s="495"/>
      <c r="P147" s="495"/>
      <c r="Q147" s="495"/>
      <c r="R147" s="495"/>
      <c r="S147" s="495"/>
      <c r="T147" s="495"/>
      <c r="U147" s="495"/>
      <c r="V147" s="495"/>
      <c r="W147" s="495"/>
      <c r="X147" s="495"/>
      <c r="Y147" s="495"/>
      <c r="Z147" s="495"/>
    </row>
    <row r="148" ht="12.0" customHeight="1">
      <c r="A148" s="495"/>
      <c r="B148" s="495"/>
      <c r="C148" s="495"/>
      <c r="D148" s="495"/>
      <c r="E148" s="495"/>
      <c r="F148" s="495"/>
      <c r="G148" s="495"/>
      <c r="H148" s="495"/>
      <c r="I148" s="495"/>
      <c r="J148" s="495"/>
      <c r="K148" s="495"/>
      <c r="L148" s="495"/>
      <c r="M148" s="495"/>
      <c r="N148" s="495"/>
      <c r="O148" s="495"/>
      <c r="P148" s="495"/>
      <c r="Q148" s="495"/>
      <c r="R148" s="495"/>
      <c r="S148" s="495"/>
      <c r="T148" s="495"/>
      <c r="U148" s="495"/>
      <c r="V148" s="495"/>
      <c r="W148" s="495"/>
      <c r="X148" s="495"/>
      <c r="Y148" s="495"/>
      <c r="Z148" s="495"/>
    </row>
    <row r="149" ht="12.0" customHeight="1">
      <c r="A149" s="495"/>
      <c r="B149" s="495"/>
      <c r="C149" s="495"/>
      <c r="D149" s="495"/>
      <c r="E149" s="495"/>
      <c r="F149" s="495"/>
      <c r="G149" s="495"/>
      <c r="H149" s="495"/>
      <c r="I149" s="495"/>
      <c r="J149" s="495"/>
      <c r="K149" s="495"/>
      <c r="L149" s="495"/>
      <c r="M149" s="495"/>
      <c r="N149" s="495"/>
      <c r="O149" s="495"/>
      <c r="P149" s="495"/>
      <c r="Q149" s="495"/>
      <c r="R149" s="495"/>
      <c r="S149" s="495"/>
      <c r="T149" s="495"/>
      <c r="U149" s="495"/>
      <c r="V149" s="495"/>
      <c r="W149" s="495"/>
      <c r="X149" s="495"/>
      <c r="Y149" s="495"/>
      <c r="Z149" s="495"/>
    </row>
    <row r="150" ht="12.0" customHeight="1">
      <c r="A150" s="495"/>
      <c r="B150" s="495"/>
      <c r="C150" s="495"/>
      <c r="D150" s="495"/>
      <c r="E150" s="495"/>
      <c r="F150" s="495"/>
      <c r="G150" s="495"/>
      <c r="H150" s="495"/>
      <c r="I150" s="495"/>
      <c r="J150" s="495"/>
      <c r="K150" s="495"/>
      <c r="L150" s="495"/>
      <c r="M150" s="495"/>
      <c r="N150" s="495"/>
      <c r="O150" s="495"/>
      <c r="P150" s="495"/>
      <c r="Q150" s="495"/>
      <c r="R150" s="495"/>
      <c r="S150" s="495"/>
      <c r="T150" s="495"/>
      <c r="U150" s="495"/>
      <c r="V150" s="495"/>
      <c r="W150" s="495"/>
      <c r="X150" s="495"/>
      <c r="Y150" s="495"/>
      <c r="Z150" s="495"/>
    </row>
    <row r="151" ht="12.0" customHeight="1">
      <c r="A151" s="495"/>
      <c r="B151" s="495"/>
      <c r="C151" s="495"/>
      <c r="D151" s="495"/>
      <c r="E151" s="495"/>
      <c r="F151" s="495"/>
      <c r="G151" s="495"/>
      <c r="H151" s="495"/>
      <c r="I151" s="495"/>
      <c r="J151" s="495"/>
      <c r="K151" s="495"/>
      <c r="L151" s="495"/>
      <c r="M151" s="495"/>
      <c r="N151" s="495"/>
      <c r="O151" s="495"/>
      <c r="P151" s="495"/>
      <c r="Q151" s="495"/>
      <c r="R151" s="495"/>
      <c r="S151" s="495"/>
      <c r="T151" s="495"/>
      <c r="U151" s="495"/>
      <c r="V151" s="495"/>
      <c r="W151" s="495"/>
      <c r="X151" s="495"/>
      <c r="Y151" s="495"/>
      <c r="Z151" s="495"/>
    </row>
    <row r="152" ht="12.0" customHeight="1">
      <c r="A152" s="495"/>
      <c r="B152" s="495"/>
      <c r="C152" s="495"/>
      <c r="D152" s="495"/>
      <c r="E152" s="495"/>
      <c r="F152" s="495"/>
      <c r="G152" s="495"/>
      <c r="H152" s="495"/>
      <c r="I152" s="495"/>
      <c r="J152" s="495"/>
      <c r="K152" s="495"/>
      <c r="L152" s="495"/>
      <c r="M152" s="495"/>
      <c r="N152" s="495"/>
      <c r="O152" s="495"/>
      <c r="P152" s="495"/>
      <c r="Q152" s="495"/>
      <c r="R152" s="495"/>
      <c r="S152" s="495"/>
      <c r="T152" s="495"/>
      <c r="U152" s="495"/>
      <c r="V152" s="495"/>
      <c r="W152" s="495"/>
      <c r="X152" s="495"/>
      <c r="Y152" s="495"/>
      <c r="Z152" s="495"/>
    </row>
    <row r="153" ht="12.0" customHeight="1">
      <c r="A153" s="495"/>
      <c r="B153" s="495"/>
      <c r="C153" s="495"/>
      <c r="D153" s="495"/>
      <c r="E153" s="495"/>
      <c r="F153" s="495"/>
      <c r="G153" s="495"/>
      <c r="H153" s="495"/>
      <c r="I153" s="495"/>
      <c r="J153" s="495"/>
      <c r="K153" s="495"/>
      <c r="L153" s="495"/>
      <c r="M153" s="495"/>
      <c r="N153" s="495"/>
      <c r="O153" s="495"/>
      <c r="P153" s="495"/>
      <c r="Q153" s="495"/>
      <c r="R153" s="495"/>
      <c r="S153" s="495"/>
      <c r="T153" s="495"/>
      <c r="U153" s="495"/>
      <c r="V153" s="495"/>
      <c r="W153" s="495"/>
      <c r="X153" s="495"/>
      <c r="Y153" s="495"/>
      <c r="Z153" s="495"/>
    </row>
    <row r="154" ht="12.0" customHeight="1">
      <c r="A154" s="495"/>
      <c r="B154" s="495"/>
      <c r="C154" s="495"/>
      <c r="D154" s="495"/>
      <c r="E154" s="495"/>
      <c r="F154" s="495"/>
      <c r="G154" s="495"/>
      <c r="H154" s="495"/>
      <c r="I154" s="495"/>
      <c r="J154" s="495"/>
      <c r="K154" s="495"/>
      <c r="L154" s="495"/>
      <c r="M154" s="495"/>
      <c r="N154" s="495"/>
      <c r="O154" s="495"/>
      <c r="P154" s="495"/>
      <c r="Q154" s="495"/>
      <c r="R154" s="495"/>
      <c r="S154" s="495"/>
      <c r="T154" s="495"/>
      <c r="U154" s="495"/>
      <c r="V154" s="495"/>
      <c r="W154" s="495"/>
      <c r="X154" s="495"/>
      <c r="Y154" s="495"/>
      <c r="Z154" s="495"/>
    </row>
    <row r="155" ht="12.0" customHeight="1">
      <c r="A155" s="495"/>
      <c r="B155" s="495"/>
      <c r="C155" s="495"/>
      <c r="D155" s="495"/>
      <c r="E155" s="495"/>
      <c r="F155" s="495"/>
      <c r="G155" s="495"/>
      <c r="H155" s="495"/>
      <c r="I155" s="495"/>
      <c r="J155" s="495"/>
      <c r="K155" s="495"/>
      <c r="L155" s="495"/>
      <c r="M155" s="495"/>
      <c r="N155" s="495"/>
      <c r="O155" s="495"/>
      <c r="P155" s="495"/>
      <c r="Q155" s="495"/>
      <c r="R155" s="495"/>
      <c r="S155" s="495"/>
      <c r="T155" s="495"/>
      <c r="U155" s="495"/>
      <c r="V155" s="495"/>
      <c r="W155" s="495"/>
      <c r="X155" s="495"/>
      <c r="Y155" s="495"/>
      <c r="Z155" s="495"/>
    </row>
    <row r="156" ht="12.0" customHeight="1">
      <c r="A156" s="495"/>
      <c r="B156" s="495"/>
      <c r="C156" s="495"/>
      <c r="D156" s="495"/>
      <c r="E156" s="495"/>
      <c r="F156" s="495"/>
      <c r="G156" s="495"/>
      <c r="H156" s="495"/>
      <c r="I156" s="495"/>
      <c r="J156" s="495"/>
      <c r="K156" s="495"/>
      <c r="L156" s="495"/>
      <c r="M156" s="495"/>
      <c r="N156" s="495"/>
      <c r="O156" s="495"/>
      <c r="P156" s="495"/>
      <c r="Q156" s="495"/>
      <c r="R156" s="495"/>
      <c r="S156" s="495"/>
      <c r="T156" s="495"/>
      <c r="U156" s="495"/>
      <c r="V156" s="495"/>
      <c r="W156" s="495"/>
      <c r="X156" s="495"/>
      <c r="Y156" s="495"/>
      <c r="Z156" s="495"/>
    </row>
    <row r="157" ht="12.0" customHeight="1">
      <c r="A157" s="495"/>
      <c r="B157" s="495"/>
      <c r="C157" s="495"/>
      <c r="D157" s="495"/>
      <c r="E157" s="495"/>
      <c r="F157" s="495"/>
      <c r="G157" s="495"/>
      <c r="H157" s="495"/>
      <c r="I157" s="495"/>
      <c r="J157" s="495"/>
      <c r="K157" s="495"/>
      <c r="L157" s="495"/>
      <c r="M157" s="495"/>
      <c r="N157" s="495"/>
      <c r="O157" s="495"/>
      <c r="P157" s="495"/>
      <c r="Q157" s="495"/>
      <c r="R157" s="495"/>
      <c r="S157" s="495"/>
      <c r="T157" s="495"/>
      <c r="U157" s="495"/>
      <c r="V157" s="495"/>
      <c r="W157" s="495"/>
      <c r="X157" s="495"/>
      <c r="Y157" s="495"/>
      <c r="Z157" s="495"/>
    </row>
    <row r="158" ht="12.0" customHeight="1">
      <c r="A158" s="495"/>
      <c r="B158" s="495"/>
      <c r="C158" s="495"/>
      <c r="D158" s="495"/>
      <c r="E158" s="495"/>
      <c r="F158" s="495"/>
      <c r="G158" s="495"/>
      <c r="H158" s="495"/>
      <c r="I158" s="495"/>
      <c r="J158" s="495"/>
      <c r="K158" s="495"/>
      <c r="L158" s="495"/>
      <c r="M158" s="495"/>
      <c r="N158" s="495"/>
      <c r="O158" s="495"/>
      <c r="P158" s="495"/>
      <c r="Q158" s="495"/>
      <c r="R158" s="495"/>
      <c r="S158" s="495"/>
      <c r="T158" s="495"/>
      <c r="U158" s="495"/>
      <c r="V158" s="495"/>
      <c r="W158" s="495"/>
      <c r="X158" s="495"/>
      <c r="Y158" s="495"/>
      <c r="Z158" s="495"/>
    </row>
    <row r="159" ht="12.0" customHeight="1">
      <c r="A159" s="495"/>
      <c r="B159" s="495"/>
      <c r="C159" s="495"/>
      <c r="D159" s="495"/>
      <c r="E159" s="495"/>
      <c r="F159" s="495"/>
      <c r="G159" s="495"/>
      <c r="H159" s="495"/>
      <c r="I159" s="495"/>
      <c r="J159" s="495"/>
      <c r="K159" s="495"/>
      <c r="L159" s="495"/>
      <c r="M159" s="495"/>
      <c r="N159" s="495"/>
      <c r="O159" s="495"/>
      <c r="P159" s="495"/>
      <c r="Q159" s="495"/>
      <c r="R159" s="495"/>
      <c r="S159" s="495"/>
      <c r="T159" s="495"/>
      <c r="U159" s="495"/>
      <c r="V159" s="495"/>
      <c r="W159" s="495"/>
      <c r="X159" s="495"/>
      <c r="Y159" s="495"/>
      <c r="Z159" s="495"/>
    </row>
    <row r="160" ht="12.0" customHeight="1">
      <c r="A160" s="495"/>
      <c r="B160" s="495"/>
      <c r="C160" s="495"/>
      <c r="D160" s="495"/>
      <c r="E160" s="495"/>
      <c r="F160" s="495"/>
      <c r="G160" s="495"/>
      <c r="H160" s="495"/>
      <c r="I160" s="495"/>
      <c r="J160" s="495"/>
      <c r="K160" s="495"/>
      <c r="L160" s="495"/>
      <c r="M160" s="495"/>
      <c r="N160" s="495"/>
      <c r="O160" s="495"/>
      <c r="P160" s="495"/>
      <c r="Q160" s="495"/>
      <c r="R160" s="495"/>
      <c r="S160" s="495"/>
      <c r="T160" s="495"/>
      <c r="U160" s="495"/>
      <c r="V160" s="495"/>
      <c r="W160" s="495"/>
      <c r="X160" s="495"/>
      <c r="Y160" s="495"/>
      <c r="Z160" s="495"/>
    </row>
    <row r="161" ht="12.0" customHeight="1">
      <c r="A161" s="495"/>
      <c r="B161" s="495"/>
      <c r="C161" s="495"/>
      <c r="D161" s="495"/>
      <c r="E161" s="495"/>
      <c r="F161" s="495"/>
      <c r="G161" s="495"/>
      <c r="H161" s="495"/>
      <c r="I161" s="495"/>
      <c r="J161" s="495"/>
      <c r="K161" s="495"/>
      <c r="L161" s="495"/>
      <c r="M161" s="495"/>
      <c r="N161" s="495"/>
      <c r="O161" s="495"/>
      <c r="P161" s="495"/>
      <c r="Q161" s="495"/>
      <c r="R161" s="495"/>
      <c r="S161" s="495"/>
      <c r="T161" s="495"/>
      <c r="U161" s="495"/>
      <c r="V161" s="495"/>
      <c r="W161" s="495"/>
      <c r="X161" s="495"/>
      <c r="Y161" s="495"/>
      <c r="Z161" s="495"/>
    </row>
    <row r="162" ht="12.0" customHeight="1">
      <c r="A162" s="495"/>
      <c r="B162" s="495"/>
      <c r="C162" s="495"/>
      <c r="D162" s="495"/>
      <c r="E162" s="495"/>
      <c r="F162" s="495"/>
      <c r="G162" s="495"/>
      <c r="H162" s="495"/>
      <c r="I162" s="495"/>
      <c r="J162" s="495"/>
      <c r="K162" s="495"/>
      <c r="L162" s="495"/>
      <c r="M162" s="495"/>
      <c r="N162" s="495"/>
      <c r="O162" s="495"/>
      <c r="P162" s="495"/>
      <c r="Q162" s="495"/>
      <c r="R162" s="495"/>
      <c r="S162" s="495"/>
      <c r="T162" s="495"/>
      <c r="U162" s="495"/>
      <c r="V162" s="495"/>
      <c r="W162" s="495"/>
      <c r="X162" s="495"/>
      <c r="Y162" s="495"/>
      <c r="Z162" s="495"/>
    </row>
    <row r="163" ht="12.0" customHeight="1">
      <c r="A163" s="495"/>
      <c r="B163" s="495"/>
      <c r="C163" s="495"/>
      <c r="D163" s="495"/>
      <c r="E163" s="495"/>
      <c r="F163" s="495"/>
      <c r="G163" s="495"/>
      <c r="H163" s="495"/>
      <c r="I163" s="495"/>
      <c r="J163" s="495"/>
      <c r="K163" s="495"/>
      <c r="L163" s="495"/>
      <c r="M163" s="495"/>
      <c r="N163" s="495"/>
      <c r="O163" s="495"/>
      <c r="P163" s="495"/>
      <c r="Q163" s="495"/>
      <c r="R163" s="495"/>
      <c r="S163" s="495"/>
      <c r="T163" s="495"/>
      <c r="U163" s="495"/>
      <c r="V163" s="495"/>
      <c r="W163" s="495"/>
      <c r="X163" s="495"/>
      <c r="Y163" s="495"/>
      <c r="Z163" s="495"/>
    </row>
    <row r="164" ht="12.0" customHeight="1">
      <c r="A164" s="495"/>
      <c r="B164" s="495"/>
      <c r="C164" s="495"/>
      <c r="D164" s="495"/>
      <c r="E164" s="495"/>
      <c r="F164" s="495"/>
      <c r="G164" s="495"/>
      <c r="H164" s="495"/>
      <c r="I164" s="495"/>
      <c r="J164" s="495"/>
      <c r="K164" s="495"/>
      <c r="L164" s="495"/>
      <c r="M164" s="495"/>
      <c r="N164" s="495"/>
      <c r="O164" s="495"/>
      <c r="P164" s="495"/>
      <c r="Q164" s="495"/>
      <c r="R164" s="495"/>
      <c r="S164" s="495"/>
      <c r="T164" s="495"/>
      <c r="U164" s="495"/>
      <c r="V164" s="495"/>
      <c r="W164" s="495"/>
      <c r="X164" s="495"/>
      <c r="Y164" s="495"/>
      <c r="Z164" s="495"/>
    </row>
    <row r="165" ht="12.0" customHeight="1">
      <c r="A165" s="495"/>
      <c r="B165" s="495"/>
      <c r="C165" s="495"/>
      <c r="D165" s="495"/>
      <c r="E165" s="495"/>
      <c r="F165" s="495"/>
      <c r="G165" s="495"/>
      <c r="H165" s="495"/>
      <c r="I165" s="495"/>
      <c r="J165" s="495"/>
      <c r="K165" s="495"/>
      <c r="L165" s="495"/>
      <c r="M165" s="495"/>
      <c r="N165" s="495"/>
      <c r="O165" s="495"/>
      <c r="P165" s="495"/>
      <c r="Q165" s="495"/>
      <c r="R165" s="495"/>
      <c r="S165" s="495"/>
      <c r="T165" s="495"/>
      <c r="U165" s="495"/>
      <c r="V165" s="495"/>
      <c r="W165" s="495"/>
      <c r="X165" s="495"/>
      <c r="Y165" s="495"/>
      <c r="Z165" s="495"/>
    </row>
    <row r="166" ht="12.0" customHeight="1">
      <c r="A166" s="495"/>
      <c r="B166" s="495"/>
      <c r="C166" s="495"/>
      <c r="D166" s="495"/>
      <c r="E166" s="495"/>
      <c r="F166" s="495"/>
      <c r="G166" s="495"/>
      <c r="H166" s="495"/>
      <c r="I166" s="495"/>
      <c r="J166" s="495"/>
      <c r="K166" s="495"/>
      <c r="L166" s="495"/>
      <c r="M166" s="495"/>
      <c r="N166" s="495"/>
      <c r="O166" s="495"/>
      <c r="P166" s="495"/>
      <c r="Q166" s="495"/>
      <c r="R166" s="495"/>
      <c r="S166" s="495"/>
      <c r="T166" s="495"/>
      <c r="U166" s="495"/>
      <c r="V166" s="495"/>
      <c r="W166" s="495"/>
      <c r="X166" s="495"/>
      <c r="Y166" s="495"/>
      <c r="Z166" s="495"/>
    </row>
    <row r="167" ht="12.0" customHeight="1">
      <c r="A167" s="495"/>
      <c r="B167" s="495"/>
      <c r="C167" s="495"/>
      <c r="D167" s="495"/>
      <c r="E167" s="495"/>
      <c r="F167" s="495"/>
      <c r="G167" s="495"/>
      <c r="H167" s="495"/>
      <c r="I167" s="495"/>
      <c r="J167" s="495"/>
      <c r="K167" s="495"/>
      <c r="L167" s="495"/>
      <c r="M167" s="495"/>
      <c r="N167" s="495"/>
      <c r="O167" s="495"/>
      <c r="P167" s="495"/>
      <c r="Q167" s="495"/>
      <c r="R167" s="495"/>
      <c r="S167" s="495"/>
      <c r="T167" s="495"/>
      <c r="U167" s="495"/>
      <c r="V167" s="495"/>
      <c r="W167" s="495"/>
      <c r="X167" s="495"/>
      <c r="Y167" s="495"/>
      <c r="Z167" s="495"/>
    </row>
    <row r="168" ht="12.0" customHeight="1">
      <c r="A168" s="495"/>
      <c r="B168" s="495"/>
      <c r="C168" s="495"/>
      <c r="D168" s="495"/>
      <c r="E168" s="495"/>
      <c r="F168" s="495"/>
      <c r="G168" s="495"/>
      <c r="H168" s="495"/>
      <c r="I168" s="495"/>
      <c r="J168" s="495"/>
      <c r="K168" s="495"/>
      <c r="L168" s="495"/>
      <c r="M168" s="495"/>
      <c r="N168" s="495"/>
      <c r="O168" s="495"/>
      <c r="P168" s="495"/>
      <c r="Q168" s="495"/>
      <c r="R168" s="495"/>
      <c r="S168" s="495"/>
      <c r="T168" s="495"/>
      <c r="U168" s="495"/>
      <c r="V168" s="495"/>
      <c r="W168" s="495"/>
      <c r="X168" s="495"/>
      <c r="Y168" s="495"/>
      <c r="Z168" s="495"/>
    </row>
    <row r="169" ht="12.0" customHeight="1">
      <c r="A169" s="495"/>
      <c r="B169" s="495"/>
      <c r="C169" s="495"/>
      <c r="D169" s="495"/>
      <c r="E169" s="495"/>
      <c r="F169" s="495"/>
      <c r="G169" s="495"/>
      <c r="H169" s="495"/>
      <c r="I169" s="495"/>
      <c r="J169" s="495"/>
      <c r="K169" s="495"/>
      <c r="L169" s="495"/>
      <c r="M169" s="495"/>
      <c r="N169" s="495"/>
      <c r="O169" s="495"/>
      <c r="P169" s="495"/>
      <c r="Q169" s="495"/>
      <c r="R169" s="495"/>
      <c r="S169" s="495"/>
      <c r="T169" s="495"/>
      <c r="U169" s="495"/>
      <c r="V169" s="495"/>
      <c r="W169" s="495"/>
      <c r="X169" s="495"/>
      <c r="Y169" s="495"/>
      <c r="Z169" s="495"/>
    </row>
    <row r="170" ht="12.0" customHeight="1">
      <c r="A170" s="495"/>
      <c r="B170" s="495"/>
      <c r="C170" s="495"/>
      <c r="D170" s="495"/>
      <c r="E170" s="495"/>
      <c r="F170" s="495"/>
      <c r="G170" s="495"/>
      <c r="H170" s="495"/>
      <c r="I170" s="495"/>
      <c r="J170" s="495"/>
      <c r="K170" s="495"/>
      <c r="L170" s="495"/>
      <c r="M170" s="495"/>
      <c r="N170" s="495"/>
      <c r="O170" s="495"/>
      <c r="P170" s="495"/>
      <c r="Q170" s="495"/>
      <c r="R170" s="495"/>
      <c r="S170" s="495"/>
      <c r="T170" s="495"/>
      <c r="U170" s="495"/>
      <c r="V170" s="495"/>
      <c r="W170" s="495"/>
      <c r="X170" s="495"/>
      <c r="Y170" s="495"/>
      <c r="Z170" s="495"/>
    </row>
    <row r="171" ht="12.0" customHeight="1">
      <c r="A171" s="495"/>
      <c r="B171" s="495"/>
      <c r="C171" s="495"/>
      <c r="D171" s="495"/>
      <c r="E171" s="495"/>
      <c r="F171" s="495"/>
      <c r="G171" s="495"/>
      <c r="H171" s="495"/>
      <c r="I171" s="495"/>
      <c r="J171" s="495"/>
      <c r="K171" s="495"/>
      <c r="L171" s="495"/>
      <c r="M171" s="495"/>
      <c r="N171" s="495"/>
      <c r="O171" s="495"/>
      <c r="P171" s="495"/>
      <c r="Q171" s="495"/>
      <c r="R171" s="495"/>
      <c r="S171" s="495"/>
      <c r="T171" s="495"/>
      <c r="U171" s="495"/>
      <c r="V171" s="495"/>
      <c r="W171" s="495"/>
      <c r="X171" s="495"/>
      <c r="Y171" s="495"/>
      <c r="Z171" s="495"/>
    </row>
    <row r="172" ht="12.0" customHeight="1">
      <c r="A172" s="495"/>
      <c r="B172" s="495"/>
      <c r="C172" s="495"/>
      <c r="D172" s="495"/>
      <c r="E172" s="495"/>
      <c r="F172" s="495"/>
      <c r="G172" s="495"/>
      <c r="H172" s="495"/>
      <c r="I172" s="495"/>
      <c r="J172" s="495"/>
      <c r="K172" s="495"/>
      <c r="L172" s="495"/>
      <c r="M172" s="495"/>
      <c r="N172" s="495"/>
      <c r="O172" s="495"/>
      <c r="P172" s="495"/>
      <c r="Q172" s="495"/>
      <c r="R172" s="495"/>
      <c r="S172" s="495"/>
      <c r="T172" s="495"/>
      <c r="U172" s="495"/>
      <c r="V172" s="495"/>
      <c r="W172" s="495"/>
      <c r="X172" s="495"/>
      <c r="Y172" s="495"/>
      <c r="Z172" s="495"/>
    </row>
    <row r="173" ht="12.0" customHeight="1">
      <c r="A173" s="495"/>
      <c r="B173" s="495"/>
      <c r="C173" s="495"/>
      <c r="D173" s="495"/>
      <c r="E173" s="495"/>
      <c r="F173" s="495"/>
      <c r="G173" s="495"/>
      <c r="H173" s="495"/>
      <c r="I173" s="495"/>
      <c r="J173" s="495"/>
      <c r="K173" s="495"/>
      <c r="L173" s="495"/>
      <c r="M173" s="495"/>
      <c r="N173" s="495"/>
      <c r="O173" s="495"/>
      <c r="P173" s="495"/>
      <c r="Q173" s="495"/>
      <c r="R173" s="495"/>
      <c r="S173" s="495"/>
      <c r="T173" s="495"/>
      <c r="U173" s="495"/>
      <c r="V173" s="495"/>
      <c r="W173" s="495"/>
      <c r="X173" s="495"/>
      <c r="Y173" s="495"/>
      <c r="Z173" s="495"/>
    </row>
    <row r="174" ht="12.0" customHeight="1">
      <c r="A174" s="495"/>
      <c r="B174" s="495"/>
      <c r="C174" s="495"/>
      <c r="D174" s="495"/>
      <c r="E174" s="495"/>
      <c r="F174" s="495"/>
      <c r="G174" s="495"/>
      <c r="H174" s="495"/>
      <c r="I174" s="495"/>
      <c r="J174" s="495"/>
      <c r="K174" s="495"/>
      <c r="L174" s="495"/>
      <c r="M174" s="495"/>
      <c r="N174" s="495"/>
      <c r="O174" s="495"/>
      <c r="P174" s="495"/>
      <c r="Q174" s="495"/>
      <c r="R174" s="495"/>
      <c r="S174" s="495"/>
      <c r="T174" s="495"/>
      <c r="U174" s="495"/>
      <c r="V174" s="495"/>
      <c r="W174" s="495"/>
      <c r="X174" s="495"/>
      <c r="Y174" s="495"/>
      <c r="Z174" s="495"/>
    </row>
    <row r="175" ht="12.0" customHeight="1">
      <c r="A175" s="495"/>
      <c r="B175" s="495"/>
      <c r="C175" s="495"/>
      <c r="D175" s="495"/>
      <c r="E175" s="495"/>
      <c r="F175" s="495"/>
      <c r="G175" s="495"/>
      <c r="H175" s="495"/>
      <c r="I175" s="495"/>
      <c r="J175" s="495"/>
      <c r="K175" s="495"/>
      <c r="L175" s="495"/>
      <c r="M175" s="495"/>
      <c r="N175" s="495"/>
      <c r="O175" s="495"/>
      <c r="P175" s="495"/>
      <c r="Q175" s="495"/>
      <c r="R175" s="495"/>
      <c r="S175" s="495"/>
      <c r="T175" s="495"/>
      <c r="U175" s="495"/>
      <c r="V175" s="495"/>
      <c r="W175" s="495"/>
      <c r="X175" s="495"/>
      <c r="Y175" s="495"/>
      <c r="Z175" s="495"/>
    </row>
    <row r="176" ht="12.0" customHeight="1">
      <c r="A176" s="495"/>
      <c r="B176" s="495"/>
      <c r="C176" s="495"/>
      <c r="D176" s="495"/>
      <c r="E176" s="495"/>
      <c r="F176" s="495"/>
      <c r="G176" s="495"/>
      <c r="H176" s="495"/>
      <c r="I176" s="495"/>
      <c r="J176" s="495"/>
      <c r="K176" s="495"/>
      <c r="L176" s="495"/>
      <c r="M176" s="495"/>
      <c r="N176" s="495"/>
      <c r="O176" s="495"/>
      <c r="P176" s="495"/>
      <c r="Q176" s="495"/>
      <c r="R176" s="495"/>
      <c r="S176" s="495"/>
      <c r="T176" s="495"/>
      <c r="U176" s="495"/>
      <c r="V176" s="495"/>
      <c r="W176" s="495"/>
      <c r="X176" s="495"/>
      <c r="Y176" s="495"/>
      <c r="Z176" s="495"/>
    </row>
    <row r="177" ht="12.0" customHeight="1">
      <c r="A177" s="495"/>
      <c r="B177" s="495"/>
      <c r="C177" s="495"/>
      <c r="D177" s="495"/>
      <c r="E177" s="495"/>
      <c r="F177" s="495"/>
      <c r="G177" s="495"/>
      <c r="H177" s="495"/>
      <c r="I177" s="495"/>
      <c r="J177" s="495"/>
      <c r="K177" s="495"/>
      <c r="L177" s="495"/>
      <c r="M177" s="495"/>
      <c r="N177" s="495"/>
      <c r="O177" s="495"/>
      <c r="P177" s="495"/>
      <c r="Q177" s="495"/>
      <c r="R177" s="495"/>
      <c r="S177" s="495"/>
      <c r="T177" s="495"/>
      <c r="U177" s="495"/>
      <c r="V177" s="495"/>
      <c r="W177" s="495"/>
      <c r="X177" s="495"/>
      <c r="Y177" s="495"/>
      <c r="Z177" s="495"/>
    </row>
    <row r="178" ht="12.0" customHeight="1">
      <c r="A178" s="495"/>
      <c r="B178" s="495"/>
      <c r="C178" s="495"/>
      <c r="D178" s="495"/>
      <c r="E178" s="495"/>
      <c r="F178" s="495"/>
      <c r="G178" s="495"/>
      <c r="H178" s="495"/>
      <c r="I178" s="495"/>
      <c r="J178" s="495"/>
      <c r="K178" s="495"/>
      <c r="L178" s="495"/>
      <c r="M178" s="495"/>
      <c r="N178" s="495"/>
      <c r="O178" s="495"/>
      <c r="P178" s="495"/>
      <c r="Q178" s="495"/>
      <c r="R178" s="495"/>
      <c r="S178" s="495"/>
      <c r="T178" s="495"/>
      <c r="U178" s="495"/>
      <c r="V178" s="495"/>
      <c r="W178" s="495"/>
      <c r="X178" s="495"/>
      <c r="Y178" s="495"/>
      <c r="Z178" s="495"/>
    </row>
    <row r="179" ht="12.0" customHeight="1">
      <c r="A179" s="495"/>
      <c r="B179" s="495"/>
      <c r="C179" s="495"/>
      <c r="D179" s="495"/>
      <c r="E179" s="495"/>
      <c r="F179" s="495"/>
      <c r="G179" s="495"/>
      <c r="H179" s="495"/>
      <c r="I179" s="495"/>
      <c r="J179" s="495"/>
      <c r="K179" s="495"/>
      <c r="L179" s="495"/>
      <c r="M179" s="495"/>
      <c r="N179" s="495"/>
      <c r="O179" s="495"/>
      <c r="P179" s="495"/>
      <c r="Q179" s="495"/>
      <c r="R179" s="495"/>
      <c r="S179" s="495"/>
      <c r="T179" s="495"/>
      <c r="U179" s="495"/>
      <c r="V179" s="495"/>
      <c r="W179" s="495"/>
      <c r="X179" s="495"/>
      <c r="Y179" s="495"/>
      <c r="Z179" s="495"/>
    </row>
    <row r="180" ht="12.0" customHeight="1">
      <c r="A180" s="495"/>
      <c r="B180" s="495"/>
      <c r="C180" s="495"/>
      <c r="D180" s="495"/>
      <c r="E180" s="495"/>
      <c r="F180" s="495"/>
      <c r="G180" s="495"/>
      <c r="H180" s="495"/>
      <c r="I180" s="495"/>
      <c r="J180" s="495"/>
      <c r="K180" s="495"/>
      <c r="L180" s="495"/>
      <c r="M180" s="495"/>
      <c r="N180" s="495"/>
      <c r="O180" s="495"/>
      <c r="P180" s="495"/>
      <c r="Q180" s="495"/>
      <c r="R180" s="495"/>
      <c r="S180" s="495"/>
      <c r="T180" s="495"/>
      <c r="U180" s="495"/>
      <c r="V180" s="495"/>
      <c r="W180" s="495"/>
      <c r="X180" s="495"/>
      <c r="Y180" s="495"/>
      <c r="Z180" s="495"/>
    </row>
    <row r="181" ht="12.0" customHeight="1">
      <c r="A181" s="495"/>
      <c r="B181" s="495"/>
      <c r="C181" s="495"/>
      <c r="D181" s="495"/>
      <c r="E181" s="495"/>
      <c r="F181" s="495"/>
      <c r="G181" s="495"/>
      <c r="H181" s="495"/>
      <c r="I181" s="495"/>
      <c r="J181" s="495"/>
      <c r="K181" s="495"/>
      <c r="L181" s="495"/>
      <c r="M181" s="495"/>
      <c r="N181" s="495"/>
      <c r="O181" s="495"/>
      <c r="P181" s="495"/>
      <c r="Q181" s="495"/>
      <c r="R181" s="495"/>
      <c r="S181" s="495"/>
      <c r="T181" s="495"/>
      <c r="U181" s="495"/>
      <c r="V181" s="495"/>
      <c r="W181" s="495"/>
      <c r="X181" s="495"/>
      <c r="Y181" s="495"/>
      <c r="Z181" s="495"/>
    </row>
    <row r="182" ht="12.0" customHeight="1">
      <c r="A182" s="495"/>
      <c r="B182" s="495"/>
      <c r="C182" s="495"/>
      <c r="D182" s="495"/>
      <c r="E182" s="495"/>
      <c r="F182" s="495"/>
      <c r="G182" s="495"/>
      <c r="H182" s="495"/>
      <c r="I182" s="495"/>
      <c r="J182" s="495"/>
      <c r="K182" s="495"/>
      <c r="L182" s="495"/>
      <c r="M182" s="495"/>
      <c r="N182" s="495"/>
      <c r="O182" s="495"/>
      <c r="P182" s="495"/>
      <c r="Q182" s="495"/>
      <c r="R182" s="495"/>
      <c r="S182" s="495"/>
      <c r="T182" s="495"/>
      <c r="U182" s="495"/>
      <c r="V182" s="495"/>
      <c r="W182" s="495"/>
      <c r="X182" s="495"/>
      <c r="Y182" s="495"/>
      <c r="Z182" s="495"/>
    </row>
    <row r="183" ht="12.0" customHeight="1">
      <c r="A183" s="495"/>
      <c r="B183" s="495"/>
      <c r="C183" s="495"/>
      <c r="D183" s="495"/>
      <c r="E183" s="495"/>
      <c r="F183" s="495"/>
      <c r="G183" s="495"/>
      <c r="H183" s="495"/>
      <c r="I183" s="495"/>
      <c r="J183" s="495"/>
      <c r="K183" s="495"/>
      <c r="L183" s="495"/>
      <c r="M183" s="495"/>
      <c r="N183" s="495"/>
      <c r="O183" s="495"/>
      <c r="P183" s="495"/>
      <c r="Q183" s="495"/>
      <c r="R183" s="495"/>
      <c r="S183" s="495"/>
      <c r="T183" s="495"/>
      <c r="U183" s="495"/>
      <c r="V183" s="495"/>
      <c r="W183" s="495"/>
      <c r="X183" s="495"/>
      <c r="Y183" s="495"/>
      <c r="Z183" s="495"/>
    </row>
    <row r="184" ht="12.0" customHeight="1">
      <c r="A184" s="495"/>
      <c r="B184" s="495"/>
      <c r="C184" s="495"/>
      <c r="D184" s="495"/>
      <c r="E184" s="495"/>
      <c r="F184" s="495"/>
      <c r="G184" s="495"/>
      <c r="H184" s="495"/>
      <c r="I184" s="495"/>
      <c r="J184" s="495"/>
      <c r="K184" s="495"/>
      <c r="L184" s="495"/>
      <c r="M184" s="495"/>
      <c r="N184" s="495"/>
      <c r="O184" s="495"/>
      <c r="P184" s="495"/>
      <c r="Q184" s="495"/>
      <c r="R184" s="495"/>
      <c r="S184" s="495"/>
      <c r="T184" s="495"/>
      <c r="U184" s="495"/>
      <c r="V184" s="495"/>
      <c r="W184" s="495"/>
      <c r="X184" s="495"/>
      <c r="Y184" s="495"/>
      <c r="Z184" s="495"/>
    </row>
    <row r="185" ht="12.0" customHeight="1">
      <c r="A185" s="495"/>
      <c r="B185" s="495"/>
      <c r="C185" s="495"/>
      <c r="D185" s="495"/>
      <c r="E185" s="495"/>
      <c r="F185" s="495"/>
      <c r="G185" s="495"/>
      <c r="H185" s="495"/>
      <c r="I185" s="495"/>
      <c r="J185" s="495"/>
      <c r="K185" s="495"/>
      <c r="L185" s="495"/>
      <c r="M185" s="495"/>
      <c r="N185" s="495"/>
      <c r="O185" s="495"/>
      <c r="P185" s="495"/>
      <c r="Q185" s="495"/>
      <c r="R185" s="495"/>
      <c r="S185" s="495"/>
      <c r="T185" s="495"/>
      <c r="U185" s="495"/>
      <c r="V185" s="495"/>
      <c r="W185" s="495"/>
      <c r="X185" s="495"/>
      <c r="Y185" s="495"/>
      <c r="Z185" s="495"/>
    </row>
    <row r="186" ht="12.0" customHeight="1">
      <c r="A186" s="495"/>
      <c r="B186" s="495"/>
      <c r="C186" s="495"/>
      <c r="D186" s="495"/>
      <c r="E186" s="495"/>
      <c r="F186" s="495"/>
      <c r="G186" s="495"/>
      <c r="H186" s="495"/>
      <c r="I186" s="495"/>
      <c r="J186" s="495"/>
      <c r="K186" s="495"/>
      <c r="L186" s="495"/>
      <c r="M186" s="495"/>
      <c r="N186" s="495"/>
      <c r="O186" s="495"/>
      <c r="P186" s="495"/>
      <c r="Q186" s="495"/>
      <c r="R186" s="495"/>
      <c r="S186" s="495"/>
      <c r="T186" s="495"/>
      <c r="U186" s="495"/>
      <c r="V186" s="495"/>
      <c r="W186" s="495"/>
      <c r="X186" s="495"/>
      <c r="Y186" s="495"/>
      <c r="Z186" s="495"/>
    </row>
    <row r="187" ht="12.0" customHeight="1">
      <c r="A187" s="495"/>
      <c r="B187" s="495"/>
      <c r="C187" s="495"/>
      <c r="D187" s="495"/>
      <c r="E187" s="495"/>
      <c r="F187" s="495"/>
      <c r="G187" s="495"/>
      <c r="H187" s="495"/>
      <c r="I187" s="495"/>
      <c r="J187" s="495"/>
      <c r="K187" s="495"/>
      <c r="L187" s="495"/>
      <c r="M187" s="495"/>
      <c r="N187" s="495"/>
      <c r="O187" s="495"/>
      <c r="P187" s="495"/>
      <c r="Q187" s="495"/>
      <c r="R187" s="495"/>
      <c r="S187" s="495"/>
      <c r="T187" s="495"/>
      <c r="U187" s="495"/>
      <c r="V187" s="495"/>
      <c r="W187" s="495"/>
      <c r="X187" s="495"/>
      <c r="Y187" s="495"/>
      <c r="Z187" s="495"/>
    </row>
    <row r="188" ht="12.0" customHeight="1">
      <c r="A188" s="495"/>
      <c r="B188" s="495"/>
      <c r="C188" s="495"/>
      <c r="D188" s="495"/>
      <c r="E188" s="495"/>
      <c r="F188" s="495"/>
      <c r="G188" s="495"/>
      <c r="H188" s="495"/>
      <c r="I188" s="495"/>
      <c r="J188" s="495"/>
      <c r="K188" s="495"/>
      <c r="L188" s="495"/>
      <c r="M188" s="495"/>
      <c r="N188" s="495"/>
      <c r="O188" s="495"/>
      <c r="P188" s="495"/>
      <c r="Q188" s="495"/>
      <c r="R188" s="495"/>
      <c r="S188" s="495"/>
      <c r="T188" s="495"/>
      <c r="U188" s="495"/>
      <c r="V188" s="495"/>
      <c r="W188" s="495"/>
      <c r="X188" s="495"/>
      <c r="Y188" s="495"/>
      <c r="Z188" s="495"/>
    </row>
    <row r="189" ht="12.0" customHeight="1">
      <c r="A189" s="495"/>
      <c r="B189" s="495"/>
      <c r="C189" s="495"/>
      <c r="D189" s="495"/>
      <c r="E189" s="495"/>
      <c r="F189" s="495"/>
      <c r="G189" s="495"/>
      <c r="H189" s="495"/>
      <c r="I189" s="495"/>
      <c r="J189" s="495"/>
      <c r="K189" s="495"/>
      <c r="L189" s="495"/>
      <c r="M189" s="495"/>
      <c r="N189" s="495"/>
      <c r="O189" s="495"/>
      <c r="P189" s="495"/>
      <c r="Q189" s="495"/>
      <c r="R189" s="495"/>
      <c r="S189" s="495"/>
      <c r="T189" s="495"/>
      <c r="U189" s="495"/>
      <c r="V189" s="495"/>
      <c r="W189" s="495"/>
      <c r="X189" s="495"/>
      <c r="Y189" s="495"/>
      <c r="Z189" s="495"/>
    </row>
    <row r="190" ht="12.0" customHeight="1">
      <c r="A190" s="495"/>
      <c r="B190" s="495"/>
      <c r="C190" s="495"/>
      <c r="D190" s="495"/>
      <c r="E190" s="495"/>
      <c r="F190" s="495"/>
      <c r="G190" s="495"/>
      <c r="H190" s="495"/>
      <c r="I190" s="495"/>
      <c r="J190" s="495"/>
      <c r="K190" s="495"/>
      <c r="L190" s="495"/>
      <c r="M190" s="495"/>
      <c r="N190" s="495"/>
      <c r="O190" s="495"/>
      <c r="P190" s="495"/>
      <c r="Q190" s="495"/>
      <c r="R190" s="495"/>
      <c r="S190" s="495"/>
      <c r="T190" s="495"/>
      <c r="U190" s="495"/>
      <c r="V190" s="495"/>
      <c r="W190" s="495"/>
      <c r="X190" s="495"/>
      <c r="Y190" s="495"/>
      <c r="Z190" s="495"/>
    </row>
    <row r="191" ht="12.0" customHeight="1">
      <c r="A191" s="495"/>
      <c r="B191" s="495"/>
      <c r="C191" s="495"/>
      <c r="D191" s="495"/>
      <c r="E191" s="495"/>
      <c r="F191" s="495"/>
      <c r="G191" s="495"/>
      <c r="H191" s="495"/>
      <c r="I191" s="495"/>
      <c r="J191" s="495"/>
      <c r="K191" s="495"/>
      <c r="L191" s="495"/>
      <c r="M191" s="495"/>
      <c r="N191" s="495"/>
      <c r="O191" s="495"/>
      <c r="P191" s="495"/>
      <c r="Q191" s="495"/>
      <c r="R191" s="495"/>
      <c r="S191" s="495"/>
      <c r="T191" s="495"/>
      <c r="U191" s="495"/>
      <c r="V191" s="495"/>
      <c r="W191" s="495"/>
      <c r="X191" s="495"/>
      <c r="Y191" s="495"/>
      <c r="Z191" s="495"/>
    </row>
    <row r="192" ht="12.0" customHeight="1">
      <c r="A192" s="495"/>
      <c r="B192" s="495"/>
      <c r="C192" s="495"/>
      <c r="D192" s="495"/>
      <c r="E192" s="495"/>
      <c r="F192" s="495"/>
      <c r="G192" s="495"/>
      <c r="H192" s="495"/>
      <c r="I192" s="495"/>
      <c r="J192" s="495"/>
      <c r="K192" s="495"/>
      <c r="L192" s="495"/>
      <c r="M192" s="495"/>
      <c r="N192" s="495"/>
      <c r="O192" s="495"/>
      <c r="P192" s="495"/>
      <c r="Q192" s="495"/>
      <c r="R192" s="495"/>
      <c r="S192" s="495"/>
      <c r="T192" s="495"/>
      <c r="U192" s="495"/>
      <c r="V192" s="495"/>
      <c r="W192" s="495"/>
      <c r="X192" s="495"/>
      <c r="Y192" s="495"/>
      <c r="Z192" s="495"/>
    </row>
    <row r="193" ht="12.0" customHeight="1">
      <c r="A193" s="495"/>
      <c r="B193" s="495"/>
      <c r="C193" s="495"/>
      <c r="D193" s="495"/>
      <c r="E193" s="495"/>
      <c r="F193" s="495"/>
      <c r="G193" s="495"/>
      <c r="H193" s="495"/>
      <c r="I193" s="495"/>
      <c r="J193" s="495"/>
      <c r="K193" s="495"/>
      <c r="L193" s="495"/>
      <c r="M193" s="495"/>
      <c r="N193" s="495"/>
      <c r="O193" s="495"/>
      <c r="P193" s="495"/>
      <c r="Q193" s="495"/>
      <c r="R193" s="495"/>
      <c r="S193" s="495"/>
      <c r="T193" s="495"/>
      <c r="U193" s="495"/>
      <c r="V193" s="495"/>
      <c r="W193" s="495"/>
      <c r="X193" s="495"/>
      <c r="Y193" s="495"/>
      <c r="Z193" s="495"/>
    </row>
    <row r="194" ht="12.0" customHeight="1">
      <c r="A194" s="495"/>
      <c r="B194" s="495"/>
      <c r="C194" s="495"/>
      <c r="D194" s="495"/>
      <c r="E194" s="495"/>
      <c r="F194" s="495"/>
      <c r="G194" s="495"/>
      <c r="H194" s="495"/>
      <c r="I194" s="495"/>
      <c r="J194" s="495"/>
      <c r="K194" s="495"/>
      <c r="L194" s="495"/>
      <c r="M194" s="495"/>
      <c r="N194" s="495"/>
      <c r="O194" s="495"/>
      <c r="P194" s="495"/>
      <c r="Q194" s="495"/>
      <c r="R194" s="495"/>
      <c r="S194" s="495"/>
      <c r="T194" s="495"/>
      <c r="U194" s="495"/>
      <c r="V194" s="495"/>
      <c r="W194" s="495"/>
      <c r="X194" s="495"/>
      <c r="Y194" s="495"/>
      <c r="Z194" s="495"/>
    </row>
    <row r="195" ht="12.0" customHeight="1">
      <c r="A195" s="495"/>
      <c r="B195" s="495"/>
      <c r="C195" s="495"/>
      <c r="D195" s="495"/>
      <c r="E195" s="495"/>
      <c r="F195" s="495"/>
      <c r="G195" s="495"/>
      <c r="H195" s="495"/>
      <c r="I195" s="495"/>
      <c r="J195" s="495"/>
      <c r="K195" s="495"/>
      <c r="L195" s="495"/>
      <c r="M195" s="495"/>
      <c r="N195" s="495"/>
      <c r="O195" s="495"/>
      <c r="P195" s="495"/>
      <c r="Q195" s="495"/>
      <c r="R195" s="495"/>
      <c r="S195" s="495"/>
      <c r="T195" s="495"/>
      <c r="U195" s="495"/>
      <c r="V195" s="495"/>
      <c r="W195" s="495"/>
      <c r="X195" s="495"/>
      <c r="Y195" s="495"/>
      <c r="Z195" s="495"/>
    </row>
    <row r="196" ht="12.0" customHeight="1">
      <c r="A196" s="495"/>
      <c r="B196" s="495"/>
      <c r="C196" s="495"/>
      <c r="D196" s="495"/>
      <c r="E196" s="495"/>
      <c r="F196" s="495"/>
      <c r="G196" s="495"/>
      <c r="H196" s="495"/>
      <c r="I196" s="495"/>
      <c r="J196" s="495"/>
      <c r="K196" s="495"/>
      <c r="L196" s="495"/>
      <c r="M196" s="495"/>
      <c r="N196" s="495"/>
      <c r="O196" s="495"/>
      <c r="P196" s="495"/>
      <c r="Q196" s="495"/>
      <c r="R196" s="495"/>
      <c r="S196" s="495"/>
      <c r="T196" s="495"/>
      <c r="U196" s="495"/>
      <c r="V196" s="495"/>
      <c r="W196" s="495"/>
      <c r="X196" s="495"/>
      <c r="Y196" s="495"/>
      <c r="Z196" s="495"/>
    </row>
    <row r="197" ht="12.0" customHeight="1">
      <c r="A197" s="495"/>
      <c r="B197" s="495"/>
      <c r="C197" s="495"/>
      <c r="D197" s="495"/>
      <c r="E197" s="495"/>
      <c r="F197" s="495"/>
      <c r="G197" s="495"/>
      <c r="H197" s="495"/>
      <c r="I197" s="495"/>
      <c r="J197" s="495"/>
      <c r="K197" s="495"/>
      <c r="L197" s="495"/>
      <c r="M197" s="495"/>
      <c r="N197" s="495"/>
      <c r="O197" s="495"/>
      <c r="P197" s="495"/>
      <c r="Q197" s="495"/>
      <c r="R197" s="495"/>
      <c r="S197" s="495"/>
      <c r="T197" s="495"/>
      <c r="U197" s="495"/>
      <c r="V197" s="495"/>
      <c r="W197" s="495"/>
      <c r="X197" s="495"/>
      <c r="Y197" s="495"/>
      <c r="Z197" s="495"/>
    </row>
    <row r="198" ht="12.0" customHeight="1">
      <c r="A198" s="495"/>
      <c r="B198" s="495"/>
      <c r="C198" s="495"/>
      <c r="D198" s="495"/>
      <c r="E198" s="495"/>
      <c r="F198" s="495"/>
      <c r="G198" s="495"/>
      <c r="H198" s="495"/>
      <c r="I198" s="495"/>
      <c r="J198" s="495"/>
      <c r="K198" s="495"/>
      <c r="L198" s="495"/>
      <c r="M198" s="495"/>
      <c r="N198" s="495"/>
      <c r="O198" s="495"/>
      <c r="P198" s="495"/>
      <c r="Q198" s="495"/>
      <c r="R198" s="495"/>
      <c r="S198" s="495"/>
      <c r="T198" s="495"/>
      <c r="U198" s="495"/>
      <c r="V198" s="495"/>
      <c r="W198" s="495"/>
      <c r="X198" s="495"/>
      <c r="Y198" s="495"/>
      <c r="Z198" s="495"/>
    </row>
    <row r="199" ht="12.0" customHeight="1">
      <c r="A199" s="495"/>
      <c r="B199" s="495"/>
      <c r="C199" s="495"/>
      <c r="D199" s="495"/>
      <c r="E199" s="495"/>
      <c r="F199" s="495"/>
      <c r="G199" s="495"/>
      <c r="H199" s="495"/>
      <c r="I199" s="495"/>
      <c r="J199" s="495"/>
      <c r="K199" s="495"/>
      <c r="L199" s="495"/>
      <c r="M199" s="495"/>
      <c r="N199" s="495"/>
      <c r="O199" s="495"/>
      <c r="P199" s="495"/>
      <c r="Q199" s="495"/>
      <c r="R199" s="495"/>
      <c r="S199" s="495"/>
      <c r="T199" s="495"/>
      <c r="U199" s="495"/>
      <c r="V199" s="495"/>
      <c r="W199" s="495"/>
      <c r="X199" s="495"/>
      <c r="Y199" s="495"/>
      <c r="Z199" s="495"/>
    </row>
    <row r="200" ht="12.0" customHeight="1">
      <c r="A200" s="495"/>
      <c r="B200" s="495"/>
      <c r="C200" s="495"/>
      <c r="D200" s="495"/>
      <c r="E200" s="495"/>
      <c r="F200" s="495"/>
      <c r="G200" s="495"/>
      <c r="H200" s="495"/>
      <c r="I200" s="495"/>
      <c r="J200" s="495"/>
      <c r="K200" s="495"/>
      <c r="L200" s="495"/>
      <c r="M200" s="495"/>
      <c r="N200" s="495"/>
      <c r="O200" s="495"/>
      <c r="P200" s="495"/>
      <c r="Q200" s="495"/>
      <c r="R200" s="495"/>
      <c r="S200" s="495"/>
      <c r="T200" s="495"/>
      <c r="U200" s="495"/>
      <c r="V200" s="495"/>
      <c r="W200" s="495"/>
      <c r="X200" s="495"/>
      <c r="Y200" s="495"/>
      <c r="Z200" s="495"/>
    </row>
    <row r="201" ht="12.0" customHeight="1">
      <c r="A201" s="495"/>
      <c r="B201" s="495"/>
      <c r="C201" s="495"/>
      <c r="D201" s="495"/>
      <c r="E201" s="495"/>
      <c r="F201" s="495"/>
      <c r="G201" s="495"/>
      <c r="H201" s="495"/>
      <c r="I201" s="495"/>
      <c r="J201" s="495"/>
      <c r="K201" s="495"/>
      <c r="L201" s="495"/>
      <c r="M201" s="495"/>
      <c r="N201" s="495"/>
      <c r="O201" s="495"/>
      <c r="P201" s="495"/>
      <c r="Q201" s="495"/>
      <c r="R201" s="495"/>
      <c r="S201" s="495"/>
      <c r="T201" s="495"/>
      <c r="U201" s="495"/>
      <c r="V201" s="495"/>
      <c r="W201" s="495"/>
      <c r="X201" s="495"/>
      <c r="Y201" s="495"/>
      <c r="Z201" s="495"/>
    </row>
    <row r="202" ht="12.0" customHeight="1">
      <c r="A202" s="495"/>
      <c r="B202" s="495"/>
      <c r="C202" s="495"/>
      <c r="D202" s="495"/>
      <c r="E202" s="495"/>
      <c r="F202" s="495"/>
      <c r="G202" s="495"/>
      <c r="H202" s="495"/>
      <c r="I202" s="495"/>
      <c r="J202" s="495"/>
      <c r="K202" s="495"/>
      <c r="L202" s="495"/>
      <c r="M202" s="495"/>
      <c r="N202" s="495"/>
      <c r="O202" s="495"/>
      <c r="P202" s="495"/>
      <c r="Q202" s="495"/>
      <c r="R202" s="495"/>
      <c r="S202" s="495"/>
      <c r="T202" s="495"/>
      <c r="U202" s="495"/>
      <c r="V202" s="495"/>
      <c r="W202" s="495"/>
      <c r="X202" s="495"/>
      <c r="Y202" s="495"/>
      <c r="Z202" s="495"/>
    </row>
    <row r="203" ht="12.0" customHeight="1">
      <c r="A203" s="495"/>
      <c r="B203" s="495"/>
      <c r="C203" s="495"/>
      <c r="D203" s="495"/>
      <c r="E203" s="495"/>
      <c r="F203" s="495"/>
      <c r="G203" s="495"/>
      <c r="H203" s="495"/>
      <c r="I203" s="495"/>
      <c r="J203" s="495"/>
      <c r="K203" s="495"/>
      <c r="L203" s="495"/>
      <c r="M203" s="495"/>
      <c r="N203" s="495"/>
      <c r="O203" s="495"/>
      <c r="P203" s="495"/>
      <c r="Q203" s="495"/>
      <c r="R203" s="495"/>
      <c r="S203" s="495"/>
      <c r="T203" s="495"/>
      <c r="U203" s="495"/>
      <c r="V203" s="495"/>
      <c r="W203" s="495"/>
      <c r="X203" s="495"/>
      <c r="Y203" s="495"/>
      <c r="Z203" s="495"/>
    </row>
    <row r="204" ht="12.0" customHeight="1">
      <c r="A204" s="495"/>
      <c r="B204" s="495"/>
      <c r="C204" s="495"/>
      <c r="D204" s="495"/>
      <c r="E204" s="495"/>
      <c r="F204" s="495"/>
      <c r="G204" s="495"/>
      <c r="H204" s="495"/>
      <c r="I204" s="495"/>
      <c r="J204" s="495"/>
      <c r="K204" s="495"/>
      <c r="L204" s="495"/>
      <c r="M204" s="495"/>
      <c r="N204" s="495"/>
      <c r="O204" s="495"/>
      <c r="P204" s="495"/>
      <c r="Q204" s="495"/>
      <c r="R204" s="495"/>
      <c r="S204" s="495"/>
      <c r="T204" s="495"/>
      <c r="U204" s="495"/>
      <c r="V204" s="495"/>
      <c r="W204" s="495"/>
      <c r="X204" s="495"/>
      <c r="Y204" s="495"/>
      <c r="Z204" s="495"/>
    </row>
    <row r="205" ht="12.0" customHeight="1">
      <c r="A205" s="495"/>
      <c r="B205" s="495"/>
      <c r="C205" s="495"/>
      <c r="D205" s="495"/>
      <c r="E205" s="495"/>
      <c r="F205" s="495"/>
      <c r="G205" s="495"/>
      <c r="H205" s="495"/>
      <c r="I205" s="495"/>
      <c r="J205" s="495"/>
      <c r="K205" s="495"/>
      <c r="L205" s="495"/>
      <c r="M205" s="495"/>
      <c r="N205" s="495"/>
      <c r="O205" s="495"/>
      <c r="P205" s="495"/>
      <c r="Q205" s="495"/>
      <c r="R205" s="495"/>
      <c r="S205" s="495"/>
      <c r="T205" s="495"/>
      <c r="U205" s="495"/>
      <c r="V205" s="495"/>
      <c r="W205" s="495"/>
      <c r="X205" s="495"/>
      <c r="Y205" s="495"/>
      <c r="Z205" s="495"/>
    </row>
    <row r="206" ht="12.0" customHeight="1">
      <c r="A206" s="495"/>
      <c r="B206" s="495"/>
      <c r="C206" s="495"/>
      <c r="D206" s="495"/>
      <c r="E206" s="495"/>
      <c r="F206" s="495"/>
      <c r="G206" s="495"/>
      <c r="H206" s="495"/>
      <c r="I206" s="495"/>
      <c r="J206" s="495"/>
      <c r="K206" s="495"/>
      <c r="L206" s="495"/>
      <c r="M206" s="495"/>
      <c r="N206" s="495"/>
      <c r="O206" s="495"/>
      <c r="P206" s="495"/>
      <c r="Q206" s="495"/>
      <c r="R206" s="495"/>
      <c r="S206" s="495"/>
      <c r="T206" s="495"/>
      <c r="U206" s="495"/>
      <c r="V206" s="495"/>
      <c r="W206" s="495"/>
      <c r="X206" s="495"/>
      <c r="Y206" s="495"/>
      <c r="Z206" s="495"/>
    </row>
    <row r="207" ht="12.0" customHeight="1">
      <c r="A207" s="495"/>
      <c r="B207" s="495"/>
      <c r="C207" s="495"/>
      <c r="D207" s="495"/>
      <c r="E207" s="495"/>
      <c r="F207" s="495"/>
      <c r="G207" s="495"/>
      <c r="H207" s="495"/>
      <c r="I207" s="495"/>
      <c r="J207" s="495"/>
      <c r="K207" s="495"/>
      <c r="L207" s="495"/>
      <c r="M207" s="495"/>
      <c r="N207" s="495"/>
      <c r="O207" s="495"/>
      <c r="P207" s="495"/>
      <c r="Q207" s="495"/>
      <c r="R207" s="495"/>
      <c r="S207" s="495"/>
      <c r="T207" s="495"/>
      <c r="U207" s="495"/>
      <c r="V207" s="495"/>
      <c r="W207" s="495"/>
      <c r="X207" s="495"/>
      <c r="Y207" s="495"/>
      <c r="Z207" s="495"/>
    </row>
    <row r="208" ht="12.0" customHeight="1">
      <c r="A208" s="495"/>
      <c r="B208" s="495"/>
      <c r="C208" s="495"/>
      <c r="D208" s="495"/>
      <c r="E208" s="495"/>
      <c r="F208" s="495"/>
      <c r="G208" s="495"/>
      <c r="H208" s="495"/>
      <c r="I208" s="495"/>
      <c r="J208" s="495"/>
      <c r="K208" s="495"/>
      <c r="L208" s="495"/>
      <c r="M208" s="495"/>
      <c r="N208" s="495"/>
      <c r="O208" s="495"/>
      <c r="P208" s="495"/>
      <c r="Q208" s="495"/>
      <c r="R208" s="495"/>
      <c r="S208" s="495"/>
      <c r="T208" s="495"/>
      <c r="U208" s="495"/>
      <c r="V208" s="495"/>
      <c r="W208" s="495"/>
      <c r="X208" s="495"/>
      <c r="Y208" s="495"/>
      <c r="Z208" s="495"/>
    </row>
    <row r="209" ht="12.0" customHeight="1">
      <c r="A209" s="495"/>
      <c r="B209" s="495"/>
      <c r="C209" s="495"/>
      <c r="D209" s="495"/>
      <c r="E209" s="495"/>
      <c r="F209" s="495"/>
      <c r="G209" s="495"/>
      <c r="H209" s="495"/>
      <c r="I209" s="495"/>
      <c r="J209" s="495"/>
      <c r="K209" s="495"/>
      <c r="L209" s="495"/>
      <c r="M209" s="495"/>
      <c r="N209" s="495"/>
      <c r="O209" s="495"/>
      <c r="P209" s="495"/>
      <c r="Q209" s="495"/>
      <c r="R209" s="495"/>
      <c r="S209" s="495"/>
      <c r="T209" s="495"/>
      <c r="U209" s="495"/>
      <c r="V209" s="495"/>
      <c r="W209" s="495"/>
      <c r="X209" s="495"/>
      <c r="Y209" s="495"/>
      <c r="Z209" s="495"/>
    </row>
    <row r="210" ht="12.0" customHeight="1">
      <c r="A210" s="495"/>
      <c r="B210" s="495"/>
      <c r="C210" s="495"/>
      <c r="D210" s="495"/>
      <c r="E210" s="495"/>
      <c r="F210" s="495"/>
      <c r="G210" s="495"/>
      <c r="H210" s="495"/>
      <c r="I210" s="495"/>
      <c r="J210" s="495"/>
      <c r="K210" s="495"/>
      <c r="L210" s="495"/>
      <c r="M210" s="495"/>
      <c r="N210" s="495"/>
      <c r="O210" s="495"/>
      <c r="P210" s="495"/>
      <c r="Q210" s="495"/>
      <c r="R210" s="495"/>
      <c r="S210" s="495"/>
      <c r="T210" s="495"/>
      <c r="U210" s="495"/>
      <c r="V210" s="495"/>
      <c r="W210" s="495"/>
      <c r="X210" s="495"/>
      <c r="Y210" s="495"/>
      <c r="Z210" s="495"/>
    </row>
    <row r="211" ht="12.0" customHeight="1">
      <c r="A211" s="495"/>
      <c r="B211" s="495"/>
      <c r="C211" s="495"/>
      <c r="D211" s="495"/>
      <c r="E211" s="495"/>
      <c r="F211" s="495"/>
      <c r="G211" s="495"/>
      <c r="H211" s="495"/>
      <c r="I211" s="495"/>
      <c r="J211" s="495"/>
      <c r="K211" s="495"/>
      <c r="L211" s="495"/>
      <c r="M211" s="495"/>
      <c r="N211" s="495"/>
      <c r="O211" s="495"/>
      <c r="P211" s="495"/>
      <c r="Q211" s="495"/>
      <c r="R211" s="495"/>
      <c r="S211" s="495"/>
      <c r="T211" s="495"/>
      <c r="U211" s="495"/>
      <c r="V211" s="495"/>
      <c r="W211" s="495"/>
      <c r="X211" s="495"/>
      <c r="Y211" s="495"/>
      <c r="Z211" s="495"/>
    </row>
    <row r="212" ht="12.0" customHeight="1">
      <c r="A212" s="495"/>
      <c r="B212" s="495"/>
      <c r="C212" s="495"/>
      <c r="D212" s="495"/>
      <c r="E212" s="495"/>
      <c r="F212" s="495"/>
      <c r="G212" s="495"/>
      <c r="H212" s="495"/>
      <c r="I212" s="495"/>
      <c r="J212" s="495"/>
      <c r="K212" s="495"/>
      <c r="L212" s="495"/>
      <c r="M212" s="495"/>
      <c r="N212" s="495"/>
      <c r="O212" s="495"/>
      <c r="P212" s="495"/>
      <c r="Q212" s="495"/>
      <c r="R212" s="495"/>
      <c r="S212" s="495"/>
      <c r="T212" s="495"/>
      <c r="U212" s="495"/>
      <c r="V212" s="495"/>
      <c r="W212" s="495"/>
      <c r="X212" s="495"/>
      <c r="Y212" s="495"/>
      <c r="Z212" s="495"/>
    </row>
    <row r="213" ht="12.0" customHeight="1">
      <c r="A213" s="495"/>
      <c r="B213" s="495"/>
      <c r="C213" s="495"/>
      <c r="D213" s="495"/>
      <c r="E213" s="495"/>
      <c r="F213" s="495"/>
      <c r="G213" s="495"/>
      <c r="H213" s="495"/>
      <c r="I213" s="495"/>
      <c r="J213" s="495"/>
      <c r="K213" s="495"/>
      <c r="L213" s="495"/>
      <c r="M213" s="495"/>
      <c r="N213" s="495"/>
      <c r="O213" s="495"/>
      <c r="P213" s="495"/>
      <c r="Q213" s="495"/>
      <c r="R213" s="495"/>
      <c r="S213" s="495"/>
      <c r="T213" s="495"/>
      <c r="U213" s="495"/>
      <c r="V213" s="495"/>
      <c r="W213" s="495"/>
      <c r="X213" s="495"/>
      <c r="Y213" s="495"/>
      <c r="Z213" s="495"/>
    </row>
    <row r="214" ht="12.0" customHeight="1">
      <c r="A214" s="495"/>
      <c r="B214" s="495"/>
      <c r="C214" s="495"/>
      <c r="D214" s="495"/>
      <c r="E214" s="495"/>
      <c r="F214" s="495"/>
      <c r="G214" s="495"/>
      <c r="H214" s="495"/>
      <c r="I214" s="495"/>
      <c r="J214" s="495"/>
      <c r="K214" s="495"/>
      <c r="L214" s="495"/>
      <c r="M214" s="495"/>
      <c r="N214" s="495"/>
      <c r="O214" s="495"/>
      <c r="P214" s="495"/>
      <c r="Q214" s="495"/>
      <c r="R214" s="495"/>
      <c r="S214" s="495"/>
      <c r="T214" s="495"/>
      <c r="U214" s="495"/>
      <c r="V214" s="495"/>
      <c r="W214" s="495"/>
      <c r="X214" s="495"/>
      <c r="Y214" s="495"/>
      <c r="Z214" s="495"/>
    </row>
    <row r="215" ht="12.0" customHeight="1">
      <c r="A215" s="495"/>
      <c r="B215" s="495"/>
      <c r="C215" s="495"/>
      <c r="D215" s="495"/>
      <c r="E215" s="495"/>
      <c r="F215" s="495"/>
      <c r="G215" s="495"/>
      <c r="H215" s="495"/>
      <c r="I215" s="495"/>
      <c r="J215" s="495"/>
      <c r="K215" s="495"/>
      <c r="L215" s="495"/>
      <c r="M215" s="495"/>
      <c r="N215" s="495"/>
      <c r="O215" s="495"/>
      <c r="P215" s="495"/>
      <c r="Q215" s="495"/>
      <c r="R215" s="495"/>
      <c r="S215" s="495"/>
      <c r="T215" s="495"/>
      <c r="U215" s="495"/>
      <c r="V215" s="495"/>
      <c r="W215" s="495"/>
      <c r="X215" s="495"/>
      <c r="Y215" s="495"/>
      <c r="Z215" s="495"/>
    </row>
    <row r="216" ht="12.0" customHeight="1">
      <c r="A216" s="495"/>
      <c r="B216" s="495"/>
      <c r="C216" s="495"/>
      <c r="D216" s="495"/>
      <c r="E216" s="495"/>
      <c r="F216" s="495"/>
      <c r="G216" s="495"/>
      <c r="H216" s="495"/>
      <c r="I216" s="495"/>
      <c r="J216" s="495"/>
      <c r="K216" s="495"/>
      <c r="L216" s="495"/>
      <c r="M216" s="495"/>
      <c r="N216" s="495"/>
      <c r="O216" s="495"/>
      <c r="P216" s="495"/>
      <c r="Q216" s="495"/>
      <c r="R216" s="495"/>
      <c r="S216" s="495"/>
      <c r="T216" s="495"/>
      <c r="U216" s="495"/>
      <c r="V216" s="495"/>
      <c r="W216" s="495"/>
      <c r="X216" s="495"/>
      <c r="Y216" s="495"/>
      <c r="Z216" s="495"/>
    </row>
    <row r="217" ht="12.0" customHeight="1">
      <c r="A217" s="495"/>
      <c r="B217" s="495"/>
      <c r="C217" s="495"/>
      <c r="D217" s="495"/>
      <c r="E217" s="495"/>
      <c r="F217" s="495"/>
      <c r="G217" s="495"/>
      <c r="H217" s="495"/>
      <c r="I217" s="495"/>
      <c r="J217" s="495"/>
      <c r="K217" s="495"/>
      <c r="L217" s="495"/>
      <c r="M217" s="495"/>
      <c r="N217" s="495"/>
      <c r="O217" s="495"/>
      <c r="P217" s="495"/>
      <c r="Q217" s="495"/>
      <c r="R217" s="495"/>
      <c r="S217" s="495"/>
      <c r="T217" s="495"/>
      <c r="U217" s="495"/>
      <c r="V217" s="495"/>
      <c r="W217" s="495"/>
      <c r="X217" s="495"/>
      <c r="Y217" s="495"/>
      <c r="Z217" s="495"/>
    </row>
    <row r="218" ht="12.0" customHeight="1">
      <c r="A218" s="495"/>
      <c r="B218" s="495"/>
      <c r="C218" s="495"/>
      <c r="D218" s="495"/>
      <c r="E218" s="495"/>
      <c r="F218" s="495"/>
      <c r="G218" s="495"/>
      <c r="H218" s="495"/>
      <c r="I218" s="495"/>
      <c r="J218" s="495"/>
      <c r="K218" s="495"/>
      <c r="L218" s="495"/>
      <c r="M218" s="495"/>
      <c r="N218" s="495"/>
      <c r="O218" s="495"/>
      <c r="P218" s="495"/>
      <c r="Q218" s="495"/>
      <c r="R218" s="495"/>
      <c r="S218" s="495"/>
      <c r="T218" s="495"/>
      <c r="U218" s="495"/>
      <c r="V218" s="495"/>
      <c r="W218" s="495"/>
      <c r="X218" s="495"/>
      <c r="Y218" s="495"/>
      <c r="Z218" s="495"/>
    </row>
    <row r="219" ht="12.0" customHeight="1">
      <c r="A219" s="495"/>
      <c r="B219" s="495"/>
      <c r="C219" s="495"/>
      <c r="D219" s="495"/>
      <c r="E219" s="495"/>
      <c r="F219" s="495"/>
      <c r="G219" s="495"/>
      <c r="H219" s="495"/>
      <c r="I219" s="495"/>
      <c r="J219" s="495"/>
      <c r="K219" s="495"/>
      <c r="L219" s="495"/>
      <c r="M219" s="495"/>
      <c r="N219" s="495"/>
      <c r="O219" s="495"/>
      <c r="P219" s="495"/>
      <c r="Q219" s="495"/>
      <c r="R219" s="495"/>
      <c r="S219" s="495"/>
      <c r="T219" s="495"/>
      <c r="U219" s="495"/>
      <c r="V219" s="495"/>
      <c r="W219" s="495"/>
      <c r="X219" s="495"/>
      <c r="Y219" s="495"/>
      <c r="Z219" s="495"/>
    </row>
    <row r="220" ht="12.0" customHeight="1">
      <c r="A220" s="495"/>
      <c r="B220" s="495"/>
      <c r="C220" s="495"/>
      <c r="D220" s="495"/>
      <c r="E220" s="495"/>
      <c r="F220" s="495"/>
      <c r="G220" s="495"/>
      <c r="H220" s="495"/>
      <c r="I220" s="495"/>
      <c r="J220" s="495"/>
      <c r="K220" s="495"/>
      <c r="L220" s="495"/>
      <c r="M220" s="495"/>
      <c r="N220" s="495"/>
      <c r="O220" s="495"/>
      <c r="P220" s="495"/>
      <c r="Q220" s="495"/>
      <c r="R220" s="495"/>
      <c r="S220" s="495"/>
      <c r="T220" s="495"/>
      <c r="U220" s="495"/>
      <c r="V220" s="495"/>
      <c r="W220" s="495"/>
      <c r="X220" s="495"/>
      <c r="Y220" s="495"/>
      <c r="Z220" s="495"/>
    </row>
    <row r="221" ht="12.0" customHeight="1">
      <c r="A221" s="495"/>
      <c r="B221" s="495"/>
      <c r="C221" s="495"/>
      <c r="D221" s="495"/>
      <c r="E221" s="495"/>
      <c r="F221" s="495"/>
      <c r="G221" s="495"/>
      <c r="H221" s="495"/>
      <c r="I221" s="495"/>
      <c r="J221" s="495"/>
      <c r="K221" s="495"/>
      <c r="L221" s="495"/>
      <c r="M221" s="495"/>
      <c r="N221" s="495"/>
      <c r="O221" s="495"/>
      <c r="P221" s="495"/>
      <c r="Q221" s="495"/>
      <c r="R221" s="495"/>
      <c r="S221" s="495"/>
      <c r="T221" s="495"/>
      <c r="U221" s="495"/>
      <c r="V221" s="495"/>
      <c r="W221" s="495"/>
      <c r="X221" s="495"/>
      <c r="Y221" s="495"/>
      <c r="Z221" s="495"/>
    </row>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F1"/>
    <mergeCell ref="L1:O1"/>
    <mergeCell ref="I18:K24"/>
  </mergeCells>
  <printOptions/>
  <pageMargins bottom="1.0" footer="0.0" header="0.0" left="0.75" right="0.75" top="1.0"/>
  <pageSetup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A8DC"/>
    <pageSetUpPr/>
  </sheetPr>
  <sheetViews>
    <sheetView workbookViewId="0"/>
  </sheetViews>
  <sheetFormatPr customHeight="1" defaultColWidth="12.63" defaultRowHeight="15.0"/>
  <cols>
    <col customWidth="1" min="1" max="1" width="6.25"/>
    <col customWidth="1" min="2" max="2" width="19.63"/>
    <col customWidth="1" min="3" max="3" width="10.25"/>
    <col customWidth="1" min="4" max="4" width="10.63"/>
    <col customWidth="1" min="5" max="5" width="13.63"/>
    <col customWidth="1" min="6" max="6" width="11.38"/>
    <col customWidth="1" min="7" max="7" width="10.75"/>
    <col customWidth="1" min="8" max="8" width="10.13"/>
    <col customWidth="1" min="9" max="10" width="10.63"/>
    <col customWidth="1" min="11" max="11" width="10.13"/>
    <col customWidth="1" min="12" max="13" width="11.25"/>
    <col customWidth="1" min="14" max="14" width="10.0"/>
    <col customWidth="1" min="15" max="15" width="10.63"/>
    <col customWidth="1" min="16" max="16" width="9.13"/>
    <col customWidth="1" min="17" max="17" width="9.25"/>
    <col customWidth="1" min="18" max="18" width="10.13"/>
    <col customWidth="1" min="19" max="19" width="10.25"/>
    <col customWidth="1" min="20" max="26" width="8.63"/>
  </cols>
  <sheetData>
    <row r="1" ht="12.0" customHeight="1">
      <c r="A1" s="548" t="s">
        <v>324</v>
      </c>
      <c r="G1" s="549"/>
      <c r="H1" s="549"/>
      <c r="I1" s="550" t="s">
        <v>312</v>
      </c>
      <c r="J1" s="7"/>
      <c r="K1" s="7"/>
      <c r="L1" s="8"/>
      <c r="M1" s="549"/>
      <c r="N1" s="549"/>
      <c r="O1" s="549"/>
      <c r="P1" s="549"/>
      <c r="Q1" s="551">
        <v>2204.62</v>
      </c>
      <c r="R1" s="549"/>
      <c r="S1" s="549"/>
      <c r="T1" s="549"/>
      <c r="U1" s="549"/>
      <c r="V1" s="549"/>
      <c r="W1" s="549"/>
      <c r="X1" s="549"/>
      <c r="Y1" s="549"/>
      <c r="Z1" s="549"/>
    </row>
    <row r="2" ht="12.0" customHeight="1">
      <c r="A2" s="549"/>
      <c r="B2" s="549"/>
      <c r="C2" s="549"/>
      <c r="D2" s="549"/>
      <c r="E2" s="549"/>
      <c r="F2" s="549"/>
      <c r="G2" s="549"/>
      <c r="H2" s="549"/>
      <c r="I2" s="549"/>
      <c r="J2" s="549"/>
      <c r="K2" s="549"/>
      <c r="L2" s="549"/>
      <c r="M2" s="549"/>
      <c r="N2" s="549"/>
      <c r="O2" s="549"/>
      <c r="P2" s="549"/>
      <c r="Q2" s="549"/>
      <c r="R2" s="549"/>
      <c r="S2" s="549"/>
      <c r="T2" s="549"/>
      <c r="U2" s="549"/>
      <c r="V2" s="549"/>
      <c r="W2" s="549"/>
      <c r="X2" s="549"/>
      <c r="Y2" s="549"/>
      <c r="Z2" s="549"/>
    </row>
    <row r="3" ht="12.0" customHeight="1">
      <c r="A3" s="552"/>
      <c r="B3" s="549"/>
      <c r="C3" s="553"/>
      <c r="D3" s="553"/>
      <c r="E3" s="553"/>
      <c r="F3" s="553"/>
      <c r="G3" s="554"/>
      <c r="H3" s="554"/>
      <c r="I3" s="554"/>
      <c r="J3" s="554"/>
      <c r="K3" s="553"/>
      <c r="L3" s="553"/>
      <c r="M3" s="553"/>
      <c r="N3" s="553"/>
      <c r="O3" s="549"/>
      <c r="P3" s="549"/>
      <c r="Q3" s="397"/>
      <c r="R3" s="397"/>
      <c r="S3" s="397"/>
      <c r="T3" s="549"/>
      <c r="U3" s="549"/>
      <c r="V3" s="549"/>
      <c r="W3" s="549"/>
      <c r="X3" s="549"/>
      <c r="Y3" s="549"/>
      <c r="Z3" s="549"/>
    </row>
    <row r="4" ht="12.0" customHeight="1">
      <c r="A4" s="555" t="s">
        <v>325</v>
      </c>
      <c r="C4" s="553"/>
      <c r="D4" s="553"/>
      <c r="E4" s="553"/>
      <c r="F4" s="553"/>
      <c r="G4" s="554"/>
      <c r="H4" s="554"/>
      <c r="I4" s="554"/>
      <c r="J4" s="554"/>
      <c r="K4" s="553"/>
      <c r="L4" s="553"/>
      <c r="M4" s="553"/>
      <c r="N4" s="553"/>
      <c r="O4" s="549"/>
      <c r="P4" s="556"/>
      <c r="Q4" s="557" t="s">
        <v>326</v>
      </c>
      <c r="R4" s="557" t="s">
        <v>327</v>
      </c>
      <c r="S4" s="558" t="s">
        <v>328</v>
      </c>
      <c r="T4" s="549"/>
      <c r="U4" s="549"/>
      <c r="V4" s="549"/>
      <c r="W4" s="549"/>
      <c r="X4" s="549"/>
      <c r="Y4" s="549"/>
      <c r="Z4" s="549"/>
    </row>
    <row r="5" ht="12.0" customHeight="1">
      <c r="A5" s="559" t="s">
        <v>16</v>
      </c>
      <c r="B5" s="560" t="s">
        <v>329</v>
      </c>
      <c r="C5" s="559" t="s">
        <v>12</v>
      </c>
      <c r="D5" s="28"/>
      <c r="E5" s="28"/>
      <c r="F5" s="29"/>
      <c r="G5" s="559" t="s">
        <v>330</v>
      </c>
      <c r="H5" s="28"/>
      <c r="I5" s="28"/>
      <c r="J5" s="29"/>
      <c r="K5" s="559" t="s">
        <v>331</v>
      </c>
      <c r="L5" s="28"/>
      <c r="M5" s="28"/>
      <c r="N5" s="29"/>
      <c r="O5" s="549"/>
      <c r="P5" s="561" t="s">
        <v>5</v>
      </c>
      <c r="Q5" s="562">
        <f>'TAC Sector Allocations'!J7</f>
        <v>9544.927609</v>
      </c>
      <c r="R5" s="563">
        <f>'TAC Sector Allocations'!H7</f>
        <v>40003505</v>
      </c>
      <c r="S5" s="564">
        <f t="shared" ref="S5:S7" si="1">Q5*2204.62</f>
        <v>21042938.31</v>
      </c>
      <c r="T5" s="549"/>
      <c r="U5" s="549"/>
      <c r="V5" s="549"/>
      <c r="W5" s="549"/>
      <c r="X5" s="549"/>
      <c r="Y5" s="549"/>
      <c r="Z5" s="549"/>
    </row>
    <row r="6" ht="12.0" customHeight="1">
      <c r="A6" s="183"/>
      <c r="C6" s="565" t="s">
        <v>5</v>
      </c>
      <c r="D6" s="566" t="s">
        <v>6</v>
      </c>
      <c r="E6" s="566" t="s">
        <v>18</v>
      </c>
      <c r="F6" s="567" t="s">
        <v>10</v>
      </c>
      <c r="G6" s="568" t="s">
        <v>5</v>
      </c>
      <c r="H6" s="569" t="s">
        <v>6</v>
      </c>
      <c r="I6" s="569" t="s">
        <v>18</v>
      </c>
      <c r="J6" s="570" t="s">
        <v>10</v>
      </c>
      <c r="K6" s="568" t="s">
        <v>5</v>
      </c>
      <c r="L6" s="569" t="s">
        <v>6</v>
      </c>
      <c r="M6" s="569" t="s">
        <v>18</v>
      </c>
      <c r="N6" s="570" t="s">
        <v>10</v>
      </c>
      <c r="O6" s="549"/>
      <c r="P6" s="561" t="s">
        <v>6</v>
      </c>
      <c r="Q6" s="562">
        <f>'TAC Sector Allocations'!J10</f>
        <v>1352.579207</v>
      </c>
      <c r="R6" s="563">
        <f>'TAC Sector Allocations'!H10</f>
        <v>19148863</v>
      </c>
      <c r="S6" s="564">
        <f t="shared" si="1"/>
        <v>2981923.172</v>
      </c>
      <c r="T6" s="549"/>
      <c r="U6" s="549"/>
      <c r="V6" s="549"/>
      <c r="W6" s="549"/>
      <c r="X6" s="549"/>
      <c r="Y6" s="549"/>
      <c r="Z6" s="549"/>
    </row>
    <row r="7" ht="12.0" customHeight="1">
      <c r="A7" s="571">
        <v>2014.0</v>
      </c>
      <c r="B7" s="572" t="s">
        <v>332</v>
      </c>
      <c r="C7" s="573">
        <v>1947050.0</v>
      </c>
      <c r="D7" s="574">
        <v>3639283.0</v>
      </c>
      <c r="E7" s="574">
        <v>1549825.0</v>
      </c>
      <c r="F7" s="575">
        <f t="shared" ref="F7:F17" si="3">SUM(C7:E7)</f>
        <v>7136158</v>
      </c>
      <c r="G7" s="576">
        <f t="shared" ref="G7:G17" si="4">+C7/$R$5*$Q$5</f>
        <v>464.5705745</v>
      </c>
      <c r="H7" s="576">
        <f t="shared" ref="H7:H17" si="5">+D7/$R$6*$Q$6</f>
        <v>257.0606158</v>
      </c>
      <c r="I7" s="576">
        <f t="shared" ref="I7:I17" si="6">+E7/$R$7*$Q$7</f>
        <v>265.2398754</v>
      </c>
      <c r="J7" s="577">
        <f t="shared" ref="J7:J17" si="7">SUM(G7:I7)</f>
        <v>986.8710657</v>
      </c>
      <c r="K7" s="578">
        <f t="shared" ref="K7:M7" si="2">+G7*$Q$1</f>
        <v>1024201.58</v>
      </c>
      <c r="L7" s="579">
        <f t="shared" si="2"/>
        <v>566720.9749</v>
      </c>
      <c r="M7" s="579">
        <f t="shared" si="2"/>
        <v>584753.134</v>
      </c>
      <c r="N7" s="580">
        <f t="shared" ref="N7:N17" si="9">SUM(K7:M7)</f>
        <v>2175675.689</v>
      </c>
      <c r="O7" s="549"/>
      <c r="P7" s="561" t="s">
        <v>18</v>
      </c>
      <c r="Q7" s="562">
        <f>'TAC Sector Allocations'!J13</f>
        <v>2081.68493</v>
      </c>
      <c r="R7" s="563">
        <f>'TAC Sector Allocations'!H13</f>
        <v>12163508</v>
      </c>
      <c r="S7" s="564">
        <f t="shared" si="1"/>
        <v>4589324.229</v>
      </c>
      <c r="T7" s="549"/>
      <c r="U7" s="549"/>
      <c r="V7" s="549"/>
      <c r="W7" s="549"/>
      <c r="X7" s="549"/>
      <c r="Y7" s="549"/>
      <c r="Z7" s="549"/>
    </row>
    <row r="8" ht="12.0" customHeight="1">
      <c r="A8" s="581">
        <v>3838.0</v>
      </c>
      <c r="B8" s="549" t="s">
        <v>333</v>
      </c>
      <c r="C8" s="578">
        <v>94932.0</v>
      </c>
      <c r="D8" s="579">
        <v>127580.0</v>
      </c>
      <c r="E8" s="579">
        <v>363276.0</v>
      </c>
      <c r="F8" s="580">
        <f t="shared" si="3"/>
        <v>585788</v>
      </c>
      <c r="G8" s="576">
        <f t="shared" si="4"/>
        <v>22.6509919</v>
      </c>
      <c r="H8" s="576">
        <f t="shared" si="5"/>
        <v>9.011608432</v>
      </c>
      <c r="I8" s="576">
        <f t="shared" si="6"/>
        <v>62.17171678</v>
      </c>
      <c r="J8" s="577">
        <f t="shared" si="7"/>
        <v>93.83431712</v>
      </c>
      <c r="K8" s="578">
        <f t="shared" ref="K8:M8" si="8">+G8*$Q$1</f>
        <v>49936.82977</v>
      </c>
      <c r="L8" s="579">
        <f t="shared" si="8"/>
        <v>19867.17218</v>
      </c>
      <c r="M8" s="579">
        <f t="shared" si="8"/>
        <v>137065.0103</v>
      </c>
      <c r="N8" s="580">
        <f t="shared" si="9"/>
        <v>206869.0122</v>
      </c>
      <c r="O8" s="549"/>
      <c r="P8" s="582" t="s">
        <v>117</v>
      </c>
      <c r="Q8" s="583">
        <f t="shared" ref="Q8:S8" si="10">SUM(Q5:Q7)</f>
        <v>12979.19175</v>
      </c>
      <c r="R8" s="584">
        <f t="shared" si="10"/>
        <v>71315876</v>
      </c>
      <c r="S8" s="585">
        <f t="shared" si="10"/>
        <v>28614185.71</v>
      </c>
      <c r="T8" s="549"/>
      <c r="U8" s="549"/>
      <c r="V8" s="549"/>
      <c r="W8" s="549"/>
      <c r="X8" s="549"/>
      <c r="Y8" s="549"/>
      <c r="Z8" s="549"/>
    </row>
    <row r="9" ht="12.0" customHeight="1">
      <c r="A9" s="581">
        <v>3043.0</v>
      </c>
      <c r="B9" s="549" t="s">
        <v>334</v>
      </c>
      <c r="C9" s="578">
        <v>8821773.0</v>
      </c>
      <c r="D9" s="579">
        <v>2324444.0</v>
      </c>
      <c r="E9" s="579">
        <v>927189.0</v>
      </c>
      <c r="F9" s="580">
        <f t="shared" si="3"/>
        <v>12073406</v>
      </c>
      <c r="G9" s="576">
        <f t="shared" si="4"/>
        <v>2104.895175</v>
      </c>
      <c r="H9" s="576">
        <f t="shared" si="5"/>
        <v>164.1870133</v>
      </c>
      <c r="I9" s="576">
        <f t="shared" si="6"/>
        <v>158.6808154</v>
      </c>
      <c r="J9" s="576">
        <f t="shared" si="7"/>
        <v>2427.763004</v>
      </c>
      <c r="K9" s="578">
        <f t="shared" ref="K9:M9" si="11">+G9*$Q$1</f>
        <v>4640494.001</v>
      </c>
      <c r="L9" s="579">
        <f t="shared" si="11"/>
        <v>361969.9732</v>
      </c>
      <c r="M9" s="579">
        <f t="shared" si="11"/>
        <v>349830.8993</v>
      </c>
      <c r="N9" s="580">
        <f t="shared" si="9"/>
        <v>5352294.874</v>
      </c>
      <c r="O9" s="549"/>
      <c r="P9" s="397"/>
      <c r="Q9" s="397"/>
      <c r="R9" s="397"/>
      <c r="S9" s="397"/>
      <c r="T9" s="549"/>
      <c r="U9" s="549"/>
      <c r="V9" s="549"/>
      <c r="W9" s="549"/>
      <c r="X9" s="549"/>
      <c r="Y9" s="549"/>
      <c r="Z9" s="549"/>
    </row>
    <row r="10" ht="12.0" customHeight="1">
      <c r="A10" s="581">
        <v>2080.0</v>
      </c>
      <c r="B10" s="549" t="s">
        <v>335</v>
      </c>
      <c r="C10" s="578">
        <v>1.0401999E7</v>
      </c>
      <c r="D10" s="579">
        <v>1969250.0</v>
      </c>
      <c r="E10" s="579">
        <v>956646.0</v>
      </c>
      <c r="F10" s="580">
        <f t="shared" si="3"/>
        <v>13327895</v>
      </c>
      <c r="G10" s="576">
        <f t="shared" si="4"/>
        <v>2481.940706</v>
      </c>
      <c r="H10" s="576">
        <f t="shared" si="5"/>
        <v>139.0978986</v>
      </c>
      <c r="I10" s="576">
        <f t="shared" si="6"/>
        <v>163.7221401</v>
      </c>
      <c r="J10" s="576">
        <f t="shared" si="7"/>
        <v>2784.760745</v>
      </c>
      <c r="K10" s="578">
        <f t="shared" ref="K10:M10" si="12">+G10*$Q$1</f>
        <v>5471736.119</v>
      </c>
      <c r="L10" s="579">
        <f t="shared" si="12"/>
        <v>306658.0092</v>
      </c>
      <c r="M10" s="579">
        <f t="shared" si="12"/>
        <v>360945.1045</v>
      </c>
      <c r="N10" s="580">
        <f t="shared" si="9"/>
        <v>6139339.233</v>
      </c>
      <c r="O10" s="549"/>
      <c r="P10" s="549"/>
      <c r="Q10" s="553"/>
      <c r="R10" s="553"/>
      <c r="S10" s="553"/>
      <c r="T10" s="549"/>
      <c r="U10" s="549"/>
      <c r="V10" s="549"/>
      <c r="W10" s="549"/>
      <c r="X10" s="549"/>
      <c r="Y10" s="549"/>
      <c r="Z10" s="549"/>
    </row>
    <row r="11" ht="12.0" customHeight="1">
      <c r="A11" s="581">
        <v>2083.0</v>
      </c>
      <c r="B11" s="549" t="s">
        <v>336</v>
      </c>
      <c r="C11" s="578">
        <v>5996558.0</v>
      </c>
      <c r="D11" s="579">
        <v>1928818.0</v>
      </c>
      <c r="E11" s="579">
        <v>544576.0</v>
      </c>
      <c r="F11" s="580">
        <f t="shared" si="3"/>
        <v>8469952</v>
      </c>
      <c r="G11" s="576">
        <f t="shared" si="4"/>
        <v>1430.792427</v>
      </c>
      <c r="H11" s="576">
        <f t="shared" si="5"/>
        <v>136.2419858</v>
      </c>
      <c r="I11" s="576">
        <f t="shared" si="6"/>
        <v>93.19972924</v>
      </c>
      <c r="J11" s="576">
        <f t="shared" si="7"/>
        <v>1660.234142</v>
      </c>
      <c r="K11" s="578">
        <f t="shared" ref="K11:M11" si="13">+G11*$Q$1</f>
        <v>3154353.601</v>
      </c>
      <c r="L11" s="579">
        <f t="shared" si="13"/>
        <v>300361.8068</v>
      </c>
      <c r="M11" s="579">
        <f t="shared" si="13"/>
        <v>205469.9871</v>
      </c>
      <c r="N11" s="580">
        <f t="shared" si="9"/>
        <v>3660185.395</v>
      </c>
      <c r="O11" s="549"/>
      <c r="P11" s="397"/>
      <c r="Q11" s="397"/>
      <c r="R11" s="397"/>
      <c r="S11" s="397"/>
      <c r="T11" s="549"/>
      <c r="U11" s="549"/>
      <c r="V11" s="549"/>
      <c r="W11" s="549"/>
      <c r="X11" s="549"/>
      <c r="Y11" s="549"/>
      <c r="Z11" s="549"/>
    </row>
    <row r="12" ht="12.0" customHeight="1">
      <c r="A12" s="581">
        <v>2905.0</v>
      </c>
      <c r="B12" s="549" t="s">
        <v>337</v>
      </c>
      <c r="C12" s="578">
        <v>86244.0</v>
      </c>
      <c r="D12" s="579">
        <v>73488.0</v>
      </c>
      <c r="E12" s="579">
        <v>20997.0</v>
      </c>
      <c r="F12" s="580">
        <f t="shared" si="3"/>
        <v>180729</v>
      </c>
      <c r="G12" s="576">
        <f t="shared" si="4"/>
        <v>20.57801527</v>
      </c>
      <c r="H12" s="576">
        <f t="shared" si="5"/>
        <v>5.190822076</v>
      </c>
      <c r="I12" s="576">
        <f t="shared" si="6"/>
        <v>3.593464851</v>
      </c>
      <c r="J12" s="577">
        <f t="shared" si="7"/>
        <v>29.3623022</v>
      </c>
      <c r="K12" s="578">
        <f t="shared" ref="K12:M12" si="14">+G12*$Q$1</f>
        <v>45366.70402</v>
      </c>
      <c r="L12" s="579">
        <f t="shared" si="14"/>
        <v>11443.79017</v>
      </c>
      <c r="M12" s="579">
        <f t="shared" si="14"/>
        <v>7922.22448</v>
      </c>
      <c r="N12" s="580">
        <f t="shared" si="9"/>
        <v>64732.71867</v>
      </c>
      <c r="O12" s="549"/>
      <c r="P12" s="549"/>
      <c r="Q12" s="586"/>
      <c r="T12" s="549"/>
      <c r="U12" s="549"/>
      <c r="V12" s="549"/>
      <c r="W12" s="549"/>
      <c r="X12" s="549"/>
      <c r="Y12" s="549"/>
      <c r="Z12" s="549"/>
    </row>
    <row r="13" ht="12.0" customHeight="1">
      <c r="A13" s="581">
        <v>2028.0</v>
      </c>
      <c r="B13" s="549" t="s">
        <v>338</v>
      </c>
      <c r="C13" s="578">
        <v>5647277.0</v>
      </c>
      <c r="D13" s="579">
        <v>3570989.0</v>
      </c>
      <c r="E13" s="579">
        <v>3365798.0</v>
      </c>
      <c r="F13" s="580">
        <f t="shared" si="3"/>
        <v>12584064</v>
      </c>
      <c r="G13" s="576">
        <f t="shared" si="4"/>
        <v>1347.453183</v>
      </c>
      <c r="H13" s="576">
        <f t="shared" si="5"/>
        <v>252.2366718</v>
      </c>
      <c r="I13" s="576">
        <f t="shared" si="6"/>
        <v>576.0288046</v>
      </c>
      <c r="J13" s="577">
        <f t="shared" si="7"/>
        <v>2175.71866</v>
      </c>
      <c r="K13" s="578">
        <f t="shared" ref="K13:M13" si="15">+G13*$Q$1</f>
        <v>2970622.237</v>
      </c>
      <c r="L13" s="579">
        <f t="shared" si="15"/>
        <v>556086.0113</v>
      </c>
      <c r="M13" s="579">
        <f t="shared" si="15"/>
        <v>1269924.623</v>
      </c>
      <c r="N13" s="580">
        <f t="shared" si="9"/>
        <v>4796632.871</v>
      </c>
      <c r="O13" s="549"/>
      <c r="P13" s="549"/>
      <c r="T13" s="549"/>
      <c r="U13" s="549"/>
      <c r="V13" s="549"/>
      <c r="W13" s="549"/>
      <c r="X13" s="549"/>
      <c r="Y13" s="549"/>
      <c r="Z13" s="549"/>
    </row>
    <row r="14" ht="12.0" customHeight="1">
      <c r="A14" s="581">
        <v>1802.0</v>
      </c>
      <c r="B14" s="549" t="s">
        <v>337</v>
      </c>
      <c r="C14" s="578">
        <v>168165.0</v>
      </c>
      <c r="D14" s="579">
        <v>127580.0</v>
      </c>
      <c r="E14" s="579">
        <v>366125.0</v>
      </c>
      <c r="F14" s="580">
        <f t="shared" si="3"/>
        <v>661870</v>
      </c>
      <c r="G14" s="576">
        <f t="shared" si="4"/>
        <v>40.12455287</v>
      </c>
      <c r="H14" s="576">
        <f t="shared" si="5"/>
        <v>9.011608432</v>
      </c>
      <c r="I14" s="576">
        <f t="shared" si="6"/>
        <v>62.65929984</v>
      </c>
      <c r="J14" s="577">
        <f t="shared" si="7"/>
        <v>111.7954611</v>
      </c>
      <c r="K14" s="578">
        <f t="shared" ref="K14:M14" si="16">+G14*$Q$1</f>
        <v>88459.39175</v>
      </c>
      <c r="L14" s="579">
        <f t="shared" si="16"/>
        <v>19867.17218</v>
      </c>
      <c r="M14" s="579">
        <f t="shared" si="16"/>
        <v>138139.9456</v>
      </c>
      <c r="N14" s="580">
        <f t="shared" si="9"/>
        <v>246466.5095</v>
      </c>
      <c r="O14" s="549"/>
      <c r="P14" s="549"/>
      <c r="T14" s="549"/>
      <c r="U14" s="549"/>
      <c r="V14" s="549"/>
      <c r="W14" s="549"/>
      <c r="X14" s="549"/>
      <c r="Y14" s="549"/>
      <c r="Z14" s="549"/>
    </row>
    <row r="15" ht="12.0" customHeight="1">
      <c r="A15" s="581">
        <v>4360.0</v>
      </c>
      <c r="B15" s="549" t="s">
        <v>339</v>
      </c>
      <c r="C15" s="578">
        <v>209508.0</v>
      </c>
      <c r="D15" s="579">
        <v>78466.0</v>
      </c>
      <c r="E15" s="579">
        <v>39753.0</v>
      </c>
      <c r="F15" s="580">
        <f t="shared" si="3"/>
        <v>327727</v>
      </c>
      <c r="G15" s="576">
        <f t="shared" si="4"/>
        <v>49.98908704</v>
      </c>
      <c r="H15" s="576">
        <f t="shared" si="5"/>
        <v>5.542442916</v>
      </c>
      <c r="I15" s="576">
        <f t="shared" si="6"/>
        <v>6.803400878</v>
      </c>
      <c r="J15" s="577">
        <f t="shared" si="7"/>
        <v>62.33493084</v>
      </c>
      <c r="K15" s="578">
        <f t="shared" ref="K15:M15" si="17">+G15*$Q$1</f>
        <v>110206.9411</v>
      </c>
      <c r="L15" s="579">
        <f t="shared" si="17"/>
        <v>12218.9805</v>
      </c>
      <c r="M15" s="579">
        <f t="shared" si="17"/>
        <v>14998.91364</v>
      </c>
      <c r="N15" s="580">
        <f t="shared" si="9"/>
        <v>137424.8352</v>
      </c>
      <c r="O15" s="549"/>
      <c r="P15" s="549"/>
      <c r="T15" s="549"/>
      <c r="U15" s="549"/>
      <c r="V15" s="549"/>
      <c r="W15" s="549"/>
      <c r="X15" s="549"/>
      <c r="Y15" s="549"/>
      <c r="Z15" s="549"/>
    </row>
    <row r="16" ht="12.0" customHeight="1">
      <c r="A16" s="581">
        <v>3957.0</v>
      </c>
      <c r="B16" s="549" t="s">
        <v>340</v>
      </c>
      <c r="C16" s="578">
        <v>0.0</v>
      </c>
      <c r="D16" s="579">
        <v>218621.0</v>
      </c>
      <c r="E16" s="579">
        <v>254124.0</v>
      </c>
      <c r="F16" s="580">
        <f t="shared" si="3"/>
        <v>472745</v>
      </c>
      <c r="G16" s="576">
        <f t="shared" si="4"/>
        <v>0</v>
      </c>
      <c r="H16" s="576">
        <f t="shared" si="5"/>
        <v>15.44228599</v>
      </c>
      <c r="I16" s="576">
        <f t="shared" si="6"/>
        <v>43.49124455</v>
      </c>
      <c r="J16" s="577">
        <f t="shared" si="7"/>
        <v>58.93353054</v>
      </c>
      <c r="K16" s="578">
        <f t="shared" ref="K16:M16" si="18">+G16*$Q$1</f>
        <v>0</v>
      </c>
      <c r="L16" s="579">
        <f t="shared" si="18"/>
        <v>34044.37255</v>
      </c>
      <c r="M16" s="579">
        <f t="shared" si="18"/>
        <v>95881.66756</v>
      </c>
      <c r="N16" s="580">
        <f t="shared" si="9"/>
        <v>129926.0401</v>
      </c>
      <c r="O16" s="549"/>
      <c r="P16" s="549"/>
      <c r="T16" s="549"/>
      <c r="U16" s="549"/>
      <c r="V16" s="549"/>
      <c r="W16" s="549"/>
      <c r="X16" s="549"/>
      <c r="Y16" s="549"/>
      <c r="Z16" s="549"/>
    </row>
    <row r="17" ht="12.0" customHeight="1">
      <c r="A17" s="587">
        <v>3662.0</v>
      </c>
      <c r="B17" s="588" t="s">
        <v>341</v>
      </c>
      <c r="C17" s="589">
        <v>6629999.0</v>
      </c>
      <c r="D17" s="590">
        <v>5090344.0</v>
      </c>
      <c r="E17" s="590">
        <v>3775199.0</v>
      </c>
      <c r="F17" s="591">
        <f t="shared" si="3"/>
        <v>15495542</v>
      </c>
      <c r="G17" s="592">
        <f t="shared" si="4"/>
        <v>1581.932896</v>
      </c>
      <c r="H17" s="592">
        <f t="shared" si="5"/>
        <v>359.5562542</v>
      </c>
      <c r="I17" s="592">
        <f t="shared" si="6"/>
        <v>646.0944379</v>
      </c>
      <c r="J17" s="593">
        <f t="shared" si="7"/>
        <v>2587.583588</v>
      </c>
      <c r="K17" s="589">
        <f t="shared" ref="K17:M17" si="19">+G17*$Q$1</f>
        <v>3487560.901</v>
      </c>
      <c r="L17" s="590">
        <f t="shared" si="19"/>
        <v>792684.9092</v>
      </c>
      <c r="M17" s="590">
        <f t="shared" si="19"/>
        <v>1424392.72</v>
      </c>
      <c r="N17" s="591">
        <f t="shared" si="9"/>
        <v>5704638.529</v>
      </c>
      <c r="O17" s="549"/>
      <c r="P17" s="549"/>
      <c r="T17" s="549"/>
      <c r="U17" s="549"/>
      <c r="V17" s="549"/>
      <c r="W17" s="549"/>
      <c r="X17" s="549"/>
      <c r="Y17" s="549"/>
      <c r="Z17" s="549"/>
    </row>
    <row r="18" ht="12.0" customHeight="1">
      <c r="A18" s="594" t="s">
        <v>10</v>
      </c>
      <c r="B18" s="135"/>
      <c r="C18" s="589">
        <f t="shared" ref="C18:N18" si="20">SUM(C7:C17)</f>
        <v>40003505</v>
      </c>
      <c r="D18" s="590">
        <f t="shared" si="20"/>
        <v>19148863</v>
      </c>
      <c r="E18" s="590">
        <f t="shared" si="20"/>
        <v>12163508</v>
      </c>
      <c r="F18" s="591">
        <f t="shared" si="20"/>
        <v>71315876</v>
      </c>
      <c r="G18" s="595">
        <f t="shared" si="20"/>
        <v>9544.927609</v>
      </c>
      <c r="H18" s="596">
        <f t="shared" si="20"/>
        <v>1352.579207</v>
      </c>
      <c r="I18" s="596">
        <f t="shared" si="20"/>
        <v>2081.68493</v>
      </c>
      <c r="J18" s="597">
        <f t="shared" si="20"/>
        <v>12979.19175</v>
      </c>
      <c r="K18" s="595">
        <f t="shared" si="20"/>
        <v>21042938.31</v>
      </c>
      <c r="L18" s="596">
        <f t="shared" si="20"/>
        <v>2981923.172</v>
      </c>
      <c r="M18" s="596">
        <f t="shared" si="20"/>
        <v>4589324.229</v>
      </c>
      <c r="N18" s="597">
        <f t="shared" si="20"/>
        <v>28614185.71</v>
      </c>
      <c r="O18" s="549"/>
      <c r="P18" s="549"/>
      <c r="T18" s="549"/>
      <c r="U18" s="549"/>
      <c r="V18" s="549"/>
      <c r="W18" s="549"/>
      <c r="X18" s="549"/>
      <c r="Y18" s="549"/>
      <c r="Z18" s="549"/>
    </row>
    <row r="19" ht="12.0" customHeight="1">
      <c r="A19" s="549"/>
      <c r="B19" s="549"/>
      <c r="C19" s="579"/>
      <c r="D19" s="579"/>
      <c r="E19" s="579"/>
      <c r="F19" s="579"/>
      <c r="G19" s="598"/>
      <c r="H19" s="598"/>
      <c r="I19" s="598"/>
      <c r="J19" s="598"/>
      <c r="K19" s="598"/>
      <c r="L19" s="598"/>
      <c r="M19" s="598"/>
      <c r="N19" s="598"/>
      <c r="O19" s="549"/>
      <c r="P19" s="549"/>
      <c r="Q19" s="549"/>
      <c r="R19" s="549"/>
      <c r="S19" s="549"/>
      <c r="T19" s="549"/>
      <c r="U19" s="549"/>
      <c r="V19" s="549"/>
      <c r="W19" s="549"/>
      <c r="X19" s="549"/>
      <c r="Y19" s="549"/>
      <c r="Z19" s="549"/>
    </row>
    <row r="20" ht="12.0" customHeight="1">
      <c r="A20" s="549"/>
      <c r="B20" s="549"/>
      <c r="C20" s="397"/>
      <c r="D20" s="397"/>
      <c r="E20" s="397"/>
      <c r="F20" s="397"/>
      <c r="G20" s="397"/>
      <c r="H20" s="397"/>
      <c r="I20" s="397"/>
      <c r="J20" s="397"/>
      <c r="K20" s="397"/>
      <c r="L20" s="397"/>
      <c r="M20" s="397"/>
      <c r="N20" s="397"/>
      <c r="O20" s="549"/>
      <c r="P20" s="549"/>
      <c r="Q20" s="549"/>
      <c r="R20" s="549"/>
      <c r="S20" s="549"/>
      <c r="T20" s="549"/>
      <c r="U20" s="549"/>
      <c r="V20" s="549"/>
      <c r="W20" s="549"/>
      <c r="X20" s="549"/>
      <c r="Y20" s="549"/>
      <c r="Z20" s="549"/>
    </row>
    <row r="21" ht="12.0" customHeight="1">
      <c r="A21" s="549"/>
      <c r="B21" s="549"/>
      <c r="C21" s="579"/>
      <c r="D21" s="579"/>
      <c r="E21" s="579"/>
      <c r="F21" s="579"/>
      <c r="G21" s="579"/>
      <c r="H21" s="579"/>
      <c r="I21" s="579"/>
      <c r="J21" s="579"/>
      <c r="K21" s="579"/>
      <c r="L21" s="579"/>
      <c r="M21" s="579"/>
      <c r="N21" s="579"/>
      <c r="O21" s="549"/>
      <c r="P21" s="549"/>
      <c r="Q21" s="549"/>
      <c r="R21" s="549"/>
      <c r="S21" s="549"/>
      <c r="T21" s="549"/>
      <c r="U21" s="549"/>
      <c r="V21" s="549"/>
      <c r="W21" s="549"/>
      <c r="X21" s="549"/>
      <c r="Y21" s="549"/>
      <c r="Z21" s="549"/>
    </row>
    <row r="22" ht="12.0" customHeight="1">
      <c r="A22" s="549"/>
      <c r="B22" s="549"/>
      <c r="C22" s="552"/>
      <c r="D22" s="599"/>
      <c r="E22" s="549"/>
      <c r="F22" s="549"/>
      <c r="G22" s="549"/>
      <c r="H22" s="549"/>
      <c r="I22" s="549"/>
      <c r="J22" s="549"/>
      <c r="K22" s="549"/>
      <c r="L22" s="549"/>
      <c r="M22" s="549"/>
      <c r="N22" s="549"/>
      <c r="O22" s="549"/>
      <c r="P22" s="549"/>
      <c r="Q22" s="549"/>
      <c r="R22" s="549"/>
      <c r="S22" s="549"/>
      <c r="T22" s="549"/>
      <c r="U22" s="549"/>
      <c r="V22" s="549"/>
      <c r="W22" s="549"/>
      <c r="X22" s="549"/>
      <c r="Y22" s="549"/>
      <c r="Z22" s="549"/>
    </row>
    <row r="23" ht="12.0" customHeight="1">
      <c r="A23" s="549"/>
      <c r="B23" s="549"/>
      <c r="C23" s="552"/>
      <c r="D23" s="599"/>
      <c r="E23" s="549"/>
      <c r="F23" s="549"/>
      <c r="G23" s="549"/>
      <c r="H23" s="549"/>
      <c r="I23" s="549"/>
      <c r="J23" s="553"/>
      <c r="K23" s="549"/>
      <c r="L23" s="549"/>
      <c r="M23" s="549"/>
      <c r="N23" s="549"/>
      <c r="O23" s="549"/>
      <c r="P23" s="549"/>
      <c r="Q23" s="549"/>
      <c r="R23" s="549"/>
      <c r="S23" s="549"/>
      <c r="T23" s="549"/>
      <c r="U23" s="549"/>
      <c r="V23" s="549"/>
      <c r="W23" s="549"/>
      <c r="X23" s="549"/>
      <c r="Y23" s="549"/>
      <c r="Z23" s="549"/>
    </row>
    <row r="24" ht="12.0" customHeight="1">
      <c r="A24" s="549"/>
      <c r="B24" s="549"/>
      <c r="C24" s="552"/>
      <c r="D24" s="599"/>
      <c r="E24" s="549"/>
      <c r="F24" s="549"/>
      <c r="G24" s="549"/>
      <c r="H24" s="549"/>
      <c r="I24" s="549"/>
      <c r="J24" s="549"/>
      <c r="K24" s="549"/>
      <c r="L24" s="549"/>
      <c r="M24" s="549"/>
      <c r="N24" s="549"/>
      <c r="O24" s="549"/>
      <c r="P24" s="549"/>
      <c r="Q24" s="549"/>
      <c r="R24" s="549"/>
      <c r="S24" s="549"/>
      <c r="T24" s="549"/>
      <c r="U24" s="549"/>
      <c r="V24" s="549"/>
      <c r="W24" s="549"/>
      <c r="X24" s="549"/>
      <c r="Y24" s="549"/>
      <c r="Z24" s="549"/>
    </row>
    <row r="25" ht="12.0" customHeight="1">
      <c r="A25" s="549" t="s">
        <v>16</v>
      </c>
      <c r="B25" s="549" t="s">
        <v>342</v>
      </c>
      <c r="C25" s="397" t="s">
        <v>343</v>
      </c>
      <c r="D25" s="599">
        <v>2019.0</v>
      </c>
      <c r="E25" s="599">
        <v>2020.0</v>
      </c>
      <c r="F25" s="397" t="s">
        <v>344</v>
      </c>
      <c r="G25" s="397" t="s">
        <v>345</v>
      </c>
      <c r="H25" s="549"/>
      <c r="I25" s="549"/>
      <c r="J25" s="549"/>
      <c r="K25" s="549"/>
      <c r="L25" s="549"/>
      <c r="M25" s="549"/>
      <c r="N25" s="549" t="s">
        <v>346</v>
      </c>
      <c r="O25" s="549"/>
      <c r="P25" s="549"/>
      <c r="Q25" s="549"/>
      <c r="R25" s="549"/>
      <c r="S25" s="549"/>
      <c r="T25" s="549"/>
      <c r="U25" s="549"/>
      <c r="V25" s="549"/>
      <c r="W25" s="549"/>
      <c r="X25" s="549"/>
      <c r="Y25" s="549"/>
      <c r="Z25" s="549"/>
    </row>
    <row r="26" ht="12.0" customHeight="1">
      <c r="A26" s="549">
        <v>2014.0</v>
      </c>
      <c r="B26" s="549" t="s">
        <v>347</v>
      </c>
      <c r="C26" s="397" t="s">
        <v>348</v>
      </c>
      <c r="D26" s="397" t="s">
        <v>335</v>
      </c>
      <c r="E26" s="397" t="s">
        <v>335</v>
      </c>
      <c r="F26" s="397" t="s">
        <v>349</v>
      </c>
      <c r="G26" s="397" t="s">
        <v>350</v>
      </c>
      <c r="H26" s="549"/>
      <c r="I26" s="549"/>
      <c r="J26" s="549"/>
      <c r="K26" s="549"/>
      <c r="L26" s="600" t="s">
        <v>351</v>
      </c>
      <c r="M26" s="554">
        <f>J11+J9</f>
        <v>4087.997146</v>
      </c>
      <c r="N26" s="601">
        <f t="shared" ref="N26:N31" si="21">M26/$M$36</f>
        <v>0.3149654637</v>
      </c>
      <c r="O26" s="549"/>
      <c r="P26" s="549"/>
      <c r="Q26" s="397" t="s">
        <v>348</v>
      </c>
      <c r="R26" s="397" t="s">
        <v>335</v>
      </c>
      <c r="S26" s="549"/>
      <c r="T26" s="549"/>
      <c r="U26" s="549"/>
      <c r="V26" s="549"/>
      <c r="W26" s="549"/>
      <c r="X26" s="549"/>
      <c r="Y26" s="549"/>
      <c r="Z26" s="549"/>
    </row>
    <row r="27" ht="12.0" customHeight="1">
      <c r="A27" s="549">
        <v>3838.0</v>
      </c>
      <c r="B27" s="549" t="s">
        <v>352</v>
      </c>
      <c r="C27" s="397" t="s">
        <v>353</v>
      </c>
      <c r="D27" s="397" t="s">
        <v>337</v>
      </c>
      <c r="E27" s="397" t="s">
        <v>337</v>
      </c>
      <c r="F27" s="397" t="s">
        <v>354</v>
      </c>
      <c r="G27" s="397" t="s">
        <v>355</v>
      </c>
      <c r="H27" s="549"/>
      <c r="I27" s="549"/>
      <c r="J27" s="549"/>
      <c r="K27" s="549"/>
      <c r="L27" s="600" t="s">
        <v>356</v>
      </c>
      <c r="M27" s="554">
        <f>J12+J15+J14</f>
        <v>203.4926942</v>
      </c>
      <c r="N27" s="601">
        <f t="shared" si="21"/>
        <v>0.01567837953</v>
      </c>
      <c r="O27" s="549"/>
      <c r="P27" s="549"/>
      <c r="Q27" s="397" t="s">
        <v>353</v>
      </c>
      <c r="R27" s="397" t="s">
        <v>337</v>
      </c>
      <c r="S27" s="549"/>
      <c r="T27" s="549"/>
      <c r="U27" s="549"/>
      <c r="V27" s="549"/>
      <c r="W27" s="549"/>
      <c r="X27" s="549"/>
      <c r="Y27" s="549"/>
      <c r="Z27" s="549"/>
    </row>
    <row r="28" ht="12.0" customHeight="1">
      <c r="A28" s="549">
        <v>3043.0</v>
      </c>
      <c r="B28" s="549" t="s">
        <v>357</v>
      </c>
      <c r="C28" s="397" t="s">
        <v>358</v>
      </c>
      <c r="D28" s="397" t="s">
        <v>359</v>
      </c>
      <c r="E28" s="397" t="s">
        <v>359</v>
      </c>
      <c r="F28" s="397" t="s">
        <v>360</v>
      </c>
      <c r="G28" s="397" t="s">
        <v>361</v>
      </c>
      <c r="H28" s="549"/>
      <c r="I28" s="549"/>
      <c r="J28" s="549"/>
      <c r="K28" s="549"/>
      <c r="L28" s="600" t="s">
        <v>362</v>
      </c>
      <c r="M28" s="554">
        <f>J13+J17</f>
        <v>4763.302247</v>
      </c>
      <c r="N28" s="601">
        <f t="shared" si="21"/>
        <v>0.3669952907</v>
      </c>
      <c r="O28" s="549"/>
      <c r="P28" s="549"/>
      <c r="Q28" s="397" t="s">
        <v>358</v>
      </c>
      <c r="R28" s="397" t="s">
        <v>359</v>
      </c>
      <c r="S28" s="549"/>
      <c r="T28" s="549"/>
      <c r="U28" s="549"/>
      <c r="V28" s="549"/>
      <c r="W28" s="549"/>
      <c r="X28" s="549"/>
      <c r="Y28" s="549"/>
      <c r="Z28" s="549"/>
    </row>
    <row r="29" ht="12.0" customHeight="1">
      <c r="A29" s="549">
        <v>2080.0</v>
      </c>
      <c r="B29" s="549" t="s">
        <v>363</v>
      </c>
      <c r="C29" s="397" t="s">
        <v>364</v>
      </c>
      <c r="D29" s="397" t="s">
        <v>333</v>
      </c>
      <c r="E29" s="397" t="s">
        <v>333</v>
      </c>
      <c r="F29" s="397" t="s">
        <v>365</v>
      </c>
      <c r="G29" s="397" t="s">
        <v>366</v>
      </c>
      <c r="H29" s="549"/>
      <c r="I29" s="549"/>
      <c r="J29" s="549"/>
      <c r="K29" s="549"/>
      <c r="L29" s="600" t="s">
        <v>367</v>
      </c>
      <c r="M29" s="554">
        <f>J8</f>
        <v>93.83431712</v>
      </c>
      <c r="N29" s="601">
        <f t="shared" si="21"/>
        <v>0.007229596338</v>
      </c>
      <c r="O29" s="549"/>
      <c r="P29" s="549"/>
      <c r="Q29" s="397" t="s">
        <v>364</v>
      </c>
      <c r="R29" s="397" t="s">
        <v>333</v>
      </c>
      <c r="S29" s="549"/>
      <c r="T29" s="549"/>
      <c r="U29" s="549"/>
      <c r="V29" s="549"/>
      <c r="W29" s="549"/>
      <c r="X29" s="549"/>
      <c r="Y29" s="549"/>
      <c r="Z29" s="549"/>
    </row>
    <row r="30" ht="12.0" customHeight="1">
      <c r="A30" s="549">
        <v>2083.0</v>
      </c>
      <c r="B30" s="549" t="s">
        <v>368</v>
      </c>
      <c r="C30" s="397" t="s">
        <v>369</v>
      </c>
      <c r="D30" s="397" t="s">
        <v>339</v>
      </c>
      <c r="E30" s="397" t="s">
        <v>339</v>
      </c>
      <c r="F30" s="397" t="s">
        <v>370</v>
      </c>
      <c r="G30" s="397" t="s">
        <v>371</v>
      </c>
      <c r="H30" s="549"/>
      <c r="I30" s="549"/>
      <c r="J30" s="549"/>
      <c r="K30" s="549"/>
      <c r="L30" s="602" t="s">
        <v>372</v>
      </c>
      <c r="M30" s="554">
        <f>J10+J7</f>
        <v>3771.631811</v>
      </c>
      <c r="N30" s="601">
        <f t="shared" si="21"/>
        <v>0.2905906534</v>
      </c>
      <c r="O30" s="549"/>
      <c r="P30" s="549"/>
      <c r="Q30" s="397" t="s">
        <v>369</v>
      </c>
      <c r="R30" s="397" t="s">
        <v>339</v>
      </c>
      <c r="S30" s="549"/>
      <c r="T30" s="549"/>
      <c r="U30" s="549"/>
      <c r="V30" s="549"/>
      <c r="W30" s="549"/>
      <c r="X30" s="549"/>
      <c r="Y30" s="549"/>
      <c r="Z30" s="549"/>
    </row>
    <row r="31" ht="12.0" customHeight="1">
      <c r="A31" s="549">
        <v>2905.0</v>
      </c>
      <c r="B31" s="549" t="s">
        <v>373</v>
      </c>
      <c r="C31" s="397" t="s">
        <v>374</v>
      </c>
      <c r="D31" s="397" t="s">
        <v>332</v>
      </c>
      <c r="E31" s="397" t="s">
        <v>332</v>
      </c>
      <c r="F31" s="397" t="s">
        <v>375</v>
      </c>
      <c r="G31" s="397" t="s">
        <v>376</v>
      </c>
      <c r="H31" s="549"/>
      <c r="I31" s="549"/>
      <c r="J31" s="549"/>
      <c r="K31" s="549"/>
      <c r="L31" s="600" t="s">
        <v>377</v>
      </c>
      <c r="M31" s="554">
        <f>J16</f>
        <v>58.93353054</v>
      </c>
      <c r="N31" s="601">
        <f t="shared" si="21"/>
        <v>0.004540616373</v>
      </c>
      <c r="O31" s="549"/>
      <c r="P31" s="549"/>
      <c r="Q31" s="397" t="s">
        <v>374</v>
      </c>
      <c r="R31" s="397" t="s">
        <v>332</v>
      </c>
      <c r="S31" s="549"/>
      <c r="T31" s="549"/>
      <c r="U31" s="549"/>
      <c r="V31" s="549"/>
      <c r="W31" s="549"/>
      <c r="X31" s="549"/>
      <c r="Y31" s="549"/>
      <c r="Z31" s="549"/>
    </row>
    <row r="32" ht="12.0" customHeight="1">
      <c r="A32" s="549">
        <v>2028.0</v>
      </c>
      <c r="B32" s="549" t="s">
        <v>378</v>
      </c>
      <c r="C32" s="397" t="s">
        <v>379</v>
      </c>
      <c r="D32" s="397" t="s">
        <v>334</v>
      </c>
      <c r="E32" s="397" t="s">
        <v>334</v>
      </c>
      <c r="F32" s="397" t="s">
        <v>380</v>
      </c>
      <c r="G32" s="397" t="s">
        <v>381</v>
      </c>
      <c r="H32" s="549"/>
      <c r="I32" s="549"/>
      <c r="J32" s="549"/>
      <c r="K32" s="549"/>
      <c r="L32" s="600"/>
      <c r="M32" s="554"/>
      <c r="N32" s="602"/>
      <c r="O32" s="549"/>
      <c r="P32" s="549"/>
      <c r="Q32" s="397" t="s">
        <v>382</v>
      </c>
      <c r="R32" s="397" t="s">
        <v>336</v>
      </c>
      <c r="S32" s="549"/>
      <c r="T32" s="549"/>
      <c r="U32" s="549"/>
      <c r="V32" s="549"/>
      <c r="W32" s="549"/>
      <c r="X32" s="549"/>
      <c r="Y32" s="549"/>
      <c r="Z32" s="549"/>
    </row>
    <row r="33" ht="12.0" customHeight="1">
      <c r="A33" s="549">
        <v>1802.0</v>
      </c>
      <c r="B33" s="549" t="s">
        <v>383</v>
      </c>
      <c r="C33" s="397" t="s">
        <v>382</v>
      </c>
      <c r="D33" s="397" t="s">
        <v>336</v>
      </c>
      <c r="E33" s="397" t="s">
        <v>336</v>
      </c>
      <c r="F33" s="397" t="s">
        <v>380</v>
      </c>
      <c r="G33" s="397" t="s">
        <v>381</v>
      </c>
      <c r="H33" s="549"/>
      <c r="I33" s="549"/>
      <c r="J33" s="549"/>
      <c r="K33" s="549"/>
      <c r="L33" s="600"/>
      <c r="M33" s="554"/>
      <c r="N33" s="553"/>
      <c r="O33" s="549"/>
      <c r="P33" s="549"/>
      <c r="Q33" s="397" t="s">
        <v>379</v>
      </c>
      <c r="R33" s="397" t="s">
        <v>334</v>
      </c>
      <c r="S33" s="549"/>
      <c r="T33" s="549"/>
      <c r="U33" s="549"/>
      <c r="V33" s="549"/>
      <c r="W33" s="549"/>
      <c r="X33" s="549"/>
      <c r="Y33" s="549"/>
      <c r="Z33" s="549"/>
    </row>
    <row r="34" ht="12.0" customHeight="1">
      <c r="A34" s="549">
        <v>4360.0</v>
      </c>
      <c r="B34" s="549" t="s">
        <v>384</v>
      </c>
      <c r="C34" s="397" t="s">
        <v>385</v>
      </c>
      <c r="D34" s="397" t="s">
        <v>386</v>
      </c>
      <c r="E34" s="397" t="s">
        <v>337</v>
      </c>
      <c r="F34" s="397" t="s">
        <v>387</v>
      </c>
      <c r="G34" s="397" t="s">
        <v>388</v>
      </c>
      <c r="H34" s="602"/>
      <c r="I34" s="602"/>
      <c r="J34" s="549"/>
      <c r="K34" s="549"/>
      <c r="L34" s="600"/>
      <c r="M34" s="554"/>
      <c r="N34" s="602"/>
      <c r="O34" s="549"/>
      <c r="P34" s="549"/>
      <c r="Q34" s="397" t="s">
        <v>385</v>
      </c>
      <c r="R34" s="397" t="s">
        <v>337</v>
      </c>
      <c r="S34" s="549"/>
      <c r="T34" s="549"/>
      <c r="U34" s="549"/>
      <c r="V34" s="549"/>
      <c r="W34" s="549"/>
      <c r="X34" s="549"/>
      <c r="Y34" s="549"/>
      <c r="Z34" s="549"/>
    </row>
    <row r="35" ht="12.0" customHeight="1">
      <c r="A35" s="549">
        <v>3957.0</v>
      </c>
      <c r="B35" s="549" t="s">
        <v>377</v>
      </c>
      <c r="C35" s="397" t="s">
        <v>389</v>
      </c>
      <c r="D35" s="397" t="s">
        <v>341</v>
      </c>
      <c r="E35" s="397" t="s">
        <v>341</v>
      </c>
      <c r="F35" s="397" t="s">
        <v>390</v>
      </c>
      <c r="G35" s="397" t="s">
        <v>391</v>
      </c>
      <c r="H35" s="553"/>
      <c r="I35" s="553"/>
      <c r="J35" s="549"/>
      <c r="K35" s="549"/>
      <c r="L35" s="600"/>
      <c r="M35" s="554"/>
      <c r="N35" s="553"/>
      <c r="O35" s="549"/>
      <c r="P35" s="549"/>
      <c r="Q35" s="397" t="s">
        <v>389</v>
      </c>
      <c r="R35" s="397" t="s">
        <v>341</v>
      </c>
      <c r="S35" s="549"/>
      <c r="T35" s="549"/>
      <c r="U35" s="549"/>
      <c r="V35" s="549"/>
      <c r="W35" s="549"/>
      <c r="X35" s="549"/>
      <c r="Y35" s="549"/>
      <c r="Z35" s="549"/>
    </row>
    <row r="36" ht="12.0" customHeight="1">
      <c r="A36" s="549">
        <v>3662.0</v>
      </c>
      <c r="B36" s="549" t="s">
        <v>392</v>
      </c>
      <c r="C36" s="397" t="s">
        <v>393</v>
      </c>
      <c r="D36" s="397" t="s">
        <v>340</v>
      </c>
      <c r="E36" s="397" t="s">
        <v>340</v>
      </c>
      <c r="F36" s="397" t="s">
        <v>394</v>
      </c>
      <c r="G36" s="397" t="s">
        <v>395</v>
      </c>
      <c r="H36" s="553"/>
      <c r="I36" s="553"/>
      <c r="J36" s="549"/>
      <c r="K36" s="549"/>
      <c r="L36" s="603"/>
      <c r="M36" s="602">
        <f t="shared" ref="M36:N36" si="22">SUM(M26:M35)</f>
        <v>12979.19175</v>
      </c>
      <c r="N36" s="602">
        <f t="shared" si="22"/>
        <v>1</v>
      </c>
      <c r="O36" s="555"/>
      <c r="P36" s="555"/>
      <c r="Q36" s="397" t="s">
        <v>393</v>
      </c>
      <c r="R36" s="397" t="s">
        <v>340</v>
      </c>
      <c r="S36" s="549"/>
      <c r="T36" s="549"/>
      <c r="U36" s="549"/>
      <c r="V36" s="549"/>
      <c r="W36" s="549"/>
      <c r="X36" s="549"/>
      <c r="Y36" s="549"/>
      <c r="Z36" s="549"/>
    </row>
    <row r="37" ht="12.0" customHeight="1">
      <c r="A37" s="549"/>
      <c r="B37" s="549"/>
      <c r="C37" s="549"/>
      <c r="D37" s="604"/>
      <c r="E37" s="602"/>
      <c r="F37" s="602"/>
      <c r="G37" s="602"/>
      <c r="H37" s="602"/>
      <c r="I37" s="549"/>
      <c r="J37" s="549"/>
      <c r="K37" s="599"/>
      <c r="L37" s="553"/>
      <c r="M37" s="553"/>
      <c r="N37" s="553"/>
      <c r="O37" s="602"/>
      <c r="P37" s="602"/>
      <c r="Q37" s="397"/>
      <c r="R37" s="397"/>
      <c r="S37" s="549"/>
      <c r="T37" s="549"/>
      <c r="U37" s="549"/>
      <c r="V37" s="549"/>
      <c r="W37" s="549"/>
      <c r="X37" s="549"/>
      <c r="Y37" s="549"/>
      <c r="Z37" s="549"/>
    </row>
    <row r="38" ht="12.0" customHeight="1">
      <c r="A38" s="549"/>
      <c r="B38" s="549"/>
      <c r="C38" s="549"/>
      <c r="D38" s="599"/>
      <c r="E38" s="553"/>
      <c r="F38" s="553"/>
      <c r="G38" s="553"/>
      <c r="H38" s="553"/>
      <c r="I38" s="549"/>
      <c r="J38" s="549"/>
      <c r="K38" s="604"/>
      <c r="L38" s="602"/>
      <c r="M38" s="602"/>
      <c r="N38" s="602"/>
      <c r="O38" s="553"/>
      <c r="P38" s="553"/>
      <c r="Q38" s="397"/>
      <c r="R38" s="397"/>
      <c r="S38" s="549"/>
      <c r="T38" s="549"/>
      <c r="U38" s="549"/>
      <c r="V38" s="549"/>
      <c r="W38" s="549"/>
      <c r="X38" s="549"/>
      <c r="Y38" s="549"/>
      <c r="Z38" s="549"/>
    </row>
    <row r="39" ht="12.0" customHeight="1">
      <c r="A39" s="549"/>
      <c r="B39" s="549"/>
      <c r="C39" s="549"/>
      <c r="D39" s="549"/>
      <c r="E39" s="549"/>
      <c r="F39" s="549"/>
      <c r="G39" s="549"/>
      <c r="H39" s="549"/>
      <c r="I39" s="549"/>
      <c r="J39" s="549"/>
      <c r="K39" s="599"/>
      <c r="L39" s="553"/>
      <c r="M39" s="553"/>
      <c r="N39" s="553"/>
      <c r="O39" s="602"/>
      <c r="P39" s="602"/>
      <c r="Q39" s="397"/>
      <c r="R39" s="397"/>
      <c r="S39" s="549"/>
      <c r="T39" s="549"/>
      <c r="U39" s="549"/>
      <c r="V39" s="549"/>
      <c r="W39" s="549"/>
      <c r="X39" s="549"/>
      <c r="Y39" s="549"/>
      <c r="Z39" s="549"/>
    </row>
    <row r="40" ht="12.0" customHeight="1">
      <c r="A40" s="549"/>
      <c r="B40" s="549"/>
      <c r="C40" s="549"/>
      <c r="D40" s="549"/>
      <c r="E40" s="549"/>
      <c r="F40" s="549"/>
      <c r="G40" s="549"/>
      <c r="H40" s="549"/>
      <c r="I40" s="549"/>
      <c r="J40" s="549"/>
      <c r="K40" s="604"/>
      <c r="L40" s="602"/>
      <c r="M40" s="602"/>
      <c r="N40" s="602"/>
      <c r="O40" s="553"/>
      <c r="P40" s="553"/>
      <c r="Q40" s="397"/>
      <c r="R40" s="397"/>
      <c r="S40" s="549"/>
      <c r="T40" s="549"/>
      <c r="U40" s="549"/>
      <c r="V40" s="549"/>
      <c r="W40" s="549"/>
      <c r="X40" s="549"/>
      <c r="Y40" s="549"/>
      <c r="Z40" s="549"/>
    </row>
    <row r="41" ht="12.0" customHeight="1">
      <c r="A41" s="549"/>
      <c r="B41" s="549"/>
      <c r="C41" s="549"/>
      <c r="D41" s="549"/>
      <c r="E41" s="549"/>
      <c r="F41" s="549"/>
      <c r="G41" s="549"/>
      <c r="H41" s="549"/>
      <c r="I41" s="549"/>
      <c r="J41" s="549"/>
      <c r="K41" s="599"/>
      <c r="L41" s="553"/>
      <c r="M41" s="553"/>
      <c r="N41" s="553"/>
      <c r="O41" s="602"/>
      <c r="P41" s="602"/>
      <c r="Q41" s="397"/>
      <c r="R41" s="397"/>
      <c r="S41" s="549"/>
      <c r="T41" s="549"/>
      <c r="U41" s="549"/>
      <c r="V41" s="549"/>
      <c r="W41" s="549"/>
      <c r="X41" s="549"/>
      <c r="Y41" s="549"/>
      <c r="Z41" s="549"/>
    </row>
    <row r="42" ht="12.0" customHeight="1">
      <c r="A42" s="549"/>
      <c r="B42" s="549"/>
      <c r="C42" s="549"/>
      <c r="D42" s="549"/>
      <c r="E42" s="549"/>
      <c r="F42" s="549"/>
      <c r="G42" s="549"/>
      <c r="H42" s="549"/>
      <c r="I42" s="549"/>
      <c r="J42" s="549"/>
      <c r="K42" s="599"/>
      <c r="L42" s="553"/>
      <c r="M42" s="553"/>
      <c r="N42" s="553"/>
      <c r="O42" s="553"/>
      <c r="P42" s="553"/>
      <c r="Q42" s="397"/>
      <c r="R42" s="397"/>
      <c r="S42" s="549"/>
      <c r="T42" s="549"/>
      <c r="U42" s="549"/>
      <c r="V42" s="549"/>
      <c r="W42" s="549"/>
      <c r="X42" s="549"/>
      <c r="Y42" s="549"/>
      <c r="Z42" s="549"/>
    </row>
    <row r="43" ht="12.0" customHeight="1">
      <c r="A43" s="549"/>
      <c r="B43" s="549"/>
      <c r="C43" s="549"/>
      <c r="D43" s="549"/>
      <c r="E43" s="549"/>
      <c r="F43" s="549"/>
      <c r="G43" s="549"/>
      <c r="H43" s="549"/>
      <c r="I43" s="549"/>
      <c r="J43" s="549"/>
      <c r="K43" s="604"/>
      <c r="L43" s="602"/>
      <c r="M43" s="602"/>
      <c r="N43" s="602"/>
      <c r="O43" s="602"/>
      <c r="P43" s="602"/>
      <c r="Q43" s="549"/>
      <c r="R43" s="549"/>
      <c r="S43" s="549"/>
      <c r="T43" s="549"/>
      <c r="U43" s="549"/>
      <c r="V43" s="549"/>
      <c r="W43" s="549"/>
      <c r="X43" s="549"/>
      <c r="Y43" s="549"/>
      <c r="Z43" s="549"/>
    </row>
    <row r="44" ht="12.0" customHeight="1">
      <c r="A44" s="549"/>
      <c r="B44" s="549"/>
      <c r="C44" s="549"/>
      <c r="D44" s="549"/>
      <c r="E44" s="549"/>
      <c r="F44" s="549"/>
      <c r="G44" s="549"/>
      <c r="H44" s="549"/>
      <c r="I44" s="549"/>
      <c r="J44" s="549"/>
      <c r="K44" s="599"/>
      <c r="L44" s="553"/>
      <c r="M44" s="553"/>
      <c r="N44" s="553"/>
      <c r="O44" s="553"/>
      <c r="P44" s="553"/>
      <c r="Q44" s="549"/>
      <c r="R44" s="549"/>
      <c r="S44" s="549"/>
      <c r="T44" s="549"/>
      <c r="U44" s="549"/>
      <c r="V44" s="549"/>
      <c r="W44" s="549"/>
      <c r="X44" s="549"/>
      <c r="Y44" s="549"/>
      <c r="Z44" s="549"/>
    </row>
    <row r="45" ht="12.0" customHeight="1">
      <c r="A45" s="549"/>
      <c r="B45" s="549"/>
      <c r="C45" s="549"/>
      <c r="D45" s="549"/>
      <c r="E45" s="549"/>
      <c r="F45" s="549"/>
      <c r="G45" s="549"/>
      <c r="H45" s="549"/>
      <c r="I45" s="549"/>
      <c r="J45" s="549"/>
      <c r="K45" s="604"/>
      <c r="L45" s="602"/>
      <c r="M45" s="602"/>
      <c r="N45" s="602"/>
      <c r="O45" s="602"/>
      <c r="P45" s="602"/>
      <c r="Q45" s="549"/>
      <c r="R45" s="549"/>
      <c r="S45" s="549"/>
      <c r="T45" s="549"/>
      <c r="U45" s="549"/>
      <c r="V45" s="549"/>
      <c r="W45" s="549"/>
      <c r="X45" s="549"/>
      <c r="Y45" s="549"/>
      <c r="Z45" s="549"/>
    </row>
    <row r="46" ht="12.0" customHeight="1">
      <c r="A46" s="549"/>
      <c r="B46" s="549"/>
      <c r="C46" s="549"/>
      <c r="D46" s="549"/>
      <c r="E46" s="549"/>
      <c r="F46" s="549"/>
      <c r="G46" s="549"/>
      <c r="H46" s="549"/>
      <c r="I46" s="549"/>
      <c r="J46" s="549"/>
      <c r="K46" s="599"/>
      <c r="L46" s="553"/>
      <c r="M46" s="553"/>
      <c r="N46" s="553"/>
      <c r="O46" s="553"/>
      <c r="P46" s="549"/>
      <c r="Q46" s="549"/>
      <c r="R46" s="549"/>
      <c r="S46" s="549"/>
      <c r="T46" s="549"/>
      <c r="U46" s="549"/>
      <c r="V46" s="549"/>
      <c r="W46" s="549"/>
      <c r="X46" s="549"/>
      <c r="Y46" s="549"/>
      <c r="Z46" s="549"/>
    </row>
    <row r="47" ht="12.0" customHeight="1">
      <c r="A47" s="549"/>
      <c r="B47" s="549"/>
      <c r="C47" s="549"/>
      <c r="D47" s="549"/>
      <c r="E47" s="549"/>
      <c r="F47" s="549"/>
      <c r="G47" s="549"/>
      <c r="H47" s="549"/>
      <c r="I47" s="549"/>
      <c r="J47" s="549"/>
      <c r="K47" s="604"/>
      <c r="L47" s="602"/>
      <c r="M47" s="602"/>
      <c r="N47" s="602"/>
      <c r="O47" s="602"/>
      <c r="P47" s="549"/>
      <c r="Q47" s="549"/>
      <c r="R47" s="549"/>
      <c r="S47" s="549"/>
      <c r="T47" s="549"/>
      <c r="U47" s="549"/>
      <c r="V47" s="549"/>
      <c r="W47" s="549"/>
      <c r="X47" s="549"/>
      <c r="Y47" s="549"/>
      <c r="Z47" s="549"/>
    </row>
    <row r="48" ht="12.0" customHeight="1">
      <c r="A48" s="549"/>
      <c r="B48" s="549"/>
      <c r="C48" s="549"/>
      <c r="D48" s="549"/>
      <c r="E48" s="549"/>
      <c r="F48" s="549"/>
      <c r="G48" s="549"/>
      <c r="H48" s="549"/>
      <c r="I48" s="549"/>
      <c r="J48" s="549"/>
      <c r="K48" s="599"/>
      <c r="L48" s="553"/>
      <c r="M48" s="553"/>
      <c r="N48" s="553"/>
      <c r="O48" s="553"/>
      <c r="P48" s="549"/>
      <c r="Q48" s="549"/>
      <c r="R48" s="549"/>
      <c r="S48" s="549"/>
      <c r="T48" s="549"/>
      <c r="U48" s="549"/>
      <c r="V48" s="549"/>
      <c r="W48" s="549"/>
      <c r="X48" s="549"/>
      <c r="Y48" s="549"/>
      <c r="Z48" s="549"/>
    </row>
    <row r="49" ht="12.0" customHeight="1">
      <c r="A49" s="549"/>
      <c r="B49" s="549"/>
      <c r="C49" s="549"/>
      <c r="D49" s="549"/>
      <c r="E49" s="549"/>
      <c r="F49" s="549"/>
      <c r="G49" s="549"/>
      <c r="H49" s="549"/>
      <c r="I49" s="549"/>
      <c r="J49" s="549"/>
      <c r="K49" s="604"/>
      <c r="L49" s="602"/>
      <c r="M49" s="602"/>
      <c r="N49" s="602"/>
      <c r="O49" s="602"/>
      <c r="P49" s="549"/>
      <c r="Q49" s="549"/>
      <c r="R49" s="549"/>
      <c r="S49" s="549"/>
      <c r="T49" s="549"/>
      <c r="U49" s="549"/>
      <c r="V49" s="549"/>
      <c r="W49" s="549"/>
      <c r="X49" s="549"/>
      <c r="Y49" s="549"/>
      <c r="Z49" s="549"/>
    </row>
    <row r="50" ht="12.0" customHeight="1">
      <c r="A50" s="549"/>
      <c r="B50" s="549"/>
      <c r="C50" s="549"/>
      <c r="D50" s="549"/>
      <c r="E50" s="549"/>
      <c r="F50" s="549"/>
      <c r="G50" s="549"/>
      <c r="H50" s="549"/>
      <c r="I50" s="549"/>
      <c r="J50" s="549"/>
      <c r="K50" s="549"/>
      <c r="L50" s="549"/>
      <c r="M50" s="549"/>
      <c r="N50" s="549"/>
      <c r="O50" s="553"/>
      <c r="P50" s="549"/>
      <c r="Q50" s="549"/>
      <c r="R50" s="549"/>
      <c r="S50" s="549"/>
      <c r="T50" s="549"/>
      <c r="U50" s="549"/>
      <c r="V50" s="549"/>
      <c r="W50" s="549"/>
      <c r="X50" s="549"/>
      <c r="Y50" s="549"/>
      <c r="Z50" s="549"/>
    </row>
    <row r="51" ht="12.0" customHeight="1">
      <c r="A51" s="549"/>
      <c r="B51" s="549"/>
      <c r="C51" s="549"/>
      <c r="D51" s="549"/>
      <c r="E51" s="549"/>
      <c r="F51" s="549"/>
      <c r="G51" s="549"/>
      <c r="H51" s="549"/>
      <c r="I51" s="549"/>
      <c r="J51" s="549"/>
      <c r="K51" s="549"/>
      <c r="L51" s="549"/>
      <c r="M51" s="549"/>
      <c r="N51" s="549"/>
      <c r="O51" s="553"/>
      <c r="P51" s="549"/>
      <c r="Q51" s="549"/>
      <c r="R51" s="549"/>
      <c r="S51" s="549"/>
      <c r="T51" s="549"/>
      <c r="U51" s="549"/>
      <c r="V51" s="549"/>
      <c r="W51" s="549"/>
      <c r="X51" s="549"/>
      <c r="Y51" s="549"/>
      <c r="Z51" s="549"/>
    </row>
    <row r="52" ht="12.0" customHeight="1">
      <c r="A52" s="549"/>
      <c r="B52" s="549"/>
      <c r="C52" s="549"/>
      <c r="D52" s="549"/>
      <c r="E52" s="549"/>
      <c r="F52" s="549"/>
      <c r="G52" s="549"/>
      <c r="H52" s="549"/>
      <c r="I52" s="549"/>
      <c r="J52" s="549"/>
      <c r="K52" s="549"/>
      <c r="L52" s="549"/>
      <c r="M52" s="549"/>
      <c r="N52" s="549"/>
      <c r="O52" s="602"/>
      <c r="P52" s="549"/>
      <c r="Q52" s="549"/>
      <c r="R52" s="549"/>
      <c r="S52" s="549"/>
      <c r="T52" s="549"/>
      <c r="U52" s="549"/>
      <c r="V52" s="549"/>
      <c r="W52" s="549"/>
      <c r="X52" s="549"/>
      <c r="Y52" s="549"/>
      <c r="Z52" s="549"/>
    </row>
    <row r="53" ht="12.0" customHeight="1">
      <c r="A53" s="549"/>
      <c r="B53" s="549"/>
      <c r="C53" s="549"/>
      <c r="D53" s="549"/>
      <c r="E53" s="549"/>
      <c r="F53" s="549"/>
      <c r="G53" s="549"/>
      <c r="H53" s="549"/>
      <c r="I53" s="549"/>
      <c r="J53" s="549"/>
      <c r="K53" s="549"/>
      <c r="L53" s="549"/>
      <c r="M53" s="549"/>
      <c r="N53" s="549"/>
      <c r="O53" s="553"/>
      <c r="P53" s="549"/>
      <c r="Q53" s="549"/>
      <c r="R53" s="549"/>
      <c r="S53" s="549"/>
      <c r="T53" s="549"/>
      <c r="U53" s="549"/>
      <c r="V53" s="549"/>
      <c r="W53" s="549"/>
      <c r="X53" s="549"/>
      <c r="Y53" s="549"/>
      <c r="Z53" s="549"/>
    </row>
    <row r="54" ht="12.0" customHeight="1">
      <c r="A54" s="549"/>
      <c r="B54" s="549"/>
      <c r="C54" s="549"/>
      <c r="D54" s="549"/>
      <c r="E54" s="549"/>
      <c r="F54" s="549"/>
      <c r="G54" s="549"/>
      <c r="H54" s="549"/>
      <c r="I54" s="549"/>
      <c r="J54" s="549"/>
      <c r="K54" s="549"/>
      <c r="L54" s="549"/>
      <c r="M54" s="549"/>
      <c r="N54" s="549"/>
      <c r="O54" s="602"/>
      <c r="P54" s="549"/>
      <c r="Q54" s="549"/>
      <c r="R54" s="549"/>
      <c r="S54" s="549"/>
      <c r="T54" s="549"/>
      <c r="U54" s="549"/>
      <c r="V54" s="549"/>
      <c r="W54" s="549"/>
      <c r="X54" s="549"/>
      <c r="Y54" s="549"/>
      <c r="Z54" s="549"/>
    </row>
    <row r="55" ht="12.0" customHeight="1">
      <c r="A55" s="549"/>
      <c r="B55" s="549"/>
      <c r="C55" s="549"/>
      <c r="D55" s="549"/>
      <c r="E55" s="549"/>
      <c r="F55" s="549"/>
      <c r="G55" s="549"/>
      <c r="H55" s="549"/>
      <c r="I55" s="549"/>
      <c r="J55" s="549"/>
      <c r="K55" s="549"/>
      <c r="L55" s="549"/>
      <c r="M55" s="549"/>
      <c r="N55" s="549"/>
      <c r="O55" s="553"/>
      <c r="P55" s="549"/>
      <c r="Q55" s="549"/>
      <c r="R55" s="549"/>
      <c r="S55" s="549"/>
      <c r="T55" s="549"/>
      <c r="U55" s="549"/>
      <c r="V55" s="549"/>
      <c r="W55" s="549"/>
      <c r="X55" s="549"/>
      <c r="Y55" s="549"/>
      <c r="Z55" s="549"/>
    </row>
    <row r="56" ht="12.0" customHeight="1">
      <c r="A56" s="549"/>
      <c r="B56" s="549"/>
      <c r="C56" s="549"/>
      <c r="D56" s="549"/>
      <c r="E56" s="549"/>
      <c r="F56" s="549"/>
      <c r="G56" s="549"/>
      <c r="H56" s="549"/>
      <c r="I56" s="549"/>
      <c r="J56" s="549"/>
      <c r="K56" s="549"/>
      <c r="L56" s="549"/>
      <c r="M56" s="549"/>
      <c r="N56" s="549"/>
      <c r="O56" s="602"/>
      <c r="P56" s="549"/>
      <c r="Q56" s="549"/>
      <c r="R56" s="549"/>
      <c r="S56" s="549"/>
      <c r="T56" s="549"/>
      <c r="U56" s="549"/>
      <c r="V56" s="549"/>
      <c r="W56" s="549"/>
      <c r="X56" s="549"/>
      <c r="Y56" s="549"/>
      <c r="Z56" s="549"/>
    </row>
    <row r="57" ht="12.0" customHeight="1">
      <c r="A57" s="549"/>
      <c r="B57" s="549"/>
      <c r="C57" s="549"/>
      <c r="D57" s="549"/>
      <c r="E57" s="549"/>
      <c r="F57" s="549"/>
      <c r="G57" s="549"/>
      <c r="H57" s="549"/>
      <c r="I57" s="549"/>
      <c r="J57" s="549"/>
      <c r="K57" s="549"/>
      <c r="L57" s="549"/>
      <c r="M57" s="549"/>
      <c r="N57" s="549"/>
      <c r="O57" s="553"/>
      <c r="P57" s="549"/>
      <c r="Q57" s="549"/>
      <c r="R57" s="549"/>
      <c r="S57" s="549"/>
      <c r="T57" s="549"/>
      <c r="U57" s="549"/>
      <c r="V57" s="549"/>
      <c r="W57" s="549"/>
      <c r="X57" s="549"/>
      <c r="Y57" s="549"/>
      <c r="Z57" s="549"/>
    </row>
    <row r="58" ht="12.0" customHeight="1">
      <c r="A58" s="549"/>
      <c r="B58" s="549"/>
      <c r="C58" s="549"/>
      <c r="D58" s="549"/>
      <c r="E58" s="549"/>
      <c r="F58" s="549"/>
      <c r="G58" s="549"/>
      <c r="H58" s="549"/>
      <c r="I58" s="549"/>
      <c r="J58" s="549"/>
      <c r="K58" s="549"/>
      <c r="L58" s="549"/>
      <c r="M58" s="549"/>
      <c r="N58" s="549"/>
      <c r="O58" s="602"/>
      <c r="P58" s="549"/>
      <c r="Q58" s="549"/>
      <c r="R58" s="549"/>
      <c r="S58" s="549"/>
      <c r="T58" s="549"/>
      <c r="U58" s="549"/>
      <c r="V58" s="549"/>
      <c r="W58" s="549"/>
      <c r="X58" s="549"/>
      <c r="Y58" s="549"/>
      <c r="Z58" s="549"/>
    </row>
    <row r="59" ht="12.0" customHeight="1">
      <c r="A59" s="549"/>
      <c r="B59" s="549"/>
      <c r="C59" s="549"/>
      <c r="D59" s="549"/>
      <c r="E59" s="549"/>
      <c r="F59" s="549"/>
      <c r="G59" s="549"/>
      <c r="H59" s="549"/>
      <c r="I59" s="549"/>
      <c r="J59" s="549"/>
      <c r="K59" s="549"/>
      <c r="L59" s="549"/>
      <c r="M59" s="549"/>
      <c r="N59" s="549"/>
      <c r="O59" s="549"/>
      <c r="P59" s="549"/>
      <c r="Q59" s="549"/>
      <c r="R59" s="549"/>
      <c r="S59" s="549"/>
      <c r="T59" s="549"/>
      <c r="U59" s="549"/>
      <c r="V59" s="549"/>
      <c r="W59" s="549"/>
      <c r="X59" s="549"/>
      <c r="Y59" s="549"/>
      <c r="Z59" s="549"/>
    </row>
    <row r="60" ht="12.0" customHeight="1">
      <c r="A60" s="549"/>
      <c r="B60" s="549"/>
      <c r="C60" s="549"/>
      <c r="D60" s="549"/>
      <c r="E60" s="549"/>
      <c r="F60" s="549"/>
      <c r="G60" s="549"/>
      <c r="H60" s="549"/>
      <c r="I60" s="549"/>
      <c r="J60" s="549"/>
      <c r="K60" s="549"/>
      <c r="L60" s="549"/>
      <c r="M60" s="549"/>
      <c r="N60" s="549"/>
      <c r="O60" s="549"/>
      <c r="P60" s="549"/>
      <c r="Q60" s="549"/>
      <c r="R60" s="549"/>
      <c r="S60" s="549"/>
      <c r="T60" s="549"/>
      <c r="U60" s="549"/>
      <c r="V60" s="549"/>
      <c r="W60" s="549"/>
      <c r="X60" s="549"/>
      <c r="Y60" s="549"/>
      <c r="Z60" s="549"/>
    </row>
    <row r="61" ht="12.0" customHeight="1">
      <c r="A61" s="549"/>
      <c r="B61" s="549"/>
      <c r="C61" s="549"/>
      <c r="D61" s="549"/>
      <c r="E61" s="549"/>
      <c r="F61" s="549"/>
      <c r="G61" s="549"/>
      <c r="H61" s="549"/>
      <c r="I61" s="549"/>
      <c r="J61" s="549"/>
      <c r="K61" s="549"/>
      <c r="L61" s="549"/>
      <c r="M61" s="549"/>
      <c r="N61" s="549"/>
      <c r="O61" s="549"/>
      <c r="P61" s="549"/>
      <c r="Q61" s="549"/>
      <c r="R61" s="549"/>
      <c r="S61" s="549"/>
      <c r="T61" s="549"/>
      <c r="U61" s="549"/>
      <c r="V61" s="549"/>
      <c r="W61" s="549"/>
      <c r="X61" s="549"/>
      <c r="Y61" s="549"/>
      <c r="Z61" s="549"/>
    </row>
    <row r="62" ht="12.0" customHeight="1">
      <c r="A62" s="549"/>
      <c r="B62" s="549"/>
      <c r="C62" s="549"/>
      <c r="D62" s="549"/>
      <c r="E62" s="549"/>
      <c r="F62" s="549"/>
      <c r="G62" s="549"/>
      <c r="H62" s="549"/>
      <c r="I62" s="549"/>
      <c r="J62" s="549"/>
      <c r="K62" s="549"/>
      <c r="L62" s="549"/>
      <c r="M62" s="549"/>
      <c r="N62" s="549"/>
      <c r="O62" s="549"/>
      <c r="P62" s="549"/>
      <c r="Q62" s="549"/>
      <c r="R62" s="549"/>
      <c r="S62" s="549"/>
      <c r="T62" s="549"/>
      <c r="U62" s="549"/>
      <c r="V62" s="549"/>
      <c r="W62" s="549"/>
      <c r="X62" s="549"/>
      <c r="Y62" s="549"/>
      <c r="Z62" s="549"/>
    </row>
    <row r="63" ht="12.0" customHeight="1">
      <c r="A63" s="549"/>
      <c r="B63" s="549"/>
      <c r="C63" s="549"/>
      <c r="D63" s="549"/>
      <c r="E63" s="549"/>
      <c r="F63" s="549"/>
      <c r="G63" s="549"/>
      <c r="H63" s="549"/>
      <c r="I63" s="549"/>
      <c r="J63" s="549"/>
      <c r="K63" s="549"/>
      <c r="L63" s="549"/>
      <c r="M63" s="549"/>
      <c r="N63" s="549"/>
      <c r="O63" s="549"/>
      <c r="P63" s="549"/>
      <c r="Q63" s="549"/>
      <c r="R63" s="549"/>
      <c r="S63" s="549"/>
      <c r="T63" s="549"/>
      <c r="U63" s="549"/>
      <c r="V63" s="549"/>
      <c r="W63" s="549"/>
      <c r="X63" s="549"/>
      <c r="Y63" s="549"/>
      <c r="Z63" s="549"/>
    </row>
    <row r="64" ht="12.0" customHeight="1">
      <c r="A64" s="549"/>
      <c r="B64" s="549"/>
      <c r="C64" s="549"/>
      <c r="D64" s="549"/>
      <c r="E64" s="549"/>
      <c r="F64" s="549"/>
      <c r="G64" s="549"/>
      <c r="H64" s="549"/>
      <c r="I64" s="549"/>
      <c r="J64" s="549"/>
      <c r="K64" s="549"/>
      <c r="L64" s="549"/>
      <c r="M64" s="549"/>
      <c r="N64" s="549"/>
      <c r="O64" s="549"/>
      <c r="P64" s="549"/>
      <c r="Q64" s="549"/>
      <c r="R64" s="549"/>
      <c r="S64" s="549"/>
      <c r="T64" s="549"/>
      <c r="U64" s="549"/>
      <c r="V64" s="549"/>
      <c r="W64" s="549"/>
      <c r="X64" s="549"/>
      <c r="Y64" s="549"/>
      <c r="Z64" s="549"/>
    </row>
    <row r="65" ht="12.0" customHeight="1">
      <c r="A65" s="549"/>
      <c r="B65" s="549"/>
      <c r="C65" s="549"/>
      <c r="D65" s="549"/>
      <c r="E65" s="549"/>
      <c r="F65" s="549"/>
      <c r="G65" s="549"/>
      <c r="H65" s="549"/>
      <c r="I65" s="549"/>
      <c r="J65" s="549"/>
      <c r="K65" s="549"/>
      <c r="L65" s="549"/>
      <c r="M65" s="549"/>
      <c r="N65" s="549"/>
      <c r="O65" s="549"/>
      <c r="P65" s="549"/>
      <c r="Q65" s="549"/>
      <c r="R65" s="549"/>
      <c r="S65" s="549"/>
      <c r="T65" s="549"/>
      <c r="U65" s="549"/>
      <c r="V65" s="549"/>
      <c r="W65" s="549"/>
      <c r="X65" s="549"/>
      <c r="Y65" s="549"/>
      <c r="Z65" s="549"/>
    </row>
    <row r="66" ht="12.0" customHeight="1">
      <c r="A66" s="549"/>
      <c r="B66" s="549"/>
      <c r="C66" s="549"/>
      <c r="D66" s="549"/>
      <c r="E66" s="549"/>
      <c r="F66" s="549"/>
      <c r="G66" s="549"/>
      <c r="H66" s="549"/>
      <c r="I66" s="549"/>
      <c r="J66" s="549"/>
      <c r="K66" s="549"/>
      <c r="L66" s="549"/>
      <c r="M66" s="549"/>
      <c r="N66" s="549"/>
      <c r="O66" s="549"/>
      <c r="P66" s="549"/>
      <c r="Q66" s="549"/>
      <c r="R66" s="549"/>
      <c r="S66" s="549"/>
      <c r="T66" s="549"/>
      <c r="U66" s="549"/>
      <c r="V66" s="549"/>
      <c r="W66" s="549"/>
      <c r="X66" s="549"/>
      <c r="Y66" s="549"/>
      <c r="Z66" s="549"/>
    </row>
    <row r="67" ht="12.0" customHeight="1">
      <c r="A67" s="549"/>
      <c r="B67" s="549"/>
      <c r="C67" s="549"/>
      <c r="D67" s="549"/>
      <c r="E67" s="549"/>
      <c r="F67" s="549"/>
      <c r="G67" s="549"/>
      <c r="H67" s="549"/>
      <c r="I67" s="549"/>
      <c r="J67" s="549"/>
      <c r="K67" s="549"/>
      <c r="L67" s="549"/>
      <c r="M67" s="549"/>
      <c r="N67" s="549"/>
      <c r="O67" s="549"/>
      <c r="P67" s="549"/>
      <c r="Q67" s="549"/>
      <c r="R67" s="549"/>
      <c r="S67" s="549"/>
      <c r="T67" s="549"/>
      <c r="U67" s="549"/>
      <c r="V67" s="549"/>
      <c r="W67" s="549"/>
      <c r="X67" s="549"/>
      <c r="Y67" s="549"/>
      <c r="Z67" s="549"/>
    </row>
    <row r="68" ht="12.0" customHeight="1">
      <c r="A68" s="549"/>
      <c r="B68" s="549"/>
      <c r="C68" s="549"/>
      <c r="D68" s="549"/>
      <c r="E68" s="549"/>
      <c r="F68" s="549"/>
      <c r="G68" s="549"/>
      <c r="H68" s="549"/>
      <c r="I68" s="549"/>
      <c r="J68" s="549"/>
      <c r="K68" s="549"/>
      <c r="L68" s="549"/>
      <c r="M68" s="549"/>
      <c r="N68" s="549"/>
      <c r="O68" s="549"/>
      <c r="P68" s="549"/>
      <c r="Q68" s="549"/>
      <c r="R68" s="549"/>
      <c r="S68" s="549"/>
      <c r="T68" s="549"/>
      <c r="U68" s="549"/>
      <c r="V68" s="549"/>
      <c r="W68" s="549"/>
      <c r="X68" s="549"/>
      <c r="Y68" s="549"/>
      <c r="Z68" s="549"/>
    </row>
    <row r="69" ht="12.0" customHeight="1">
      <c r="A69" s="549"/>
      <c r="B69" s="549"/>
      <c r="C69" s="549"/>
      <c r="D69" s="549"/>
      <c r="E69" s="549"/>
      <c r="F69" s="549"/>
      <c r="G69" s="549"/>
      <c r="H69" s="549"/>
      <c r="I69" s="549"/>
      <c r="J69" s="549"/>
      <c r="K69" s="549"/>
      <c r="L69" s="549"/>
      <c r="M69" s="549"/>
      <c r="N69" s="549"/>
      <c r="O69" s="549"/>
      <c r="P69" s="549"/>
      <c r="Q69" s="549"/>
      <c r="R69" s="549"/>
      <c r="S69" s="549"/>
      <c r="T69" s="549"/>
      <c r="U69" s="549"/>
      <c r="V69" s="549"/>
      <c r="W69" s="549"/>
      <c r="X69" s="549"/>
      <c r="Y69" s="549"/>
      <c r="Z69" s="549"/>
    </row>
    <row r="70" ht="12.0" customHeight="1">
      <c r="A70" s="549"/>
      <c r="B70" s="549"/>
      <c r="C70" s="549"/>
      <c r="D70" s="549"/>
      <c r="E70" s="549"/>
      <c r="F70" s="549"/>
      <c r="G70" s="549"/>
      <c r="H70" s="549"/>
      <c r="I70" s="549"/>
      <c r="J70" s="549"/>
      <c r="K70" s="549"/>
      <c r="L70" s="549"/>
      <c r="M70" s="549"/>
      <c r="N70" s="549"/>
      <c r="O70" s="549"/>
      <c r="P70" s="549"/>
      <c r="Q70" s="549"/>
      <c r="R70" s="549"/>
      <c r="S70" s="549"/>
      <c r="T70" s="549"/>
      <c r="U70" s="549"/>
      <c r="V70" s="549"/>
      <c r="W70" s="549"/>
      <c r="X70" s="549"/>
      <c r="Y70" s="549"/>
      <c r="Z70" s="549"/>
    </row>
    <row r="71" ht="12.0" customHeight="1">
      <c r="A71" s="549"/>
      <c r="B71" s="549"/>
      <c r="C71" s="549"/>
      <c r="D71" s="549"/>
      <c r="E71" s="549"/>
      <c r="F71" s="549"/>
      <c r="G71" s="549"/>
      <c r="H71" s="549"/>
      <c r="I71" s="549"/>
      <c r="J71" s="549"/>
      <c r="K71" s="549"/>
      <c r="L71" s="549"/>
      <c r="M71" s="549"/>
      <c r="N71" s="549"/>
      <c r="O71" s="549"/>
      <c r="P71" s="549"/>
      <c r="Q71" s="549"/>
      <c r="R71" s="549"/>
      <c r="S71" s="549"/>
      <c r="T71" s="549"/>
      <c r="U71" s="549"/>
      <c r="V71" s="549"/>
      <c r="W71" s="549"/>
      <c r="X71" s="549"/>
      <c r="Y71" s="549"/>
      <c r="Z71" s="549"/>
    </row>
    <row r="72" ht="12.0" customHeight="1">
      <c r="A72" s="549"/>
      <c r="B72" s="549"/>
      <c r="C72" s="549"/>
      <c r="D72" s="549"/>
      <c r="E72" s="549"/>
      <c r="F72" s="549"/>
      <c r="G72" s="549"/>
      <c r="H72" s="549"/>
      <c r="I72" s="549"/>
      <c r="J72" s="549"/>
      <c r="K72" s="549"/>
      <c r="L72" s="549"/>
      <c r="M72" s="549"/>
      <c r="N72" s="549"/>
      <c r="O72" s="549"/>
      <c r="P72" s="549"/>
      <c r="Q72" s="549"/>
      <c r="R72" s="549"/>
      <c r="S72" s="549"/>
      <c r="T72" s="549"/>
      <c r="U72" s="549"/>
      <c r="V72" s="549"/>
      <c r="W72" s="549"/>
      <c r="X72" s="549"/>
      <c r="Y72" s="549"/>
      <c r="Z72" s="549"/>
    </row>
    <row r="73" ht="12.0" customHeight="1">
      <c r="A73" s="549"/>
      <c r="B73" s="549"/>
      <c r="C73" s="549"/>
      <c r="D73" s="549"/>
      <c r="E73" s="549"/>
      <c r="F73" s="549"/>
      <c r="G73" s="549"/>
      <c r="H73" s="549"/>
      <c r="I73" s="549"/>
      <c r="J73" s="549"/>
      <c r="K73" s="549"/>
      <c r="L73" s="549"/>
      <c r="M73" s="549"/>
      <c r="N73" s="549"/>
      <c r="O73" s="549"/>
      <c r="P73" s="549"/>
      <c r="Q73" s="549"/>
      <c r="R73" s="549"/>
      <c r="S73" s="549"/>
      <c r="T73" s="549"/>
      <c r="U73" s="549"/>
      <c r="V73" s="549"/>
      <c r="W73" s="549"/>
      <c r="X73" s="549"/>
      <c r="Y73" s="549"/>
      <c r="Z73" s="549"/>
    </row>
    <row r="74" ht="12.0" customHeight="1">
      <c r="A74" s="549"/>
      <c r="B74" s="549"/>
      <c r="C74" s="549"/>
      <c r="D74" s="549"/>
      <c r="E74" s="549"/>
      <c r="F74" s="549"/>
      <c r="G74" s="549"/>
      <c r="H74" s="549"/>
      <c r="I74" s="549"/>
      <c r="J74" s="549"/>
      <c r="K74" s="549"/>
      <c r="L74" s="549"/>
      <c r="M74" s="549"/>
      <c r="N74" s="549"/>
      <c r="O74" s="549"/>
      <c r="P74" s="549"/>
      <c r="Q74" s="549"/>
      <c r="R74" s="549"/>
      <c r="S74" s="549"/>
      <c r="T74" s="549"/>
      <c r="U74" s="549"/>
      <c r="V74" s="549"/>
      <c r="W74" s="549"/>
      <c r="X74" s="549"/>
      <c r="Y74" s="549"/>
      <c r="Z74" s="549"/>
    </row>
    <row r="75" ht="12.0" customHeight="1">
      <c r="A75" s="549"/>
      <c r="B75" s="549"/>
      <c r="C75" s="549"/>
      <c r="D75" s="549"/>
      <c r="E75" s="549"/>
      <c r="F75" s="549"/>
      <c r="G75" s="549"/>
      <c r="H75" s="549"/>
      <c r="I75" s="549"/>
      <c r="J75" s="549"/>
      <c r="K75" s="549"/>
      <c r="L75" s="549"/>
      <c r="M75" s="549"/>
      <c r="N75" s="549"/>
      <c r="O75" s="549"/>
      <c r="P75" s="549"/>
      <c r="Q75" s="549"/>
      <c r="R75" s="549"/>
      <c r="S75" s="549"/>
      <c r="T75" s="549"/>
      <c r="U75" s="549"/>
      <c r="V75" s="549"/>
      <c r="W75" s="549"/>
      <c r="X75" s="549"/>
      <c r="Y75" s="549"/>
      <c r="Z75" s="549"/>
    </row>
    <row r="76" ht="12.0" customHeight="1">
      <c r="A76" s="549"/>
      <c r="B76" s="549"/>
      <c r="C76" s="549"/>
      <c r="D76" s="549"/>
      <c r="E76" s="549"/>
      <c r="F76" s="549"/>
      <c r="G76" s="549"/>
      <c r="H76" s="549"/>
      <c r="I76" s="549"/>
      <c r="J76" s="549"/>
      <c r="K76" s="549"/>
      <c r="L76" s="549"/>
      <c r="M76" s="549"/>
      <c r="N76" s="549"/>
      <c r="O76" s="549"/>
      <c r="P76" s="549"/>
      <c r="Q76" s="549"/>
      <c r="R76" s="549"/>
      <c r="S76" s="549"/>
      <c r="T76" s="549"/>
      <c r="U76" s="549"/>
      <c r="V76" s="549"/>
      <c r="W76" s="549"/>
      <c r="X76" s="549"/>
      <c r="Y76" s="549"/>
      <c r="Z76" s="549"/>
    </row>
    <row r="77" ht="12.0" customHeight="1">
      <c r="A77" s="549"/>
      <c r="B77" s="549"/>
      <c r="C77" s="549"/>
      <c r="D77" s="549"/>
      <c r="E77" s="549"/>
      <c r="F77" s="549"/>
      <c r="G77" s="549"/>
      <c r="H77" s="549"/>
      <c r="I77" s="549"/>
      <c r="J77" s="549"/>
      <c r="K77" s="549"/>
      <c r="L77" s="549"/>
      <c r="M77" s="549"/>
      <c r="N77" s="549"/>
      <c r="O77" s="549"/>
      <c r="P77" s="549"/>
      <c r="Q77" s="549"/>
      <c r="R77" s="549"/>
      <c r="S77" s="549"/>
      <c r="T77" s="549"/>
      <c r="U77" s="549"/>
      <c r="V77" s="549"/>
      <c r="W77" s="549"/>
      <c r="X77" s="549"/>
      <c r="Y77" s="549"/>
      <c r="Z77" s="549"/>
    </row>
    <row r="78" ht="12.0" customHeight="1">
      <c r="A78" s="549"/>
      <c r="B78" s="549"/>
      <c r="C78" s="549"/>
      <c r="D78" s="549"/>
      <c r="E78" s="549"/>
      <c r="F78" s="549"/>
      <c r="G78" s="549"/>
      <c r="H78" s="549"/>
      <c r="I78" s="549"/>
      <c r="J78" s="549"/>
      <c r="K78" s="549"/>
      <c r="L78" s="549"/>
      <c r="M78" s="549"/>
      <c r="N78" s="549"/>
      <c r="O78" s="549"/>
      <c r="P78" s="549"/>
      <c r="Q78" s="549"/>
      <c r="R78" s="549"/>
      <c r="S78" s="549"/>
      <c r="T78" s="549"/>
      <c r="U78" s="549"/>
      <c r="V78" s="549"/>
      <c r="W78" s="549"/>
      <c r="X78" s="549"/>
      <c r="Y78" s="549"/>
      <c r="Z78" s="549"/>
    </row>
    <row r="79" ht="12.0" customHeight="1">
      <c r="A79" s="549"/>
      <c r="B79" s="549"/>
      <c r="C79" s="549"/>
      <c r="D79" s="549"/>
      <c r="E79" s="549"/>
      <c r="F79" s="549"/>
      <c r="G79" s="549"/>
      <c r="H79" s="549"/>
      <c r="I79" s="549"/>
      <c r="J79" s="549"/>
      <c r="K79" s="549"/>
      <c r="L79" s="549"/>
      <c r="M79" s="549"/>
      <c r="N79" s="549"/>
      <c r="O79" s="549"/>
      <c r="P79" s="549"/>
      <c r="Q79" s="549"/>
      <c r="R79" s="549"/>
      <c r="S79" s="549"/>
      <c r="T79" s="549"/>
      <c r="U79" s="549"/>
      <c r="V79" s="549"/>
      <c r="W79" s="549"/>
      <c r="X79" s="549"/>
      <c r="Y79" s="549"/>
      <c r="Z79" s="549"/>
    </row>
    <row r="80" ht="12.0" customHeight="1">
      <c r="A80" s="549"/>
      <c r="B80" s="549"/>
      <c r="C80" s="549"/>
      <c r="D80" s="549"/>
      <c r="E80" s="549"/>
      <c r="F80" s="549"/>
      <c r="G80" s="549"/>
      <c r="H80" s="549"/>
      <c r="I80" s="549"/>
      <c r="J80" s="549"/>
      <c r="K80" s="549"/>
      <c r="L80" s="549"/>
      <c r="M80" s="549"/>
      <c r="N80" s="549"/>
      <c r="O80" s="549"/>
      <c r="P80" s="549"/>
      <c r="Q80" s="549"/>
      <c r="R80" s="549"/>
      <c r="S80" s="549"/>
      <c r="T80" s="549"/>
      <c r="U80" s="549"/>
      <c r="V80" s="549"/>
      <c r="W80" s="549"/>
      <c r="X80" s="549"/>
      <c r="Y80" s="549"/>
      <c r="Z80" s="549"/>
    </row>
    <row r="81" ht="12.0" customHeight="1">
      <c r="A81" s="549"/>
      <c r="B81" s="549"/>
      <c r="C81" s="549"/>
      <c r="D81" s="549"/>
      <c r="E81" s="549"/>
      <c r="F81" s="549"/>
      <c r="G81" s="549"/>
      <c r="H81" s="549"/>
      <c r="I81" s="549"/>
      <c r="J81" s="549"/>
      <c r="K81" s="549"/>
      <c r="L81" s="549"/>
      <c r="M81" s="549"/>
      <c r="N81" s="549"/>
      <c r="O81" s="549"/>
      <c r="P81" s="549"/>
      <c r="Q81" s="549"/>
      <c r="R81" s="549"/>
      <c r="S81" s="549"/>
      <c r="T81" s="549"/>
      <c r="U81" s="549"/>
      <c r="V81" s="549"/>
      <c r="W81" s="549"/>
      <c r="X81" s="549"/>
      <c r="Y81" s="549"/>
      <c r="Z81" s="549"/>
    </row>
    <row r="82" ht="12.0" customHeight="1">
      <c r="A82" s="549"/>
      <c r="B82" s="549"/>
      <c r="C82" s="549"/>
      <c r="D82" s="549"/>
      <c r="E82" s="549"/>
      <c r="F82" s="549"/>
      <c r="G82" s="549"/>
      <c r="H82" s="549"/>
      <c r="I82" s="549"/>
      <c r="J82" s="549"/>
      <c r="K82" s="549"/>
      <c r="L82" s="549"/>
      <c r="M82" s="549"/>
      <c r="N82" s="549"/>
      <c r="O82" s="549"/>
      <c r="P82" s="549"/>
      <c r="Q82" s="549"/>
      <c r="R82" s="549"/>
      <c r="S82" s="549"/>
      <c r="T82" s="549"/>
      <c r="U82" s="549"/>
      <c r="V82" s="549"/>
      <c r="W82" s="549"/>
      <c r="X82" s="549"/>
      <c r="Y82" s="549"/>
      <c r="Z82" s="549"/>
    </row>
    <row r="83" ht="12.0" customHeight="1">
      <c r="A83" s="549"/>
      <c r="B83" s="549"/>
      <c r="C83" s="549"/>
      <c r="D83" s="549"/>
      <c r="E83" s="549"/>
      <c r="F83" s="549"/>
      <c r="G83" s="549"/>
      <c r="H83" s="549"/>
      <c r="I83" s="549"/>
      <c r="J83" s="549"/>
      <c r="K83" s="549"/>
      <c r="L83" s="549"/>
      <c r="M83" s="549"/>
      <c r="N83" s="549"/>
      <c r="O83" s="549"/>
      <c r="P83" s="549"/>
      <c r="Q83" s="549"/>
      <c r="R83" s="549"/>
      <c r="S83" s="549"/>
      <c r="T83" s="549"/>
      <c r="U83" s="549"/>
      <c r="V83" s="549"/>
      <c r="W83" s="549"/>
      <c r="X83" s="549"/>
      <c r="Y83" s="549"/>
      <c r="Z83" s="549"/>
    </row>
    <row r="84" ht="12.0" customHeight="1">
      <c r="A84" s="549"/>
      <c r="B84" s="549"/>
      <c r="C84" s="549"/>
      <c r="D84" s="549"/>
      <c r="E84" s="549"/>
      <c r="F84" s="549"/>
      <c r="G84" s="549"/>
      <c r="H84" s="549"/>
      <c r="I84" s="549"/>
      <c r="J84" s="549"/>
      <c r="K84" s="549"/>
      <c r="L84" s="549"/>
      <c r="M84" s="549"/>
      <c r="N84" s="549"/>
      <c r="O84" s="549"/>
      <c r="P84" s="549"/>
      <c r="Q84" s="549"/>
      <c r="R84" s="549"/>
      <c r="S84" s="549"/>
      <c r="T84" s="549"/>
      <c r="U84" s="549"/>
      <c r="V84" s="549"/>
      <c r="W84" s="549"/>
      <c r="X84" s="549"/>
      <c r="Y84" s="549"/>
      <c r="Z84" s="549"/>
    </row>
    <row r="85" ht="12.0" customHeight="1">
      <c r="A85" s="549"/>
      <c r="B85" s="549"/>
      <c r="C85" s="549"/>
      <c r="D85" s="549"/>
      <c r="E85" s="549"/>
      <c r="F85" s="549"/>
      <c r="G85" s="549"/>
      <c r="H85" s="549"/>
      <c r="I85" s="549"/>
      <c r="J85" s="549"/>
      <c r="K85" s="549"/>
      <c r="L85" s="549"/>
      <c r="M85" s="549"/>
      <c r="N85" s="549"/>
      <c r="O85" s="549"/>
      <c r="P85" s="549"/>
      <c r="Q85" s="549"/>
      <c r="R85" s="549"/>
      <c r="S85" s="549"/>
      <c r="T85" s="549"/>
      <c r="U85" s="549"/>
      <c r="V85" s="549"/>
      <c r="W85" s="549"/>
      <c r="X85" s="549"/>
      <c r="Y85" s="549"/>
      <c r="Z85" s="549"/>
    </row>
    <row r="86" ht="12.0" customHeight="1">
      <c r="A86" s="549"/>
      <c r="B86" s="549"/>
      <c r="C86" s="549"/>
      <c r="D86" s="549"/>
      <c r="E86" s="549"/>
      <c r="F86" s="549"/>
      <c r="G86" s="549"/>
      <c r="H86" s="549"/>
      <c r="I86" s="549"/>
      <c r="J86" s="549"/>
      <c r="K86" s="549"/>
      <c r="L86" s="549"/>
      <c r="M86" s="549"/>
      <c r="N86" s="549"/>
      <c r="O86" s="549"/>
      <c r="P86" s="549"/>
      <c r="Q86" s="549"/>
      <c r="R86" s="549"/>
      <c r="S86" s="549"/>
      <c r="T86" s="549"/>
      <c r="U86" s="549"/>
      <c r="V86" s="549"/>
      <c r="W86" s="549"/>
      <c r="X86" s="549"/>
      <c r="Y86" s="549"/>
      <c r="Z86" s="549"/>
    </row>
    <row r="87" ht="12.0" customHeight="1">
      <c r="A87" s="549"/>
      <c r="B87" s="549"/>
      <c r="C87" s="549"/>
      <c r="D87" s="549"/>
      <c r="E87" s="549"/>
      <c r="F87" s="549"/>
      <c r="G87" s="549"/>
      <c r="H87" s="549"/>
      <c r="I87" s="549"/>
      <c r="J87" s="549"/>
      <c r="K87" s="549"/>
      <c r="L87" s="549"/>
      <c r="M87" s="549"/>
      <c r="N87" s="549"/>
      <c r="O87" s="549"/>
      <c r="P87" s="549"/>
      <c r="Q87" s="549"/>
      <c r="R87" s="549"/>
      <c r="S87" s="549"/>
      <c r="T87" s="549"/>
      <c r="U87" s="549"/>
      <c r="V87" s="549"/>
      <c r="W87" s="549"/>
      <c r="X87" s="549"/>
      <c r="Y87" s="549"/>
      <c r="Z87" s="549"/>
    </row>
    <row r="88" ht="12.0" customHeight="1">
      <c r="A88" s="549"/>
      <c r="B88" s="549"/>
      <c r="C88" s="549"/>
      <c r="D88" s="549"/>
      <c r="E88" s="549"/>
      <c r="F88" s="549"/>
      <c r="G88" s="549"/>
      <c r="H88" s="549"/>
      <c r="I88" s="549"/>
      <c r="J88" s="549"/>
      <c r="K88" s="549"/>
      <c r="L88" s="549"/>
      <c r="M88" s="549"/>
      <c r="N88" s="549"/>
      <c r="O88" s="549"/>
      <c r="P88" s="549"/>
      <c r="Q88" s="549"/>
      <c r="R88" s="549"/>
      <c r="S88" s="549"/>
      <c r="T88" s="549"/>
      <c r="U88" s="549"/>
      <c r="V88" s="549"/>
      <c r="W88" s="549"/>
      <c r="X88" s="549"/>
      <c r="Y88" s="549"/>
      <c r="Z88" s="549"/>
    </row>
    <row r="89" ht="12.0" customHeight="1">
      <c r="A89" s="549"/>
      <c r="B89" s="549"/>
      <c r="C89" s="549"/>
      <c r="D89" s="549"/>
      <c r="E89" s="549"/>
      <c r="F89" s="549"/>
      <c r="G89" s="549"/>
      <c r="H89" s="549"/>
      <c r="I89" s="549"/>
      <c r="J89" s="549"/>
      <c r="K89" s="549"/>
      <c r="L89" s="549"/>
      <c r="M89" s="549"/>
      <c r="N89" s="549"/>
      <c r="O89" s="549"/>
      <c r="P89" s="549"/>
      <c r="Q89" s="549"/>
      <c r="R89" s="549"/>
      <c r="S89" s="549"/>
      <c r="T89" s="549"/>
      <c r="U89" s="549"/>
      <c r="V89" s="549"/>
      <c r="W89" s="549"/>
      <c r="X89" s="549"/>
      <c r="Y89" s="549"/>
      <c r="Z89" s="549"/>
    </row>
    <row r="90" ht="12.0" customHeight="1">
      <c r="A90" s="549"/>
      <c r="B90" s="549"/>
      <c r="C90" s="549"/>
      <c r="D90" s="549"/>
      <c r="E90" s="549"/>
      <c r="F90" s="549"/>
      <c r="G90" s="549"/>
      <c r="H90" s="549"/>
      <c r="I90" s="549"/>
      <c r="J90" s="549"/>
      <c r="K90" s="549"/>
      <c r="L90" s="549"/>
      <c r="M90" s="549"/>
      <c r="N90" s="549"/>
      <c r="O90" s="549"/>
      <c r="P90" s="549"/>
      <c r="Q90" s="549"/>
      <c r="R90" s="549"/>
      <c r="S90" s="549"/>
      <c r="T90" s="549"/>
      <c r="U90" s="549"/>
      <c r="V90" s="549"/>
      <c r="W90" s="549"/>
      <c r="X90" s="549"/>
      <c r="Y90" s="549"/>
      <c r="Z90" s="549"/>
    </row>
    <row r="91" ht="12.0" customHeight="1">
      <c r="A91" s="549"/>
      <c r="B91" s="549"/>
      <c r="C91" s="549"/>
      <c r="D91" s="549"/>
      <c r="E91" s="549"/>
      <c r="F91" s="549"/>
      <c r="G91" s="549"/>
      <c r="H91" s="549"/>
      <c r="I91" s="549"/>
      <c r="J91" s="549"/>
      <c r="K91" s="549"/>
      <c r="L91" s="549"/>
      <c r="M91" s="549"/>
      <c r="N91" s="549"/>
      <c r="O91" s="549"/>
      <c r="P91" s="549"/>
      <c r="Q91" s="549"/>
      <c r="R91" s="549"/>
      <c r="S91" s="549"/>
      <c r="T91" s="549"/>
      <c r="U91" s="549"/>
      <c r="V91" s="549"/>
      <c r="W91" s="549"/>
      <c r="X91" s="549"/>
      <c r="Y91" s="549"/>
      <c r="Z91" s="549"/>
    </row>
    <row r="92" ht="12.0" customHeight="1">
      <c r="A92" s="549"/>
      <c r="B92" s="549"/>
      <c r="C92" s="549"/>
      <c r="D92" s="549"/>
      <c r="E92" s="549"/>
      <c r="F92" s="549"/>
      <c r="G92" s="549"/>
      <c r="H92" s="549"/>
      <c r="I92" s="549"/>
      <c r="J92" s="549"/>
      <c r="K92" s="549"/>
      <c r="L92" s="549"/>
      <c r="M92" s="549"/>
      <c r="N92" s="549"/>
      <c r="O92" s="549"/>
      <c r="P92" s="549"/>
      <c r="Q92" s="549"/>
      <c r="R92" s="549"/>
      <c r="S92" s="549"/>
      <c r="T92" s="549"/>
      <c r="U92" s="549"/>
      <c r="V92" s="549"/>
      <c r="W92" s="549"/>
      <c r="X92" s="549"/>
      <c r="Y92" s="549"/>
      <c r="Z92" s="549"/>
    </row>
    <row r="93" ht="12.0" customHeight="1">
      <c r="A93" s="549"/>
      <c r="B93" s="549"/>
      <c r="C93" s="549"/>
      <c r="D93" s="549"/>
      <c r="E93" s="549"/>
      <c r="F93" s="549"/>
      <c r="G93" s="549"/>
      <c r="H93" s="549"/>
      <c r="I93" s="549"/>
      <c r="J93" s="549"/>
      <c r="K93" s="549"/>
      <c r="L93" s="549"/>
      <c r="M93" s="549"/>
      <c r="N93" s="549"/>
      <c r="O93" s="549"/>
      <c r="P93" s="549"/>
      <c r="Q93" s="549"/>
      <c r="R93" s="549"/>
      <c r="S93" s="549"/>
      <c r="T93" s="549"/>
      <c r="U93" s="549"/>
      <c r="V93" s="549"/>
      <c r="W93" s="549"/>
      <c r="X93" s="549"/>
      <c r="Y93" s="549"/>
      <c r="Z93" s="549"/>
    </row>
    <row r="94" ht="12.0" customHeight="1">
      <c r="A94" s="549"/>
      <c r="B94" s="549"/>
      <c r="C94" s="549"/>
      <c r="D94" s="549"/>
      <c r="E94" s="549"/>
      <c r="F94" s="549"/>
      <c r="G94" s="549"/>
      <c r="H94" s="549"/>
      <c r="I94" s="549"/>
      <c r="J94" s="549"/>
      <c r="K94" s="549"/>
      <c r="L94" s="549"/>
      <c r="M94" s="549"/>
      <c r="N94" s="549"/>
      <c r="O94" s="549"/>
      <c r="P94" s="549"/>
      <c r="Q94" s="549"/>
      <c r="R94" s="549"/>
      <c r="S94" s="549"/>
      <c r="T94" s="549"/>
      <c r="U94" s="549"/>
      <c r="V94" s="549"/>
      <c r="W94" s="549"/>
      <c r="X94" s="549"/>
      <c r="Y94" s="549"/>
      <c r="Z94" s="549"/>
    </row>
    <row r="95" ht="12.0" customHeight="1">
      <c r="A95" s="549"/>
      <c r="B95" s="549"/>
      <c r="C95" s="549"/>
      <c r="D95" s="549"/>
      <c r="E95" s="549"/>
      <c r="F95" s="549"/>
      <c r="G95" s="549"/>
      <c r="H95" s="549"/>
      <c r="I95" s="549"/>
      <c r="J95" s="549"/>
      <c r="K95" s="549"/>
      <c r="L95" s="549"/>
      <c r="M95" s="549"/>
      <c r="N95" s="549"/>
      <c r="O95" s="549"/>
      <c r="P95" s="549"/>
      <c r="Q95" s="549"/>
      <c r="R95" s="549"/>
      <c r="S95" s="549"/>
      <c r="T95" s="549"/>
      <c r="U95" s="549"/>
      <c r="V95" s="549"/>
      <c r="W95" s="549"/>
      <c r="X95" s="549"/>
      <c r="Y95" s="549"/>
      <c r="Z95" s="549"/>
    </row>
    <row r="96" ht="12.0" customHeight="1">
      <c r="A96" s="549"/>
      <c r="B96" s="549"/>
      <c r="C96" s="549"/>
      <c r="D96" s="549"/>
      <c r="E96" s="549"/>
      <c r="F96" s="549"/>
      <c r="G96" s="549"/>
      <c r="H96" s="549"/>
      <c r="I96" s="549"/>
      <c r="J96" s="549"/>
      <c r="K96" s="549"/>
      <c r="L96" s="549"/>
      <c r="M96" s="549"/>
      <c r="N96" s="549"/>
      <c r="O96" s="549"/>
      <c r="P96" s="549"/>
      <c r="Q96" s="549"/>
      <c r="R96" s="549"/>
      <c r="S96" s="549"/>
      <c r="T96" s="549"/>
      <c r="U96" s="549"/>
      <c r="V96" s="549"/>
      <c r="W96" s="549"/>
      <c r="X96" s="549"/>
      <c r="Y96" s="549"/>
      <c r="Z96" s="549"/>
    </row>
    <row r="97" ht="12.0" customHeight="1">
      <c r="A97" s="549"/>
      <c r="B97" s="549"/>
      <c r="C97" s="549"/>
      <c r="D97" s="549"/>
      <c r="E97" s="549"/>
      <c r="F97" s="549"/>
      <c r="G97" s="549"/>
      <c r="H97" s="549"/>
      <c r="I97" s="549"/>
      <c r="J97" s="549"/>
      <c r="K97" s="549"/>
      <c r="L97" s="549"/>
      <c r="M97" s="549"/>
      <c r="N97" s="549"/>
      <c r="O97" s="549"/>
      <c r="P97" s="549"/>
      <c r="Q97" s="549"/>
      <c r="R97" s="549"/>
      <c r="S97" s="549"/>
      <c r="T97" s="549"/>
      <c r="U97" s="549"/>
      <c r="V97" s="549"/>
      <c r="W97" s="549"/>
      <c r="X97" s="549"/>
      <c r="Y97" s="549"/>
      <c r="Z97" s="549"/>
    </row>
    <row r="98" ht="12.0" customHeight="1">
      <c r="A98" s="549"/>
      <c r="B98" s="549"/>
      <c r="C98" s="549"/>
      <c r="D98" s="549"/>
      <c r="E98" s="549"/>
      <c r="F98" s="549"/>
      <c r="G98" s="549"/>
      <c r="H98" s="549"/>
      <c r="I98" s="549"/>
      <c r="J98" s="549"/>
      <c r="K98" s="549"/>
      <c r="L98" s="549"/>
      <c r="M98" s="549"/>
      <c r="N98" s="549"/>
      <c r="O98" s="549"/>
      <c r="P98" s="549"/>
      <c r="Q98" s="549"/>
      <c r="R98" s="549"/>
      <c r="S98" s="549"/>
      <c r="T98" s="549"/>
      <c r="U98" s="549"/>
      <c r="V98" s="549"/>
      <c r="W98" s="549"/>
      <c r="X98" s="549"/>
      <c r="Y98" s="549"/>
      <c r="Z98" s="549"/>
    </row>
    <row r="99" ht="12.0" customHeight="1">
      <c r="A99" s="549"/>
      <c r="B99" s="549"/>
      <c r="C99" s="549"/>
      <c r="D99" s="549"/>
      <c r="E99" s="549"/>
      <c r="F99" s="549"/>
      <c r="G99" s="549"/>
      <c r="H99" s="549"/>
      <c r="I99" s="549"/>
      <c r="J99" s="549"/>
      <c r="K99" s="549"/>
      <c r="L99" s="549"/>
      <c r="M99" s="549"/>
      <c r="N99" s="549"/>
      <c r="O99" s="549"/>
      <c r="P99" s="549"/>
      <c r="Q99" s="549"/>
      <c r="R99" s="549"/>
      <c r="S99" s="549"/>
      <c r="T99" s="549"/>
      <c r="U99" s="549"/>
      <c r="V99" s="549"/>
      <c r="W99" s="549"/>
      <c r="X99" s="549"/>
      <c r="Y99" s="549"/>
      <c r="Z99" s="549"/>
    </row>
    <row r="100" ht="12.0" customHeight="1">
      <c r="A100" s="549"/>
      <c r="B100" s="549"/>
      <c r="C100" s="549"/>
      <c r="D100" s="549"/>
      <c r="E100" s="549"/>
      <c r="F100" s="549"/>
      <c r="G100" s="549"/>
      <c r="H100" s="549"/>
      <c r="I100" s="549"/>
      <c r="J100" s="549"/>
      <c r="K100" s="549"/>
      <c r="L100" s="549"/>
      <c r="M100" s="549"/>
      <c r="N100" s="549"/>
      <c r="O100" s="549"/>
      <c r="P100" s="549"/>
      <c r="Q100" s="549"/>
      <c r="R100" s="549"/>
      <c r="S100" s="549"/>
      <c r="T100" s="549"/>
      <c r="U100" s="549"/>
      <c r="V100" s="549"/>
      <c r="W100" s="549"/>
      <c r="X100" s="549"/>
      <c r="Y100" s="549"/>
      <c r="Z100" s="549"/>
    </row>
    <row r="101" ht="12.0" customHeight="1">
      <c r="A101" s="549"/>
      <c r="B101" s="549"/>
      <c r="C101" s="549"/>
      <c r="D101" s="549"/>
      <c r="E101" s="549"/>
      <c r="F101" s="549"/>
      <c r="G101" s="549"/>
      <c r="H101" s="549"/>
      <c r="I101" s="549"/>
      <c r="J101" s="549"/>
      <c r="K101" s="549"/>
      <c r="L101" s="549"/>
      <c r="M101" s="549"/>
      <c r="N101" s="549"/>
      <c r="O101" s="549"/>
      <c r="P101" s="549"/>
      <c r="Q101" s="549"/>
      <c r="R101" s="549"/>
      <c r="S101" s="549"/>
      <c r="T101" s="549"/>
      <c r="U101" s="549"/>
      <c r="V101" s="549"/>
      <c r="W101" s="549"/>
      <c r="X101" s="549"/>
      <c r="Y101" s="549"/>
      <c r="Z101" s="549"/>
    </row>
    <row r="102" ht="12.0" customHeight="1">
      <c r="A102" s="549"/>
      <c r="B102" s="549"/>
      <c r="C102" s="549"/>
      <c r="D102" s="549"/>
      <c r="E102" s="549"/>
      <c r="F102" s="549"/>
      <c r="G102" s="549"/>
      <c r="H102" s="549"/>
      <c r="I102" s="549"/>
      <c r="J102" s="549"/>
      <c r="K102" s="549"/>
      <c r="L102" s="549"/>
      <c r="M102" s="549"/>
      <c r="N102" s="549"/>
      <c r="O102" s="549"/>
      <c r="P102" s="549"/>
      <c r="Q102" s="549"/>
      <c r="R102" s="549"/>
      <c r="S102" s="549"/>
      <c r="T102" s="549"/>
      <c r="U102" s="549"/>
      <c r="V102" s="549"/>
      <c r="W102" s="549"/>
      <c r="X102" s="549"/>
      <c r="Y102" s="549"/>
      <c r="Z102" s="549"/>
    </row>
    <row r="103" ht="12.0" customHeight="1">
      <c r="A103" s="549"/>
      <c r="B103" s="549"/>
      <c r="C103" s="549"/>
      <c r="D103" s="549"/>
      <c r="E103" s="549"/>
      <c r="F103" s="549"/>
      <c r="G103" s="549"/>
      <c r="H103" s="549"/>
      <c r="I103" s="549"/>
      <c r="J103" s="549"/>
      <c r="K103" s="549"/>
      <c r="L103" s="549"/>
      <c r="M103" s="549"/>
      <c r="N103" s="549"/>
      <c r="O103" s="549"/>
      <c r="P103" s="549"/>
      <c r="Q103" s="549"/>
      <c r="R103" s="549"/>
      <c r="S103" s="549"/>
      <c r="T103" s="549"/>
      <c r="U103" s="549"/>
      <c r="V103" s="549"/>
      <c r="W103" s="549"/>
      <c r="X103" s="549"/>
      <c r="Y103" s="549"/>
      <c r="Z103" s="549"/>
    </row>
    <row r="104" ht="12.0" customHeight="1">
      <c r="A104" s="549"/>
      <c r="B104" s="549"/>
      <c r="C104" s="549"/>
      <c r="D104" s="549"/>
      <c r="E104" s="549"/>
      <c r="F104" s="549"/>
      <c r="G104" s="549"/>
      <c r="H104" s="549"/>
      <c r="I104" s="549"/>
      <c r="J104" s="549"/>
      <c r="K104" s="549"/>
      <c r="L104" s="549"/>
      <c r="M104" s="549"/>
      <c r="N104" s="549"/>
      <c r="O104" s="549"/>
      <c r="P104" s="549"/>
      <c r="Q104" s="549"/>
      <c r="R104" s="549"/>
      <c r="S104" s="549"/>
      <c r="T104" s="549"/>
      <c r="U104" s="549"/>
      <c r="V104" s="549"/>
      <c r="W104" s="549"/>
      <c r="X104" s="549"/>
      <c r="Y104" s="549"/>
      <c r="Z104" s="549"/>
    </row>
    <row r="105" ht="12.0" customHeight="1">
      <c r="A105" s="549"/>
      <c r="B105" s="549"/>
      <c r="C105" s="549"/>
      <c r="D105" s="549"/>
      <c r="E105" s="549"/>
      <c r="F105" s="549"/>
      <c r="G105" s="549"/>
      <c r="H105" s="549"/>
      <c r="I105" s="549"/>
      <c r="J105" s="549"/>
      <c r="K105" s="549"/>
      <c r="L105" s="549"/>
      <c r="M105" s="549"/>
      <c r="N105" s="549"/>
      <c r="O105" s="549"/>
      <c r="P105" s="549"/>
      <c r="Q105" s="549"/>
      <c r="R105" s="549"/>
      <c r="S105" s="549"/>
      <c r="T105" s="549"/>
      <c r="U105" s="549"/>
      <c r="V105" s="549"/>
      <c r="W105" s="549"/>
      <c r="X105" s="549"/>
      <c r="Y105" s="549"/>
      <c r="Z105" s="549"/>
    </row>
    <row r="106" ht="12.0" customHeight="1">
      <c r="A106" s="549"/>
      <c r="B106" s="549"/>
      <c r="C106" s="549"/>
      <c r="D106" s="549"/>
      <c r="E106" s="549"/>
      <c r="F106" s="549"/>
      <c r="G106" s="549"/>
      <c r="H106" s="549"/>
      <c r="I106" s="549"/>
      <c r="J106" s="549"/>
      <c r="K106" s="549"/>
      <c r="L106" s="549"/>
      <c r="M106" s="549"/>
      <c r="N106" s="549"/>
      <c r="O106" s="549"/>
      <c r="P106" s="549"/>
      <c r="Q106" s="549"/>
      <c r="R106" s="549"/>
      <c r="S106" s="549"/>
      <c r="T106" s="549"/>
      <c r="U106" s="549"/>
      <c r="V106" s="549"/>
      <c r="W106" s="549"/>
      <c r="X106" s="549"/>
      <c r="Y106" s="549"/>
      <c r="Z106" s="549"/>
    </row>
    <row r="107" ht="12.0" customHeight="1">
      <c r="A107" s="549"/>
      <c r="B107" s="549"/>
      <c r="C107" s="549"/>
      <c r="D107" s="549"/>
      <c r="E107" s="549"/>
      <c r="F107" s="549"/>
      <c r="G107" s="549"/>
      <c r="H107" s="549"/>
      <c r="I107" s="549"/>
      <c r="J107" s="549"/>
      <c r="K107" s="549"/>
      <c r="L107" s="549"/>
      <c r="M107" s="549"/>
      <c r="N107" s="549"/>
      <c r="O107" s="549"/>
      <c r="P107" s="549"/>
      <c r="Q107" s="549"/>
      <c r="R107" s="549"/>
      <c r="S107" s="549"/>
      <c r="T107" s="549"/>
      <c r="U107" s="549"/>
      <c r="V107" s="549"/>
      <c r="W107" s="549"/>
      <c r="X107" s="549"/>
      <c r="Y107" s="549"/>
      <c r="Z107" s="549"/>
    </row>
    <row r="108" ht="12.0" customHeight="1">
      <c r="A108" s="549"/>
      <c r="B108" s="549"/>
      <c r="C108" s="549"/>
      <c r="D108" s="549"/>
      <c r="E108" s="549"/>
      <c r="F108" s="549"/>
      <c r="G108" s="549"/>
      <c r="H108" s="549"/>
      <c r="I108" s="549"/>
      <c r="J108" s="549"/>
      <c r="K108" s="549"/>
      <c r="L108" s="549"/>
      <c r="M108" s="549"/>
      <c r="N108" s="549"/>
      <c r="O108" s="549"/>
      <c r="P108" s="549"/>
      <c r="Q108" s="549"/>
      <c r="R108" s="549"/>
      <c r="S108" s="549"/>
      <c r="T108" s="549"/>
      <c r="U108" s="549"/>
      <c r="V108" s="549"/>
      <c r="W108" s="549"/>
      <c r="X108" s="549"/>
      <c r="Y108" s="549"/>
      <c r="Z108" s="549"/>
    </row>
    <row r="109" ht="12.0" customHeight="1">
      <c r="A109" s="549"/>
      <c r="B109" s="549"/>
      <c r="C109" s="549"/>
      <c r="D109" s="549"/>
      <c r="E109" s="549"/>
      <c r="F109" s="549"/>
      <c r="G109" s="549"/>
      <c r="H109" s="549"/>
      <c r="I109" s="549"/>
      <c r="J109" s="549"/>
      <c r="K109" s="549"/>
      <c r="L109" s="549"/>
      <c r="M109" s="549"/>
      <c r="N109" s="549"/>
      <c r="O109" s="549"/>
      <c r="P109" s="549"/>
      <c r="Q109" s="549"/>
      <c r="R109" s="549"/>
      <c r="S109" s="549"/>
      <c r="T109" s="549"/>
      <c r="U109" s="549"/>
      <c r="V109" s="549"/>
      <c r="W109" s="549"/>
      <c r="X109" s="549"/>
      <c r="Y109" s="549"/>
      <c r="Z109" s="549"/>
    </row>
    <row r="110" ht="12.0" customHeight="1">
      <c r="A110" s="549"/>
      <c r="B110" s="549"/>
      <c r="C110" s="549"/>
      <c r="D110" s="549"/>
      <c r="E110" s="549"/>
      <c r="F110" s="549"/>
      <c r="G110" s="549"/>
      <c r="H110" s="549"/>
      <c r="I110" s="549"/>
      <c r="J110" s="549"/>
      <c r="K110" s="549"/>
      <c r="L110" s="549"/>
      <c r="M110" s="549"/>
      <c r="N110" s="549"/>
      <c r="O110" s="549"/>
      <c r="P110" s="549"/>
      <c r="Q110" s="549"/>
      <c r="R110" s="549"/>
      <c r="S110" s="549"/>
      <c r="T110" s="549"/>
      <c r="U110" s="549"/>
      <c r="V110" s="549"/>
      <c r="W110" s="549"/>
      <c r="X110" s="549"/>
      <c r="Y110" s="549"/>
      <c r="Z110" s="549"/>
    </row>
    <row r="111" ht="12.0" customHeight="1">
      <c r="A111" s="549"/>
      <c r="B111" s="549"/>
      <c r="C111" s="549"/>
      <c r="D111" s="549"/>
      <c r="E111" s="549"/>
      <c r="F111" s="549"/>
      <c r="G111" s="549"/>
      <c r="H111" s="549"/>
      <c r="I111" s="549"/>
      <c r="J111" s="549"/>
      <c r="K111" s="549"/>
      <c r="L111" s="549"/>
      <c r="M111" s="549"/>
      <c r="N111" s="549"/>
      <c r="O111" s="549"/>
      <c r="P111" s="549"/>
      <c r="Q111" s="549"/>
      <c r="R111" s="549"/>
      <c r="S111" s="549"/>
      <c r="T111" s="549"/>
      <c r="U111" s="549"/>
      <c r="V111" s="549"/>
      <c r="W111" s="549"/>
      <c r="X111" s="549"/>
      <c r="Y111" s="549"/>
      <c r="Z111" s="549"/>
    </row>
    <row r="112" ht="12.0" customHeight="1">
      <c r="A112" s="549"/>
      <c r="B112" s="549"/>
      <c r="C112" s="549"/>
      <c r="D112" s="549"/>
      <c r="E112" s="549"/>
      <c r="F112" s="549"/>
      <c r="G112" s="549"/>
      <c r="H112" s="549"/>
      <c r="I112" s="549"/>
      <c r="J112" s="549"/>
      <c r="K112" s="549"/>
      <c r="L112" s="549"/>
      <c r="M112" s="549"/>
      <c r="N112" s="549"/>
      <c r="O112" s="549"/>
      <c r="P112" s="549"/>
      <c r="Q112" s="549"/>
      <c r="R112" s="549"/>
      <c r="S112" s="549"/>
      <c r="T112" s="549"/>
      <c r="U112" s="549"/>
      <c r="V112" s="549"/>
      <c r="W112" s="549"/>
      <c r="X112" s="549"/>
      <c r="Y112" s="549"/>
      <c r="Z112" s="549"/>
    </row>
    <row r="113" ht="12.0" customHeight="1">
      <c r="A113" s="549"/>
      <c r="B113" s="549"/>
      <c r="C113" s="549"/>
      <c r="D113" s="549"/>
      <c r="E113" s="549"/>
      <c r="F113" s="549"/>
      <c r="G113" s="549"/>
      <c r="H113" s="549"/>
      <c r="I113" s="549"/>
      <c r="J113" s="549"/>
      <c r="K113" s="549"/>
      <c r="L113" s="549"/>
      <c r="M113" s="549"/>
      <c r="N113" s="549"/>
      <c r="O113" s="549"/>
      <c r="P113" s="549"/>
      <c r="Q113" s="549"/>
      <c r="R113" s="549"/>
      <c r="S113" s="549"/>
      <c r="T113" s="549"/>
      <c r="U113" s="549"/>
      <c r="V113" s="549"/>
      <c r="W113" s="549"/>
      <c r="X113" s="549"/>
      <c r="Y113" s="549"/>
      <c r="Z113" s="549"/>
    </row>
    <row r="114" ht="12.0" customHeight="1">
      <c r="A114" s="549"/>
      <c r="B114" s="549"/>
      <c r="C114" s="549"/>
      <c r="D114" s="549"/>
      <c r="E114" s="549"/>
      <c r="F114" s="549"/>
      <c r="G114" s="549"/>
      <c r="H114" s="549"/>
      <c r="I114" s="549"/>
      <c r="J114" s="549"/>
      <c r="K114" s="549"/>
      <c r="L114" s="549"/>
      <c r="M114" s="549"/>
      <c r="N114" s="549"/>
      <c r="O114" s="549"/>
      <c r="P114" s="549"/>
      <c r="Q114" s="549"/>
      <c r="R114" s="549"/>
      <c r="S114" s="549"/>
      <c r="T114" s="549"/>
      <c r="U114" s="549"/>
      <c r="V114" s="549"/>
      <c r="W114" s="549"/>
      <c r="X114" s="549"/>
      <c r="Y114" s="549"/>
      <c r="Z114" s="549"/>
    </row>
    <row r="115" ht="12.0" customHeight="1">
      <c r="A115" s="549"/>
      <c r="B115" s="549"/>
      <c r="C115" s="549"/>
      <c r="D115" s="549"/>
      <c r="E115" s="549"/>
      <c r="F115" s="549"/>
      <c r="G115" s="549"/>
      <c r="H115" s="549"/>
      <c r="I115" s="549"/>
      <c r="J115" s="549"/>
      <c r="K115" s="549"/>
      <c r="L115" s="549"/>
      <c r="M115" s="549"/>
      <c r="N115" s="549"/>
      <c r="O115" s="549"/>
      <c r="P115" s="549"/>
      <c r="Q115" s="549"/>
      <c r="R115" s="549"/>
      <c r="S115" s="549"/>
      <c r="T115" s="549"/>
      <c r="U115" s="549"/>
      <c r="V115" s="549"/>
      <c r="W115" s="549"/>
      <c r="X115" s="549"/>
      <c r="Y115" s="549"/>
      <c r="Z115" s="549"/>
    </row>
    <row r="116" ht="12.0" customHeight="1">
      <c r="A116" s="549"/>
      <c r="B116" s="549"/>
      <c r="C116" s="549"/>
      <c r="D116" s="549"/>
      <c r="E116" s="549"/>
      <c r="F116" s="549"/>
      <c r="G116" s="549"/>
      <c r="H116" s="549"/>
      <c r="I116" s="549"/>
      <c r="J116" s="549"/>
      <c r="K116" s="549"/>
      <c r="L116" s="549"/>
      <c r="M116" s="549"/>
      <c r="N116" s="549"/>
      <c r="O116" s="549"/>
      <c r="P116" s="549"/>
      <c r="Q116" s="549"/>
      <c r="R116" s="549"/>
      <c r="S116" s="549"/>
      <c r="T116" s="549"/>
      <c r="U116" s="549"/>
      <c r="V116" s="549"/>
      <c r="W116" s="549"/>
      <c r="X116" s="549"/>
      <c r="Y116" s="549"/>
      <c r="Z116" s="549"/>
    </row>
    <row r="117" ht="12.0" customHeight="1">
      <c r="A117" s="549"/>
      <c r="B117" s="549"/>
      <c r="C117" s="549"/>
      <c r="D117" s="549"/>
      <c r="E117" s="549"/>
      <c r="F117" s="549"/>
      <c r="G117" s="549"/>
      <c r="H117" s="549"/>
      <c r="I117" s="549"/>
      <c r="J117" s="549"/>
      <c r="K117" s="549"/>
      <c r="L117" s="549"/>
      <c r="M117" s="549"/>
      <c r="N117" s="549"/>
      <c r="O117" s="549"/>
      <c r="P117" s="549"/>
      <c r="Q117" s="549"/>
      <c r="R117" s="549"/>
      <c r="S117" s="549"/>
      <c r="T117" s="549"/>
      <c r="U117" s="549"/>
      <c r="V117" s="549"/>
      <c r="W117" s="549"/>
      <c r="X117" s="549"/>
      <c r="Y117" s="549"/>
      <c r="Z117" s="549"/>
    </row>
    <row r="118" ht="12.0" customHeight="1">
      <c r="A118" s="549"/>
      <c r="B118" s="549"/>
      <c r="C118" s="549"/>
      <c r="D118" s="549"/>
      <c r="E118" s="549"/>
      <c r="F118" s="549"/>
      <c r="G118" s="549"/>
      <c r="H118" s="549"/>
      <c r="I118" s="549"/>
      <c r="J118" s="549"/>
      <c r="K118" s="549"/>
      <c r="L118" s="549"/>
      <c r="M118" s="549"/>
      <c r="N118" s="549"/>
      <c r="O118" s="549"/>
      <c r="P118" s="549"/>
      <c r="Q118" s="549"/>
      <c r="R118" s="549"/>
      <c r="S118" s="549"/>
      <c r="T118" s="549"/>
      <c r="U118" s="549"/>
      <c r="V118" s="549"/>
      <c r="W118" s="549"/>
      <c r="X118" s="549"/>
      <c r="Y118" s="549"/>
      <c r="Z118" s="549"/>
    </row>
    <row r="119" ht="12.0" customHeight="1">
      <c r="A119" s="549"/>
      <c r="B119" s="549"/>
      <c r="C119" s="549"/>
      <c r="D119" s="549"/>
      <c r="E119" s="549"/>
      <c r="F119" s="549"/>
      <c r="G119" s="549"/>
      <c r="H119" s="549"/>
      <c r="I119" s="549"/>
      <c r="J119" s="549"/>
      <c r="K119" s="549"/>
      <c r="L119" s="549"/>
      <c r="M119" s="549"/>
      <c r="N119" s="549"/>
      <c r="O119" s="549"/>
      <c r="P119" s="549"/>
      <c r="Q119" s="549"/>
      <c r="R119" s="549"/>
      <c r="S119" s="549"/>
      <c r="T119" s="549"/>
      <c r="U119" s="549"/>
      <c r="V119" s="549"/>
      <c r="W119" s="549"/>
      <c r="X119" s="549"/>
      <c r="Y119" s="549"/>
      <c r="Z119" s="549"/>
    </row>
    <row r="120" ht="12.0" customHeight="1">
      <c r="A120" s="549"/>
      <c r="B120" s="549"/>
      <c r="C120" s="549"/>
      <c r="D120" s="549"/>
      <c r="E120" s="549"/>
      <c r="F120" s="549"/>
      <c r="G120" s="549"/>
      <c r="H120" s="549"/>
      <c r="I120" s="549"/>
      <c r="J120" s="549"/>
      <c r="K120" s="549"/>
      <c r="L120" s="549"/>
      <c r="M120" s="549"/>
      <c r="N120" s="549"/>
      <c r="O120" s="549"/>
      <c r="P120" s="549"/>
      <c r="Q120" s="549"/>
      <c r="R120" s="549"/>
      <c r="S120" s="549"/>
      <c r="T120" s="549"/>
      <c r="U120" s="549"/>
      <c r="V120" s="549"/>
      <c r="W120" s="549"/>
      <c r="X120" s="549"/>
      <c r="Y120" s="549"/>
      <c r="Z120" s="549"/>
    </row>
    <row r="121" ht="12.0" customHeight="1">
      <c r="A121" s="549"/>
      <c r="B121" s="549"/>
      <c r="C121" s="549"/>
      <c r="D121" s="549"/>
      <c r="E121" s="549"/>
      <c r="F121" s="549"/>
      <c r="G121" s="549"/>
      <c r="H121" s="549"/>
      <c r="I121" s="549"/>
      <c r="J121" s="549"/>
      <c r="K121" s="549"/>
      <c r="L121" s="549"/>
      <c r="M121" s="549"/>
      <c r="N121" s="549"/>
      <c r="O121" s="549"/>
      <c r="P121" s="549"/>
      <c r="Q121" s="549"/>
      <c r="R121" s="549"/>
      <c r="S121" s="549"/>
      <c r="T121" s="549"/>
      <c r="U121" s="549"/>
      <c r="V121" s="549"/>
      <c r="W121" s="549"/>
      <c r="X121" s="549"/>
      <c r="Y121" s="549"/>
      <c r="Z121" s="549"/>
    </row>
    <row r="122" ht="12.0" customHeight="1">
      <c r="A122" s="549"/>
      <c r="B122" s="549"/>
      <c r="C122" s="549"/>
      <c r="D122" s="549"/>
      <c r="E122" s="549"/>
      <c r="F122" s="549"/>
      <c r="G122" s="549"/>
      <c r="H122" s="549"/>
      <c r="I122" s="549"/>
      <c r="J122" s="549"/>
      <c r="K122" s="549"/>
      <c r="L122" s="549"/>
      <c r="M122" s="549"/>
      <c r="N122" s="549"/>
      <c r="O122" s="549"/>
      <c r="P122" s="549"/>
      <c r="Q122" s="549"/>
      <c r="R122" s="549"/>
      <c r="S122" s="549"/>
      <c r="T122" s="549"/>
      <c r="U122" s="549"/>
      <c r="V122" s="549"/>
      <c r="W122" s="549"/>
      <c r="X122" s="549"/>
      <c r="Y122" s="549"/>
      <c r="Z122" s="549"/>
    </row>
    <row r="123" ht="12.0" customHeight="1">
      <c r="A123" s="549"/>
      <c r="B123" s="549"/>
      <c r="C123" s="549"/>
      <c r="D123" s="549"/>
      <c r="E123" s="549"/>
      <c r="F123" s="549"/>
      <c r="G123" s="549"/>
      <c r="H123" s="549"/>
      <c r="I123" s="549"/>
      <c r="J123" s="549"/>
      <c r="K123" s="549"/>
      <c r="L123" s="549"/>
      <c r="M123" s="549"/>
      <c r="N123" s="549"/>
      <c r="O123" s="549"/>
      <c r="P123" s="549"/>
      <c r="Q123" s="549"/>
      <c r="R123" s="549"/>
      <c r="S123" s="549"/>
      <c r="T123" s="549"/>
      <c r="U123" s="549"/>
      <c r="V123" s="549"/>
      <c r="W123" s="549"/>
      <c r="X123" s="549"/>
      <c r="Y123" s="549"/>
      <c r="Z123" s="549"/>
    </row>
    <row r="124" ht="12.0" customHeight="1">
      <c r="A124" s="549"/>
      <c r="B124" s="549"/>
      <c r="C124" s="549"/>
      <c r="D124" s="549"/>
      <c r="E124" s="549"/>
      <c r="F124" s="549"/>
      <c r="G124" s="549"/>
      <c r="H124" s="549"/>
      <c r="I124" s="549"/>
      <c r="J124" s="549"/>
      <c r="K124" s="549"/>
      <c r="L124" s="549"/>
      <c r="M124" s="549"/>
      <c r="N124" s="549"/>
      <c r="O124" s="549"/>
      <c r="P124" s="549"/>
      <c r="Q124" s="549"/>
      <c r="R124" s="549"/>
      <c r="S124" s="549"/>
      <c r="T124" s="549"/>
      <c r="U124" s="549"/>
      <c r="V124" s="549"/>
      <c r="W124" s="549"/>
      <c r="X124" s="549"/>
      <c r="Y124" s="549"/>
      <c r="Z124" s="549"/>
    </row>
    <row r="125" ht="12.0" customHeight="1">
      <c r="A125" s="549"/>
      <c r="B125" s="549"/>
      <c r="C125" s="549"/>
      <c r="D125" s="549"/>
      <c r="E125" s="549"/>
      <c r="F125" s="549"/>
      <c r="G125" s="549"/>
      <c r="H125" s="549"/>
      <c r="I125" s="549"/>
      <c r="J125" s="549"/>
      <c r="K125" s="549"/>
      <c r="L125" s="549"/>
      <c r="M125" s="549"/>
      <c r="N125" s="549"/>
      <c r="O125" s="549"/>
      <c r="P125" s="549"/>
      <c r="Q125" s="549"/>
      <c r="R125" s="549"/>
      <c r="S125" s="549"/>
      <c r="T125" s="549"/>
      <c r="U125" s="549"/>
      <c r="V125" s="549"/>
      <c r="W125" s="549"/>
      <c r="X125" s="549"/>
      <c r="Y125" s="549"/>
      <c r="Z125" s="549"/>
    </row>
    <row r="126" ht="12.0" customHeight="1">
      <c r="A126" s="549"/>
      <c r="B126" s="549"/>
      <c r="C126" s="549"/>
      <c r="D126" s="549"/>
      <c r="E126" s="549"/>
      <c r="F126" s="549"/>
      <c r="G126" s="549"/>
      <c r="H126" s="549"/>
      <c r="I126" s="549"/>
      <c r="J126" s="549"/>
      <c r="K126" s="549"/>
      <c r="L126" s="549"/>
      <c r="M126" s="549"/>
      <c r="N126" s="549"/>
      <c r="O126" s="549"/>
      <c r="P126" s="549"/>
      <c r="Q126" s="549"/>
      <c r="R126" s="549"/>
      <c r="S126" s="549"/>
      <c r="T126" s="549"/>
      <c r="U126" s="549"/>
      <c r="V126" s="549"/>
      <c r="W126" s="549"/>
      <c r="X126" s="549"/>
      <c r="Y126" s="549"/>
      <c r="Z126" s="549"/>
    </row>
    <row r="127" ht="12.0" customHeight="1">
      <c r="A127" s="549"/>
      <c r="B127" s="549"/>
      <c r="C127" s="549"/>
      <c r="D127" s="549"/>
      <c r="E127" s="549"/>
      <c r="F127" s="549"/>
      <c r="G127" s="549"/>
      <c r="H127" s="549"/>
      <c r="I127" s="549"/>
      <c r="J127" s="549"/>
      <c r="K127" s="549"/>
      <c r="L127" s="549"/>
      <c r="M127" s="549"/>
      <c r="N127" s="549"/>
      <c r="O127" s="549"/>
      <c r="P127" s="549"/>
      <c r="Q127" s="549"/>
      <c r="R127" s="549"/>
      <c r="S127" s="549"/>
      <c r="T127" s="549"/>
      <c r="U127" s="549"/>
      <c r="V127" s="549"/>
      <c r="W127" s="549"/>
      <c r="X127" s="549"/>
      <c r="Y127" s="549"/>
      <c r="Z127" s="549"/>
    </row>
    <row r="128" ht="12.0" customHeight="1">
      <c r="A128" s="549"/>
      <c r="B128" s="549"/>
      <c r="C128" s="549"/>
      <c r="D128" s="549"/>
      <c r="E128" s="549"/>
      <c r="F128" s="549"/>
      <c r="G128" s="549"/>
      <c r="H128" s="549"/>
      <c r="I128" s="549"/>
      <c r="J128" s="549"/>
      <c r="K128" s="549"/>
      <c r="L128" s="549"/>
      <c r="M128" s="549"/>
      <c r="N128" s="549"/>
      <c r="O128" s="549"/>
      <c r="P128" s="549"/>
      <c r="Q128" s="549"/>
      <c r="R128" s="549"/>
      <c r="S128" s="549"/>
      <c r="T128" s="549"/>
      <c r="U128" s="549"/>
      <c r="V128" s="549"/>
      <c r="W128" s="549"/>
      <c r="X128" s="549"/>
      <c r="Y128" s="549"/>
      <c r="Z128" s="549"/>
    </row>
    <row r="129" ht="12.0" customHeight="1">
      <c r="A129" s="549"/>
      <c r="B129" s="549"/>
      <c r="C129" s="549"/>
      <c r="D129" s="549"/>
      <c r="E129" s="549"/>
      <c r="F129" s="549"/>
      <c r="G129" s="549"/>
      <c r="H129" s="549"/>
      <c r="I129" s="549"/>
      <c r="J129" s="549"/>
      <c r="K129" s="549"/>
      <c r="L129" s="549"/>
      <c r="M129" s="549"/>
      <c r="N129" s="549"/>
      <c r="O129" s="549"/>
      <c r="P129" s="549"/>
      <c r="Q129" s="549"/>
      <c r="R129" s="549"/>
      <c r="S129" s="549"/>
      <c r="T129" s="549"/>
      <c r="U129" s="549"/>
      <c r="V129" s="549"/>
      <c r="W129" s="549"/>
      <c r="X129" s="549"/>
      <c r="Y129" s="549"/>
      <c r="Z129" s="549"/>
    </row>
    <row r="130" ht="12.0" customHeight="1">
      <c r="A130" s="549"/>
      <c r="B130" s="549"/>
      <c r="C130" s="549"/>
      <c r="D130" s="549"/>
      <c r="E130" s="549"/>
      <c r="F130" s="549"/>
      <c r="G130" s="549"/>
      <c r="H130" s="549"/>
      <c r="I130" s="549"/>
      <c r="J130" s="549"/>
      <c r="K130" s="549"/>
      <c r="L130" s="549"/>
      <c r="M130" s="549"/>
      <c r="N130" s="549"/>
      <c r="O130" s="549"/>
      <c r="P130" s="549"/>
      <c r="Q130" s="549"/>
      <c r="R130" s="549"/>
      <c r="S130" s="549"/>
      <c r="T130" s="549"/>
      <c r="U130" s="549"/>
      <c r="V130" s="549"/>
      <c r="W130" s="549"/>
      <c r="X130" s="549"/>
      <c r="Y130" s="549"/>
      <c r="Z130" s="549"/>
    </row>
    <row r="131" ht="12.0" customHeight="1">
      <c r="A131" s="549"/>
      <c r="B131" s="549"/>
      <c r="C131" s="549"/>
      <c r="D131" s="549"/>
      <c r="E131" s="549"/>
      <c r="F131" s="549"/>
      <c r="G131" s="549"/>
      <c r="H131" s="549"/>
      <c r="I131" s="549"/>
      <c r="J131" s="549"/>
      <c r="K131" s="549"/>
      <c r="L131" s="549"/>
      <c r="M131" s="549"/>
      <c r="N131" s="549"/>
      <c r="O131" s="549"/>
      <c r="P131" s="549"/>
      <c r="Q131" s="549"/>
      <c r="R131" s="549"/>
      <c r="S131" s="549"/>
      <c r="T131" s="549"/>
      <c r="U131" s="549"/>
      <c r="V131" s="549"/>
      <c r="W131" s="549"/>
      <c r="X131" s="549"/>
      <c r="Y131" s="549"/>
      <c r="Z131" s="549"/>
    </row>
    <row r="132" ht="12.0" customHeight="1">
      <c r="A132" s="549"/>
      <c r="B132" s="549"/>
      <c r="C132" s="549"/>
      <c r="D132" s="549"/>
      <c r="E132" s="549"/>
      <c r="F132" s="549"/>
      <c r="G132" s="549"/>
      <c r="H132" s="549"/>
      <c r="I132" s="549"/>
      <c r="J132" s="549"/>
      <c r="K132" s="549"/>
      <c r="L132" s="549"/>
      <c r="M132" s="549"/>
      <c r="N132" s="549"/>
      <c r="O132" s="549"/>
      <c r="P132" s="549"/>
      <c r="Q132" s="549"/>
      <c r="R132" s="549"/>
      <c r="S132" s="549"/>
      <c r="T132" s="549"/>
      <c r="U132" s="549"/>
      <c r="V132" s="549"/>
      <c r="W132" s="549"/>
      <c r="X132" s="549"/>
      <c r="Y132" s="549"/>
      <c r="Z132" s="549"/>
    </row>
    <row r="133" ht="12.0" customHeight="1">
      <c r="A133" s="549"/>
      <c r="B133" s="549"/>
      <c r="C133" s="549"/>
      <c r="D133" s="549"/>
      <c r="E133" s="549"/>
      <c r="F133" s="549"/>
      <c r="G133" s="549"/>
      <c r="H133" s="549"/>
      <c r="I133" s="549"/>
      <c r="J133" s="549"/>
      <c r="K133" s="549"/>
      <c r="L133" s="549"/>
      <c r="M133" s="549"/>
      <c r="N133" s="549"/>
      <c r="O133" s="549"/>
      <c r="P133" s="549"/>
      <c r="Q133" s="549"/>
      <c r="R133" s="549"/>
      <c r="S133" s="549"/>
      <c r="T133" s="549"/>
      <c r="U133" s="549"/>
      <c r="V133" s="549"/>
      <c r="W133" s="549"/>
      <c r="X133" s="549"/>
      <c r="Y133" s="549"/>
      <c r="Z133" s="549"/>
    </row>
    <row r="134" ht="12.0" customHeight="1">
      <c r="A134" s="549"/>
      <c r="B134" s="549"/>
      <c r="C134" s="549"/>
      <c r="D134" s="549"/>
      <c r="E134" s="549"/>
      <c r="F134" s="549"/>
      <c r="G134" s="549"/>
      <c r="H134" s="549"/>
      <c r="I134" s="549"/>
      <c r="J134" s="549"/>
      <c r="K134" s="549"/>
      <c r="L134" s="549"/>
      <c r="M134" s="549"/>
      <c r="N134" s="549"/>
      <c r="O134" s="549"/>
      <c r="P134" s="549"/>
      <c r="Q134" s="549"/>
      <c r="R134" s="549"/>
      <c r="S134" s="549"/>
      <c r="T134" s="549"/>
      <c r="U134" s="549"/>
      <c r="V134" s="549"/>
      <c r="W134" s="549"/>
      <c r="X134" s="549"/>
      <c r="Y134" s="549"/>
      <c r="Z134" s="549"/>
    </row>
    <row r="135" ht="12.0" customHeight="1">
      <c r="A135" s="549"/>
      <c r="B135" s="549"/>
      <c r="C135" s="549"/>
      <c r="D135" s="549"/>
      <c r="E135" s="549"/>
      <c r="F135" s="549"/>
      <c r="G135" s="549"/>
      <c r="H135" s="549"/>
      <c r="I135" s="549"/>
      <c r="J135" s="549"/>
      <c r="K135" s="549"/>
      <c r="L135" s="549"/>
      <c r="M135" s="549"/>
      <c r="N135" s="549"/>
      <c r="O135" s="549"/>
      <c r="P135" s="549"/>
      <c r="Q135" s="549"/>
      <c r="R135" s="549"/>
      <c r="S135" s="549"/>
      <c r="T135" s="549"/>
      <c r="U135" s="549"/>
      <c r="V135" s="549"/>
      <c r="W135" s="549"/>
      <c r="X135" s="549"/>
      <c r="Y135" s="549"/>
      <c r="Z135" s="549"/>
    </row>
    <row r="136" ht="12.0" customHeight="1">
      <c r="A136" s="549"/>
      <c r="B136" s="549"/>
      <c r="C136" s="549"/>
      <c r="D136" s="549"/>
      <c r="E136" s="549"/>
      <c r="F136" s="549"/>
      <c r="G136" s="549"/>
      <c r="H136" s="549"/>
      <c r="I136" s="549"/>
      <c r="J136" s="549"/>
      <c r="K136" s="549"/>
      <c r="L136" s="549"/>
      <c r="M136" s="549"/>
      <c r="N136" s="549"/>
      <c r="O136" s="549"/>
      <c r="P136" s="549"/>
      <c r="Q136" s="549"/>
      <c r="R136" s="549"/>
      <c r="S136" s="549"/>
      <c r="T136" s="549"/>
      <c r="U136" s="549"/>
      <c r="V136" s="549"/>
      <c r="W136" s="549"/>
      <c r="X136" s="549"/>
      <c r="Y136" s="549"/>
      <c r="Z136" s="549"/>
    </row>
    <row r="137" ht="12.0" customHeight="1">
      <c r="A137" s="549"/>
      <c r="B137" s="549"/>
      <c r="C137" s="549"/>
      <c r="D137" s="549"/>
      <c r="E137" s="549"/>
      <c r="F137" s="549"/>
      <c r="G137" s="549"/>
      <c r="H137" s="549"/>
      <c r="I137" s="549"/>
      <c r="J137" s="549"/>
      <c r="K137" s="549"/>
      <c r="L137" s="549"/>
      <c r="M137" s="549"/>
      <c r="N137" s="549"/>
      <c r="O137" s="549"/>
      <c r="P137" s="549"/>
      <c r="Q137" s="549"/>
      <c r="R137" s="549"/>
      <c r="S137" s="549"/>
      <c r="T137" s="549"/>
      <c r="U137" s="549"/>
      <c r="V137" s="549"/>
      <c r="W137" s="549"/>
      <c r="X137" s="549"/>
      <c r="Y137" s="549"/>
      <c r="Z137" s="549"/>
    </row>
    <row r="138" ht="12.0" customHeight="1">
      <c r="A138" s="549"/>
      <c r="B138" s="549"/>
      <c r="C138" s="549"/>
      <c r="D138" s="549"/>
      <c r="E138" s="549"/>
      <c r="F138" s="549"/>
      <c r="G138" s="549"/>
      <c r="H138" s="549"/>
      <c r="I138" s="549"/>
      <c r="J138" s="549"/>
      <c r="K138" s="549"/>
      <c r="L138" s="549"/>
      <c r="M138" s="549"/>
      <c r="N138" s="549"/>
      <c r="O138" s="549"/>
      <c r="P138" s="549"/>
      <c r="Q138" s="549"/>
      <c r="R138" s="549"/>
      <c r="S138" s="549"/>
      <c r="T138" s="549"/>
      <c r="U138" s="549"/>
      <c r="V138" s="549"/>
      <c r="W138" s="549"/>
      <c r="X138" s="549"/>
      <c r="Y138" s="549"/>
      <c r="Z138" s="549"/>
    </row>
    <row r="139" ht="12.0" customHeight="1">
      <c r="A139" s="549"/>
      <c r="B139" s="549"/>
      <c r="C139" s="549"/>
      <c r="D139" s="549"/>
      <c r="E139" s="549"/>
      <c r="F139" s="549"/>
      <c r="G139" s="549"/>
      <c r="H139" s="549"/>
      <c r="I139" s="549"/>
      <c r="J139" s="549"/>
      <c r="K139" s="549"/>
      <c r="L139" s="549"/>
      <c r="M139" s="549"/>
      <c r="N139" s="549"/>
      <c r="O139" s="549"/>
      <c r="P139" s="549"/>
      <c r="Q139" s="549"/>
      <c r="R139" s="549"/>
      <c r="S139" s="549"/>
      <c r="T139" s="549"/>
      <c r="U139" s="549"/>
      <c r="V139" s="549"/>
      <c r="W139" s="549"/>
      <c r="X139" s="549"/>
      <c r="Y139" s="549"/>
      <c r="Z139" s="549"/>
    </row>
    <row r="140" ht="12.0" customHeight="1">
      <c r="A140" s="549"/>
      <c r="B140" s="549"/>
      <c r="C140" s="549"/>
      <c r="D140" s="549"/>
      <c r="E140" s="549"/>
      <c r="F140" s="549"/>
      <c r="G140" s="549"/>
      <c r="H140" s="549"/>
      <c r="I140" s="549"/>
      <c r="J140" s="549"/>
      <c r="K140" s="549"/>
      <c r="L140" s="549"/>
      <c r="M140" s="549"/>
      <c r="N140" s="549"/>
      <c r="O140" s="549"/>
      <c r="P140" s="549"/>
      <c r="Q140" s="549"/>
      <c r="R140" s="549"/>
      <c r="S140" s="549"/>
      <c r="T140" s="549"/>
      <c r="U140" s="549"/>
      <c r="V140" s="549"/>
      <c r="W140" s="549"/>
      <c r="X140" s="549"/>
      <c r="Y140" s="549"/>
      <c r="Z140" s="549"/>
    </row>
    <row r="141" ht="12.0" customHeight="1">
      <c r="A141" s="549"/>
      <c r="B141" s="549"/>
      <c r="C141" s="549"/>
      <c r="D141" s="549"/>
      <c r="E141" s="549"/>
      <c r="F141" s="549"/>
      <c r="G141" s="549"/>
      <c r="H141" s="549"/>
      <c r="I141" s="549"/>
      <c r="J141" s="549"/>
      <c r="K141" s="549"/>
      <c r="L141" s="549"/>
      <c r="M141" s="549"/>
      <c r="N141" s="549"/>
      <c r="O141" s="549"/>
      <c r="P141" s="549"/>
      <c r="Q141" s="549"/>
      <c r="R141" s="549"/>
      <c r="S141" s="549"/>
      <c r="T141" s="549"/>
      <c r="U141" s="549"/>
      <c r="V141" s="549"/>
      <c r="W141" s="549"/>
      <c r="X141" s="549"/>
      <c r="Y141" s="549"/>
      <c r="Z141" s="549"/>
    </row>
    <row r="142" ht="12.0" customHeight="1">
      <c r="A142" s="549"/>
      <c r="B142" s="549"/>
      <c r="C142" s="549"/>
      <c r="D142" s="549"/>
      <c r="E142" s="549"/>
      <c r="F142" s="549"/>
      <c r="G142" s="549"/>
      <c r="H142" s="549"/>
      <c r="I142" s="549"/>
      <c r="J142" s="549"/>
      <c r="K142" s="549"/>
      <c r="L142" s="549"/>
      <c r="M142" s="549"/>
      <c r="N142" s="549"/>
      <c r="O142" s="549"/>
      <c r="P142" s="549"/>
      <c r="Q142" s="549"/>
      <c r="R142" s="549"/>
      <c r="S142" s="549"/>
      <c r="T142" s="549"/>
      <c r="U142" s="549"/>
      <c r="V142" s="549"/>
      <c r="W142" s="549"/>
      <c r="X142" s="549"/>
      <c r="Y142" s="549"/>
      <c r="Z142" s="549"/>
    </row>
    <row r="143" ht="12.0" customHeight="1">
      <c r="A143" s="549"/>
      <c r="B143" s="549"/>
      <c r="C143" s="549"/>
      <c r="D143" s="549"/>
      <c r="E143" s="549"/>
      <c r="F143" s="549"/>
      <c r="G143" s="549"/>
      <c r="H143" s="549"/>
      <c r="I143" s="549"/>
      <c r="J143" s="549"/>
      <c r="K143" s="549"/>
      <c r="L143" s="549"/>
      <c r="M143" s="549"/>
      <c r="N143" s="549"/>
      <c r="O143" s="549"/>
      <c r="P143" s="549"/>
      <c r="Q143" s="549"/>
      <c r="R143" s="549"/>
      <c r="S143" s="549"/>
      <c r="T143" s="549"/>
      <c r="U143" s="549"/>
      <c r="V143" s="549"/>
      <c r="W143" s="549"/>
      <c r="X143" s="549"/>
      <c r="Y143" s="549"/>
      <c r="Z143" s="549"/>
    </row>
    <row r="144" ht="12.0" customHeight="1">
      <c r="A144" s="549"/>
      <c r="B144" s="549"/>
      <c r="C144" s="549"/>
      <c r="D144" s="549"/>
      <c r="E144" s="549"/>
      <c r="F144" s="549"/>
      <c r="G144" s="549"/>
      <c r="H144" s="549"/>
      <c r="I144" s="549"/>
      <c r="J144" s="549"/>
      <c r="K144" s="549"/>
      <c r="L144" s="549"/>
      <c r="M144" s="549"/>
      <c r="N144" s="549"/>
      <c r="O144" s="549"/>
      <c r="P144" s="549"/>
      <c r="Q144" s="549"/>
      <c r="R144" s="549"/>
      <c r="S144" s="549"/>
      <c r="T144" s="549"/>
      <c r="U144" s="549"/>
      <c r="V144" s="549"/>
      <c r="W144" s="549"/>
      <c r="X144" s="549"/>
      <c r="Y144" s="549"/>
      <c r="Z144" s="549"/>
    </row>
    <row r="145" ht="12.0" customHeight="1">
      <c r="A145" s="549"/>
      <c r="B145" s="549"/>
      <c r="C145" s="549"/>
      <c r="D145" s="549"/>
      <c r="E145" s="549"/>
      <c r="F145" s="549"/>
      <c r="G145" s="549"/>
      <c r="H145" s="549"/>
      <c r="I145" s="549"/>
      <c r="J145" s="549"/>
      <c r="K145" s="549"/>
      <c r="L145" s="549"/>
      <c r="M145" s="549"/>
      <c r="N145" s="549"/>
      <c r="O145" s="549"/>
      <c r="P145" s="549"/>
      <c r="Q145" s="549"/>
      <c r="R145" s="549"/>
      <c r="S145" s="549"/>
      <c r="T145" s="549"/>
      <c r="U145" s="549"/>
      <c r="V145" s="549"/>
      <c r="W145" s="549"/>
      <c r="X145" s="549"/>
      <c r="Y145" s="549"/>
      <c r="Z145" s="549"/>
    </row>
    <row r="146" ht="12.0" customHeight="1">
      <c r="A146" s="549"/>
      <c r="B146" s="549"/>
      <c r="C146" s="549"/>
      <c r="D146" s="549"/>
      <c r="E146" s="549"/>
      <c r="F146" s="549"/>
      <c r="G146" s="549"/>
      <c r="H146" s="549"/>
      <c r="I146" s="549"/>
      <c r="J146" s="549"/>
      <c r="K146" s="549"/>
      <c r="L146" s="549"/>
      <c r="M146" s="549"/>
      <c r="N146" s="549"/>
      <c r="O146" s="549"/>
      <c r="P146" s="549"/>
      <c r="Q146" s="549"/>
      <c r="R146" s="549"/>
      <c r="S146" s="549"/>
      <c r="T146" s="549"/>
      <c r="U146" s="549"/>
      <c r="V146" s="549"/>
      <c r="W146" s="549"/>
      <c r="X146" s="549"/>
      <c r="Y146" s="549"/>
      <c r="Z146" s="549"/>
    </row>
    <row r="147" ht="12.0" customHeight="1">
      <c r="A147" s="549"/>
      <c r="B147" s="549"/>
      <c r="C147" s="549"/>
      <c r="D147" s="549"/>
      <c r="E147" s="549"/>
      <c r="F147" s="549"/>
      <c r="G147" s="549"/>
      <c r="H147" s="549"/>
      <c r="I147" s="549"/>
      <c r="J147" s="549"/>
      <c r="K147" s="549"/>
      <c r="L147" s="549"/>
      <c r="M147" s="549"/>
      <c r="N147" s="549"/>
      <c r="O147" s="549"/>
      <c r="P147" s="549"/>
      <c r="Q147" s="549"/>
      <c r="R147" s="549"/>
      <c r="S147" s="549"/>
      <c r="T147" s="549"/>
      <c r="U147" s="549"/>
      <c r="V147" s="549"/>
      <c r="W147" s="549"/>
      <c r="X147" s="549"/>
      <c r="Y147" s="549"/>
      <c r="Z147" s="549"/>
    </row>
    <row r="148" ht="12.0" customHeight="1">
      <c r="A148" s="549"/>
      <c r="B148" s="549"/>
      <c r="C148" s="549"/>
      <c r="D148" s="549"/>
      <c r="E148" s="549"/>
      <c r="F148" s="549"/>
      <c r="G148" s="549"/>
      <c r="H148" s="549"/>
      <c r="I148" s="549"/>
      <c r="J148" s="549"/>
      <c r="K148" s="549"/>
      <c r="L148" s="549"/>
      <c r="M148" s="549"/>
      <c r="N148" s="549"/>
      <c r="O148" s="549"/>
      <c r="P148" s="549"/>
      <c r="Q148" s="549"/>
      <c r="R148" s="549"/>
      <c r="S148" s="549"/>
      <c r="T148" s="549"/>
      <c r="U148" s="549"/>
      <c r="V148" s="549"/>
      <c r="W148" s="549"/>
      <c r="X148" s="549"/>
      <c r="Y148" s="549"/>
      <c r="Z148" s="549"/>
    </row>
    <row r="149" ht="12.0" customHeight="1">
      <c r="A149" s="549"/>
      <c r="B149" s="549"/>
      <c r="C149" s="549"/>
      <c r="D149" s="549"/>
      <c r="E149" s="549"/>
      <c r="F149" s="549"/>
      <c r="G149" s="549"/>
      <c r="H149" s="549"/>
      <c r="I149" s="549"/>
      <c r="J149" s="549"/>
      <c r="K149" s="549"/>
      <c r="L149" s="549"/>
      <c r="M149" s="549"/>
      <c r="N149" s="549"/>
      <c r="O149" s="549"/>
      <c r="P149" s="549"/>
      <c r="Q149" s="549"/>
      <c r="R149" s="549"/>
      <c r="S149" s="549"/>
      <c r="T149" s="549"/>
      <c r="U149" s="549"/>
      <c r="V149" s="549"/>
      <c r="W149" s="549"/>
      <c r="X149" s="549"/>
      <c r="Y149" s="549"/>
      <c r="Z149" s="549"/>
    </row>
    <row r="150" ht="12.0" customHeight="1">
      <c r="A150" s="549"/>
      <c r="B150" s="549"/>
      <c r="C150" s="549"/>
      <c r="D150" s="549"/>
      <c r="E150" s="549"/>
      <c r="F150" s="549"/>
      <c r="G150" s="549"/>
      <c r="H150" s="549"/>
      <c r="I150" s="549"/>
      <c r="J150" s="549"/>
      <c r="K150" s="549"/>
      <c r="L150" s="549"/>
      <c r="M150" s="549"/>
      <c r="N150" s="549"/>
      <c r="O150" s="549"/>
      <c r="P150" s="549"/>
      <c r="Q150" s="549"/>
      <c r="R150" s="549"/>
      <c r="S150" s="549"/>
      <c r="T150" s="549"/>
      <c r="U150" s="549"/>
      <c r="V150" s="549"/>
      <c r="W150" s="549"/>
      <c r="X150" s="549"/>
      <c r="Y150" s="549"/>
      <c r="Z150" s="549"/>
    </row>
    <row r="151" ht="12.0" customHeight="1">
      <c r="A151" s="549"/>
      <c r="B151" s="549"/>
      <c r="C151" s="549"/>
      <c r="D151" s="549"/>
      <c r="E151" s="549"/>
      <c r="F151" s="549"/>
      <c r="G151" s="549"/>
      <c r="H151" s="549"/>
      <c r="I151" s="549"/>
      <c r="J151" s="549"/>
      <c r="K151" s="549"/>
      <c r="L151" s="549"/>
      <c r="M151" s="549"/>
      <c r="N151" s="549"/>
      <c r="O151" s="549"/>
      <c r="P151" s="549"/>
      <c r="Q151" s="549"/>
      <c r="R151" s="549"/>
      <c r="S151" s="549"/>
      <c r="T151" s="549"/>
      <c r="U151" s="549"/>
      <c r="V151" s="549"/>
      <c r="W151" s="549"/>
      <c r="X151" s="549"/>
      <c r="Y151" s="549"/>
      <c r="Z151" s="549"/>
    </row>
    <row r="152" ht="12.0" customHeight="1">
      <c r="A152" s="549"/>
      <c r="B152" s="549"/>
      <c r="C152" s="549"/>
      <c r="D152" s="549"/>
      <c r="E152" s="549"/>
      <c r="F152" s="549"/>
      <c r="G152" s="549"/>
      <c r="H152" s="549"/>
      <c r="I152" s="549"/>
      <c r="J152" s="549"/>
      <c r="K152" s="549"/>
      <c r="L152" s="549"/>
      <c r="M152" s="549"/>
      <c r="N152" s="549"/>
      <c r="O152" s="549"/>
      <c r="P152" s="549"/>
      <c r="Q152" s="549"/>
      <c r="R152" s="549"/>
      <c r="S152" s="549"/>
      <c r="T152" s="549"/>
      <c r="U152" s="549"/>
      <c r="V152" s="549"/>
      <c r="W152" s="549"/>
      <c r="X152" s="549"/>
      <c r="Y152" s="549"/>
      <c r="Z152" s="549"/>
    </row>
    <row r="153" ht="12.0" customHeight="1">
      <c r="A153" s="549"/>
      <c r="B153" s="549"/>
      <c r="C153" s="549"/>
      <c r="D153" s="549"/>
      <c r="E153" s="549"/>
      <c r="F153" s="549"/>
      <c r="G153" s="549"/>
      <c r="H153" s="549"/>
      <c r="I153" s="549"/>
      <c r="J153" s="549"/>
      <c r="K153" s="549"/>
      <c r="L153" s="549"/>
      <c r="M153" s="549"/>
      <c r="N153" s="549"/>
      <c r="O153" s="549"/>
      <c r="P153" s="549"/>
      <c r="Q153" s="549"/>
      <c r="R153" s="549"/>
      <c r="S153" s="549"/>
      <c r="T153" s="549"/>
      <c r="U153" s="549"/>
      <c r="V153" s="549"/>
      <c r="W153" s="549"/>
      <c r="X153" s="549"/>
      <c r="Y153" s="549"/>
      <c r="Z153" s="549"/>
    </row>
    <row r="154" ht="12.0" customHeight="1">
      <c r="A154" s="549"/>
      <c r="B154" s="549"/>
      <c r="C154" s="549"/>
      <c r="D154" s="549"/>
      <c r="E154" s="549"/>
      <c r="F154" s="549"/>
      <c r="G154" s="549"/>
      <c r="H154" s="549"/>
      <c r="I154" s="549"/>
      <c r="J154" s="549"/>
      <c r="K154" s="549"/>
      <c r="L154" s="549"/>
      <c r="M154" s="549"/>
      <c r="N154" s="549"/>
      <c r="O154" s="549"/>
      <c r="P154" s="549"/>
      <c r="Q154" s="549"/>
      <c r="R154" s="549"/>
      <c r="S154" s="549"/>
      <c r="T154" s="549"/>
      <c r="U154" s="549"/>
      <c r="V154" s="549"/>
      <c r="W154" s="549"/>
      <c r="X154" s="549"/>
      <c r="Y154" s="549"/>
      <c r="Z154" s="549"/>
    </row>
    <row r="155" ht="12.0" customHeight="1">
      <c r="A155" s="549"/>
      <c r="B155" s="549"/>
      <c r="C155" s="549"/>
      <c r="D155" s="549"/>
      <c r="E155" s="549"/>
      <c r="F155" s="549"/>
      <c r="G155" s="549"/>
      <c r="H155" s="549"/>
      <c r="I155" s="549"/>
      <c r="J155" s="549"/>
      <c r="K155" s="549"/>
      <c r="L155" s="549"/>
      <c r="M155" s="549"/>
      <c r="N155" s="549"/>
      <c r="O155" s="549"/>
      <c r="P155" s="549"/>
      <c r="Q155" s="549"/>
      <c r="R155" s="549"/>
      <c r="S155" s="549"/>
      <c r="T155" s="549"/>
      <c r="U155" s="549"/>
      <c r="V155" s="549"/>
      <c r="W155" s="549"/>
      <c r="X155" s="549"/>
      <c r="Y155" s="549"/>
      <c r="Z155" s="549"/>
    </row>
    <row r="156" ht="12.0" customHeight="1">
      <c r="A156" s="549"/>
      <c r="B156" s="549"/>
      <c r="C156" s="549"/>
      <c r="D156" s="549"/>
      <c r="E156" s="549"/>
      <c r="F156" s="549"/>
      <c r="G156" s="549"/>
      <c r="H156" s="549"/>
      <c r="I156" s="549"/>
      <c r="J156" s="549"/>
      <c r="K156" s="549"/>
      <c r="L156" s="549"/>
      <c r="M156" s="549"/>
      <c r="N156" s="549"/>
      <c r="O156" s="549"/>
      <c r="P156" s="549"/>
      <c r="Q156" s="549"/>
      <c r="R156" s="549"/>
      <c r="S156" s="549"/>
      <c r="T156" s="549"/>
      <c r="U156" s="549"/>
      <c r="V156" s="549"/>
      <c r="W156" s="549"/>
      <c r="X156" s="549"/>
      <c r="Y156" s="549"/>
      <c r="Z156" s="549"/>
    </row>
    <row r="157" ht="12.0" customHeight="1">
      <c r="A157" s="549"/>
      <c r="B157" s="549"/>
      <c r="C157" s="549"/>
      <c r="D157" s="549"/>
      <c r="E157" s="549"/>
      <c r="F157" s="549"/>
      <c r="G157" s="549"/>
      <c r="H157" s="549"/>
      <c r="I157" s="549"/>
      <c r="J157" s="549"/>
      <c r="K157" s="549"/>
      <c r="L157" s="549"/>
      <c r="M157" s="549"/>
      <c r="N157" s="549"/>
      <c r="O157" s="549"/>
      <c r="P157" s="549"/>
      <c r="Q157" s="549"/>
      <c r="R157" s="549"/>
      <c r="S157" s="549"/>
      <c r="T157" s="549"/>
      <c r="U157" s="549"/>
      <c r="V157" s="549"/>
      <c r="W157" s="549"/>
      <c r="X157" s="549"/>
      <c r="Y157" s="549"/>
      <c r="Z157" s="549"/>
    </row>
    <row r="158" ht="12.0" customHeight="1">
      <c r="A158" s="549"/>
      <c r="B158" s="549"/>
      <c r="C158" s="549"/>
      <c r="D158" s="549"/>
      <c r="E158" s="549"/>
      <c r="F158" s="549"/>
      <c r="G158" s="549"/>
      <c r="H158" s="549"/>
      <c r="I158" s="549"/>
      <c r="J158" s="549"/>
      <c r="K158" s="549"/>
      <c r="L158" s="549"/>
      <c r="M158" s="549"/>
      <c r="N158" s="549"/>
      <c r="O158" s="549"/>
      <c r="P158" s="549"/>
      <c r="Q158" s="549"/>
      <c r="R158" s="549"/>
      <c r="S158" s="549"/>
      <c r="T158" s="549"/>
      <c r="U158" s="549"/>
      <c r="V158" s="549"/>
      <c r="W158" s="549"/>
      <c r="X158" s="549"/>
      <c r="Y158" s="549"/>
      <c r="Z158" s="549"/>
    </row>
    <row r="159" ht="12.0" customHeight="1">
      <c r="A159" s="549"/>
      <c r="B159" s="549"/>
      <c r="C159" s="549"/>
      <c r="D159" s="549"/>
      <c r="E159" s="549"/>
      <c r="F159" s="549"/>
      <c r="G159" s="549"/>
      <c r="H159" s="549"/>
      <c r="I159" s="549"/>
      <c r="J159" s="549"/>
      <c r="K159" s="549"/>
      <c r="L159" s="549"/>
      <c r="M159" s="549"/>
      <c r="N159" s="549"/>
      <c r="O159" s="549"/>
      <c r="P159" s="549"/>
      <c r="Q159" s="549"/>
      <c r="R159" s="549"/>
      <c r="S159" s="549"/>
      <c r="T159" s="549"/>
      <c r="U159" s="549"/>
      <c r="V159" s="549"/>
      <c r="W159" s="549"/>
      <c r="X159" s="549"/>
      <c r="Y159" s="549"/>
      <c r="Z159" s="549"/>
    </row>
    <row r="160" ht="12.0" customHeight="1">
      <c r="A160" s="549"/>
      <c r="B160" s="549"/>
      <c r="C160" s="549"/>
      <c r="D160" s="549"/>
      <c r="E160" s="549"/>
      <c r="F160" s="549"/>
      <c r="G160" s="549"/>
      <c r="H160" s="549"/>
      <c r="I160" s="549"/>
      <c r="J160" s="549"/>
      <c r="K160" s="549"/>
      <c r="L160" s="549"/>
      <c r="M160" s="549"/>
      <c r="N160" s="549"/>
      <c r="O160" s="549"/>
      <c r="P160" s="549"/>
      <c r="Q160" s="549"/>
      <c r="R160" s="549"/>
      <c r="S160" s="549"/>
      <c r="T160" s="549"/>
      <c r="U160" s="549"/>
      <c r="V160" s="549"/>
      <c r="W160" s="549"/>
      <c r="X160" s="549"/>
      <c r="Y160" s="549"/>
      <c r="Z160" s="549"/>
    </row>
    <row r="161" ht="12.0" customHeight="1">
      <c r="A161" s="549"/>
      <c r="B161" s="549"/>
      <c r="C161" s="549"/>
      <c r="D161" s="549"/>
      <c r="E161" s="549"/>
      <c r="F161" s="549"/>
      <c r="G161" s="549"/>
      <c r="H161" s="549"/>
      <c r="I161" s="549"/>
      <c r="J161" s="549"/>
      <c r="K161" s="549"/>
      <c r="L161" s="549"/>
      <c r="M161" s="549"/>
      <c r="N161" s="549"/>
      <c r="O161" s="549"/>
      <c r="P161" s="549"/>
      <c r="Q161" s="549"/>
      <c r="R161" s="549"/>
      <c r="S161" s="549"/>
      <c r="T161" s="549"/>
      <c r="U161" s="549"/>
      <c r="V161" s="549"/>
      <c r="W161" s="549"/>
      <c r="X161" s="549"/>
      <c r="Y161" s="549"/>
      <c r="Z161" s="549"/>
    </row>
    <row r="162" ht="12.0" customHeight="1">
      <c r="A162" s="549"/>
      <c r="B162" s="549"/>
      <c r="C162" s="549"/>
      <c r="D162" s="549"/>
      <c r="E162" s="549"/>
      <c r="F162" s="549"/>
      <c r="G162" s="549"/>
      <c r="H162" s="549"/>
      <c r="I162" s="549"/>
      <c r="J162" s="549"/>
      <c r="K162" s="549"/>
      <c r="L162" s="549"/>
      <c r="M162" s="549"/>
      <c r="N162" s="549"/>
      <c r="O162" s="549"/>
      <c r="P162" s="549"/>
      <c r="Q162" s="549"/>
      <c r="R162" s="549"/>
      <c r="S162" s="549"/>
      <c r="T162" s="549"/>
      <c r="U162" s="549"/>
      <c r="V162" s="549"/>
      <c r="W162" s="549"/>
      <c r="X162" s="549"/>
      <c r="Y162" s="549"/>
      <c r="Z162" s="549"/>
    </row>
    <row r="163" ht="12.0" customHeight="1">
      <c r="A163" s="549"/>
      <c r="B163" s="549"/>
      <c r="C163" s="549"/>
      <c r="D163" s="549"/>
      <c r="E163" s="549"/>
      <c r="F163" s="549"/>
      <c r="G163" s="549"/>
      <c r="H163" s="549"/>
      <c r="I163" s="549"/>
      <c r="J163" s="549"/>
      <c r="K163" s="549"/>
      <c r="L163" s="549"/>
      <c r="M163" s="549"/>
      <c r="N163" s="549"/>
      <c r="O163" s="549"/>
      <c r="P163" s="549"/>
      <c r="Q163" s="549"/>
      <c r="R163" s="549"/>
      <c r="S163" s="549"/>
      <c r="T163" s="549"/>
      <c r="U163" s="549"/>
      <c r="V163" s="549"/>
      <c r="W163" s="549"/>
      <c r="X163" s="549"/>
      <c r="Y163" s="549"/>
      <c r="Z163" s="549"/>
    </row>
    <row r="164" ht="12.0" customHeight="1">
      <c r="A164" s="549"/>
      <c r="B164" s="549"/>
      <c r="C164" s="549"/>
      <c r="D164" s="549"/>
      <c r="E164" s="549"/>
      <c r="F164" s="549"/>
      <c r="G164" s="549"/>
      <c r="H164" s="549"/>
      <c r="I164" s="549"/>
      <c r="J164" s="549"/>
      <c r="K164" s="549"/>
      <c r="L164" s="549"/>
      <c r="M164" s="549"/>
      <c r="N164" s="549"/>
      <c r="O164" s="549"/>
      <c r="P164" s="549"/>
      <c r="Q164" s="549"/>
      <c r="R164" s="549"/>
      <c r="S164" s="549"/>
      <c r="T164" s="549"/>
      <c r="U164" s="549"/>
      <c r="V164" s="549"/>
      <c r="W164" s="549"/>
      <c r="X164" s="549"/>
      <c r="Y164" s="549"/>
      <c r="Z164" s="549"/>
    </row>
    <row r="165" ht="12.0" customHeight="1">
      <c r="A165" s="549"/>
      <c r="B165" s="549"/>
      <c r="C165" s="549"/>
      <c r="D165" s="549"/>
      <c r="E165" s="549"/>
      <c r="F165" s="549"/>
      <c r="G165" s="549"/>
      <c r="H165" s="549"/>
      <c r="I165" s="549"/>
      <c r="J165" s="549"/>
      <c r="K165" s="549"/>
      <c r="L165" s="549"/>
      <c r="M165" s="549"/>
      <c r="N165" s="549"/>
      <c r="O165" s="549"/>
      <c r="P165" s="549"/>
      <c r="Q165" s="549"/>
      <c r="R165" s="549"/>
      <c r="S165" s="549"/>
      <c r="T165" s="549"/>
      <c r="U165" s="549"/>
      <c r="V165" s="549"/>
      <c r="W165" s="549"/>
      <c r="X165" s="549"/>
      <c r="Y165" s="549"/>
      <c r="Z165" s="549"/>
    </row>
    <row r="166" ht="12.0" customHeight="1">
      <c r="A166" s="549"/>
      <c r="B166" s="549"/>
      <c r="C166" s="549"/>
      <c r="D166" s="549"/>
      <c r="E166" s="549"/>
      <c r="F166" s="549"/>
      <c r="G166" s="549"/>
      <c r="H166" s="549"/>
      <c r="I166" s="549"/>
      <c r="J166" s="549"/>
      <c r="K166" s="549"/>
      <c r="L166" s="549"/>
      <c r="M166" s="549"/>
      <c r="N166" s="549"/>
      <c r="O166" s="549"/>
      <c r="P166" s="549"/>
      <c r="Q166" s="549"/>
      <c r="R166" s="549"/>
      <c r="S166" s="549"/>
      <c r="T166" s="549"/>
      <c r="U166" s="549"/>
      <c r="V166" s="549"/>
      <c r="W166" s="549"/>
      <c r="X166" s="549"/>
      <c r="Y166" s="549"/>
      <c r="Z166" s="549"/>
    </row>
    <row r="167" ht="12.0" customHeight="1">
      <c r="A167" s="549"/>
      <c r="B167" s="549"/>
      <c r="C167" s="549"/>
      <c r="D167" s="549"/>
      <c r="E167" s="549"/>
      <c r="F167" s="549"/>
      <c r="G167" s="549"/>
      <c r="H167" s="549"/>
      <c r="I167" s="549"/>
      <c r="J167" s="549"/>
      <c r="K167" s="549"/>
      <c r="L167" s="549"/>
      <c r="M167" s="549"/>
      <c r="N167" s="549"/>
      <c r="O167" s="549"/>
      <c r="P167" s="549"/>
      <c r="Q167" s="549"/>
      <c r="R167" s="549"/>
      <c r="S167" s="549"/>
      <c r="T167" s="549"/>
      <c r="U167" s="549"/>
      <c r="V167" s="549"/>
      <c r="W167" s="549"/>
      <c r="X167" s="549"/>
      <c r="Y167" s="549"/>
      <c r="Z167" s="549"/>
    </row>
    <row r="168" ht="12.0" customHeight="1">
      <c r="A168" s="549"/>
      <c r="B168" s="549"/>
      <c r="C168" s="549"/>
      <c r="D168" s="549"/>
      <c r="E168" s="549"/>
      <c r="F168" s="549"/>
      <c r="G168" s="549"/>
      <c r="H168" s="549"/>
      <c r="I168" s="549"/>
      <c r="J168" s="549"/>
      <c r="K168" s="549"/>
      <c r="L168" s="549"/>
      <c r="M168" s="549"/>
      <c r="N168" s="549"/>
      <c r="O168" s="549"/>
      <c r="P168" s="549"/>
      <c r="Q168" s="549"/>
      <c r="R168" s="549"/>
      <c r="S168" s="549"/>
      <c r="T168" s="549"/>
      <c r="U168" s="549"/>
      <c r="V168" s="549"/>
      <c r="W168" s="549"/>
      <c r="X168" s="549"/>
      <c r="Y168" s="549"/>
      <c r="Z168" s="549"/>
    </row>
    <row r="169" ht="12.0" customHeight="1">
      <c r="A169" s="549"/>
      <c r="B169" s="549"/>
      <c r="C169" s="549"/>
      <c r="D169" s="549"/>
      <c r="E169" s="549"/>
      <c r="F169" s="549"/>
      <c r="G169" s="549"/>
      <c r="H169" s="549"/>
      <c r="I169" s="549"/>
      <c r="J169" s="549"/>
      <c r="K169" s="549"/>
      <c r="L169" s="549"/>
      <c r="M169" s="549"/>
      <c r="N169" s="549"/>
      <c r="O169" s="549"/>
      <c r="P169" s="549"/>
      <c r="Q169" s="549"/>
      <c r="R169" s="549"/>
      <c r="S169" s="549"/>
      <c r="T169" s="549"/>
      <c r="U169" s="549"/>
      <c r="V169" s="549"/>
      <c r="W169" s="549"/>
      <c r="X169" s="549"/>
      <c r="Y169" s="549"/>
      <c r="Z169" s="549"/>
    </row>
    <row r="170" ht="12.0" customHeight="1">
      <c r="A170" s="549"/>
      <c r="B170" s="549"/>
      <c r="C170" s="549"/>
      <c r="D170" s="549"/>
      <c r="E170" s="549"/>
      <c r="F170" s="549"/>
      <c r="G170" s="549"/>
      <c r="H170" s="549"/>
      <c r="I170" s="549"/>
      <c r="J170" s="549"/>
      <c r="K170" s="549"/>
      <c r="L170" s="549"/>
      <c r="M170" s="549"/>
      <c r="N170" s="549"/>
      <c r="O170" s="549"/>
      <c r="P170" s="549"/>
      <c r="Q170" s="549"/>
      <c r="R170" s="549"/>
      <c r="S170" s="549"/>
      <c r="T170" s="549"/>
      <c r="U170" s="549"/>
      <c r="V170" s="549"/>
      <c r="W170" s="549"/>
      <c r="X170" s="549"/>
      <c r="Y170" s="549"/>
      <c r="Z170" s="549"/>
    </row>
    <row r="171" ht="12.0" customHeight="1">
      <c r="A171" s="549"/>
      <c r="B171" s="549"/>
      <c r="C171" s="549"/>
      <c r="D171" s="549"/>
      <c r="E171" s="549"/>
      <c r="F171" s="549"/>
      <c r="G171" s="549"/>
      <c r="H171" s="549"/>
      <c r="I171" s="549"/>
      <c r="J171" s="549"/>
      <c r="K171" s="549"/>
      <c r="L171" s="549"/>
      <c r="M171" s="549"/>
      <c r="N171" s="549"/>
      <c r="O171" s="549"/>
      <c r="P171" s="549"/>
      <c r="Q171" s="549"/>
      <c r="R171" s="549"/>
      <c r="S171" s="549"/>
      <c r="T171" s="549"/>
      <c r="U171" s="549"/>
      <c r="V171" s="549"/>
      <c r="W171" s="549"/>
      <c r="X171" s="549"/>
      <c r="Y171" s="549"/>
      <c r="Z171" s="549"/>
    </row>
    <row r="172" ht="12.0" customHeight="1">
      <c r="A172" s="549"/>
      <c r="B172" s="549"/>
      <c r="C172" s="549"/>
      <c r="D172" s="549"/>
      <c r="E172" s="549"/>
      <c r="F172" s="549"/>
      <c r="G172" s="549"/>
      <c r="H172" s="549"/>
      <c r="I172" s="549"/>
      <c r="J172" s="549"/>
      <c r="K172" s="549"/>
      <c r="L172" s="549"/>
      <c r="M172" s="549"/>
      <c r="N172" s="549"/>
      <c r="O172" s="549"/>
      <c r="P172" s="549"/>
      <c r="Q172" s="549"/>
      <c r="R172" s="549"/>
      <c r="S172" s="549"/>
      <c r="T172" s="549"/>
      <c r="U172" s="549"/>
      <c r="V172" s="549"/>
      <c r="W172" s="549"/>
      <c r="X172" s="549"/>
      <c r="Y172" s="549"/>
      <c r="Z172" s="549"/>
    </row>
    <row r="173" ht="12.0" customHeight="1">
      <c r="A173" s="549"/>
      <c r="B173" s="549"/>
      <c r="C173" s="549"/>
      <c r="D173" s="549"/>
      <c r="E173" s="549"/>
      <c r="F173" s="549"/>
      <c r="G173" s="549"/>
      <c r="H173" s="549"/>
      <c r="I173" s="549"/>
      <c r="J173" s="549"/>
      <c r="K173" s="549"/>
      <c r="L173" s="549"/>
      <c r="M173" s="549"/>
      <c r="N173" s="549"/>
      <c r="O173" s="549"/>
      <c r="P173" s="549"/>
      <c r="Q173" s="549"/>
      <c r="R173" s="549"/>
      <c r="S173" s="549"/>
      <c r="T173" s="549"/>
      <c r="U173" s="549"/>
      <c r="V173" s="549"/>
      <c r="W173" s="549"/>
      <c r="X173" s="549"/>
      <c r="Y173" s="549"/>
      <c r="Z173" s="549"/>
    </row>
    <row r="174" ht="12.0" customHeight="1">
      <c r="A174" s="549"/>
      <c r="B174" s="549"/>
      <c r="C174" s="549"/>
      <c r="D174" s="549"/>
      <c r="E174" s="549"/>
      <c r="F174" s="549"/>
      <c r="G174" s="549"/>
      <c r="H174" s="549"/>
      <c r="I174" s="549"/>
      <c r="J174" s="549"/>
      <c r="K174" s="549"/>
      <c r="L174" s="549"/>
      <c r="M174" s="549"/>
      <c r="N174" s="549"/>
      <c r="O174" s="549"/>
      <c r="P174" s="549"/>
      <c r="Q174" s="549"/>
      <c r="R174" s="549"/>
      <c r="S174" s="549"/>
      <c r="T174" s="549"/>
      <c r="U174" s="549"/>
      <c r="V174" s="549"/>
      <c r="W174" s="549"/>
      <c r="X174" s="549"/>
      <c r="Y174" s="549"/>
      <c r="Z174" s="549"/>
    </row>
    <row r="175" ht="12.0" customHeight="1">
      <c r="A175" s="549"/>
      <c r="B175" s="549"/>
      <c r="C175" s="549"/>
      <c r="D175" s="549"/>
      <c r="E175" s="549"/>
      <c r="F175" s="549"/>
      <c r="G175" s="549"/>
      <c r="H175" s="549"/>
      <c r="I175" s="549"/>
      <c r="J175" s="549"/>
      <c r="K175" s="549"/>
      <c r="L175" s="549"/>
      <c r="M175" s="549"/>
      <c r="N175" s="549"/>
      <c r="O175" s="549"/>
      <c r="P175" s="549"/>
      <c r="Q175" s="549"/>
      <c r="R175" s="549"/>
      <c r="S175" s="549"/>
      <c r="T175" s="549"/>
      <c r="U175" s="549"/>
      <c r="V175" s="549"/>
      <c r="W175" s="549"/>
      <c r="X175" s="549"/>
      <c r="Y175" s="549"/>
      <c r="Z175" s="549"/>
    </row>
    <row r="176" ht="12.0" customHeight="1">
      <c r="A176" s="549"/>
      <c r="B176" s="549"/>
      <c r="C176" s="549"/>
      <c r="D176" s="549"/>
      <c r="E176" s="549"/>
      <c r="F176" s="549"/>
      <c r="G176" s="549"/>
      <c r="H176" s="549"/>
      <c r="I176" s="549"/>
      <c r="J176" s="549"/>
      <c r="K176" s="549"/>
      <c r="L176" s="549"/>
      <c r="M176" s="549"/>
      <c r="N176" s="549"/>
      <c r="O176" s="549"/>
      <c r="P176" s="549"/>
      <c r="Q176" s="549"/>
      <c r="R176" s="549"/>
      <c r="S176" s="549"/>
      <c r="T176" s="549"/>
      <c r="U176" s="549"/>
      <c r="V176" s="549"/>
      <c r="W176" s="549"/>
      <c r="X176" s="549"/>
      <c r="Y176" s="549"/>
      <c r="Z176" s="549"/>
    </row>
    <row r="177" ht="12.0" customHeight="1">
      <c r="A177" s="549"/>
      <c r="B177" s="549"/>
      <c r="C177" s="549"/>
      <c r="D177" s="549"/>
      <c r="E177" s="549"/>
      <c r="F177" s="549"/>
      <c r="G177" s="549"/>
      <c r="H177" s="549"/>
      <c r="I177" s="549"/>
      <c r="J177" s="549"/>
      <c r="K177" s="549"/>
      <c r="L177" s="549"/>
      <c r="M177" s="549"/>
      <c r="N177" s="549"/>
      <c r="O177" s="549"/>
      <c r="P177" s="549"/>
      <c r="Q177" s="549"/>
      <c r="R177" s="549"/>
      <c r="S177" s="549"/>
      <c r="T177" s="549"/>
      <c r="U177" s="549"/>
      <c r="V177" s="549"/>
      <c r="W177" s="549"/>
      <c r="X177" s="549"/>
      <c r="Y177" s="549"/>
      <c r="Z177" s="549"/>
    </row>
    <row r="178" ht="12.0" customHeight="1">
      <c r="A178" s="549"/>
      <c r="B178" s="549"/>
      <c r="C178" s="549"/>
      <c r="D178" s="549"/>
      <c r="E178" s="549"/>
      <c r="F178" s="549"/>
      <c r="G178" s="549"/>
      <c r="H178" s="549"/>
      <c r="I178" s="549"/>
      <c r="J178" s="549"/>
      <c r="K178" s="549"/>
      <c r="L178" s="549"/>
      <c r="M178" s="549"/>
      <c r="N178" s="549"/>
      <c r="O178" s="549"/>
      <c r="P178" s="549"/>
      <c r="Q178" s="549"/>
      <c r="R178" s="549"/>
      <c r="S178" s="549"/>
      <c r="T178" s="549"/>
      <c r="U178" s="549"/>
      <c r="V178" s="549"/>
      <c r="W178" s="549"/>
      <c r="X178" s="549"/>
      <c r="Y178" s="549"/>
      <c r="Z178" s="549"/>
    </row>
    <row r="179" ht="12.0" customHeight="1">
      <c r="A179" s="549"/>
      <c r="B179" s="549"/>
      <c r="C179" s="549"/>
      <c r="D179" s="549"/>
      <c r="E179" s="549"/>
      <c r="F179" s="549"/>
      <c r="G179" s="549"/>
      <c r="H179" s="549"/>
      <c r="I179" s="549"/>
      <c r="J179" s="549"/>
      <c r="K179" s="549"/>
      <c r="L179" s="549"/>
      <c r="M179" s="549"/>
      <c r="N179" s="549"/>
      <c r="O179" s="549"/>
      <c r="P179" s="549"/>
      <c r="Q179" s="549"/>
      <c r="R179" s="549"/>
      <c r="S179" s="549"/>
      <c r="T179" s="549"/>
      <c r="U179" s="549"/>
      <c r="V179" s="549"/>
      <c r="W179" s="549"/>
      <c r="X179" s="549"/>
      <c r="Y179" s="549"/>
      <c r="Z179" s="549"/>
    </row>
    <row r="180" ht="12.0" customHeight="1">
      <c r="A180" s="549"/>
      <c r="B180" s="549"/>
      <c r="C180" s="549"/>
      <c r="D180" s="549"/>
      <c r="E180" s="549"/>
      <c r="F180" s="549"/>
      <c r="G180" s="549"/>
      <c r="H180" s="549"/>
      <c r="I180" s="549"/>
      <c r="J180" s="549"/>
      <c r="K180" s="549"/>
      <c r="L180" s="549"/>
      <c r="M180" s="549"/>
      <c r="N180" s="549"/>
      <c r="O180" s="549"/>
      <c r="P180" s="549"/>
      <c r="Q180" s="549"/>
      <c r="R180" s="549"/>
      <c r="S180" s="549"/>
      <c r="T180" s="549"/>
      <c r="U180" s="549"/>
      <c r="V180" s="549"/>
      <c r="W180" s="549"/>
      <c r="X180" s="549"/>
      <c r="Y180" s="549"/>
      <c r="Z180" s="549"/>
    </row>
    <row r="181" ht="12.0" customHeight="1">
      <c r="A181" s="549"/>
      <c r="B181" s="549"/>
      <c r="C181" s="549"/>
      <c r="D181" s="549"/>
      <c r="E181" s="549"/>
      <c r="F181" s="549"/>
      <c r="G181" s="549"/>
      <c r="H181" s="549"/>
      <c r="I181" s="549"/>
      <c r="J181" s="549"/>
      <c r="K181" s="549"/>
      <c r="L181" s="549"/>
      <c r="M181" s="549"/>
      <c r="N181" s="549"/>
      <c r="O181" s="549"/>
      <c r="P181" s="549"/>
      <c r="Q181" s="549"/>
      <c r="R181" s="549"/>
      <c r="S181" s="549"/>
      <c r="T181" s="549"/>
      <c r="U181" s="549"/>
      <c r="V181" s="549"/>
      <c r="W181" s="549"/>
      <c r="X181" s="549"/>
      <c r="Y181" s="549"/>
      <c r="Z181" s="549"/>
    </row>
    <row r="182" ht="12.0" customHeight="1">
      <c r="A182" s="549"/>
      <c r="B182" s="549"/>
      <c r="C182" s="549"/>
      <c r="D182" s="549"/>
      <c r="E182" s="549"/>
      <c r="F182" s="549"/>
      <c r="G182" s="549"/>
      <c r="H182" s="549"/>
      <c r="I182" s="549"/>
      <c r="J182" s="549"/>
      <c r="K182" s="549"/>
      <c r="L182" s="549"/>
      <c r="M182" s="549"/>
      <c r="N182" s="549"/>
      <c r="O182" s="549"/>
      <c r="P182" s="549"/>
      <c r="Q182" s="549"/>
      <c r="R182" s="549"/>
      <c r="S182" s="549"/>
      <c r="T182" s="549"/>
      <c r="U182" s="549"/>
      <c r="V182" s="549"/>
      <c r="W182" s="549"/>
      <c r="X182" s="549"/>
      <c r="Y182" s="549"/>
      <c r="Z182" s="549"/>
    </row>
    <row r="183" ht="12.0" customHeight="1">
      <c r="A183" s="549"/>
      <c r="B183" s="549"/>
      <c r="C183" s="549"/>
      <c r="D183" s="549"/>
      <c r="E183" s="549"/>
      <c r="F183" s="549"/>
      <c r="G183" s="549"/>
      <c r="H183" s="549"/>
      <c r="I183" s="549"/>
      <c r="J183" s="549"/>
      <c r="K183" s="549"/>
      <c r="L183" s="549"/>
      <c r="M183" s="549"/>
      <c r="N183" s="549"/>
      <c r="O183" s="549"/>
      <c r="P183" s="549"/>
      <c r="Q183" s="549"/>
      <c r="R183" s="549"/>
      <c r="S183" s="549"/>
      <c r="T183" s="549"/>
      <c r="U183" s="549"/>
      <c r="V183" s="549"/>
      <c r="W183" s="549"/>
      <c r="X183" s="549"/>
      <c r="Y183" s="549"/>
      <c r="Z183" s="549"/>
    </row>
    <row r="184" ht="12.0" customHeight="1">
      <c r="A184" s="549"/>
      <c r="B184" s="549"/>
      <c r="C184" s="549"/>
      <c r="D184" s="549"/>
      <c r="E184" s="549"/>
      <c r="F184" s="549"/>
      <c r="G184" s="549"/>
      <c r="H184" s="549"/>
      <c r="I184" s="549"/>
      <c r="J184" s="549"/>
      <c r="K184" s="549"/>
      <c r="L184" s="549"/>
      <c r="M184" s="549"/>
      <c r="N184" s="549"/>
      <c r="O184" s="549"/>
      <c r="P184" s="549"/>
      <c r="Q184" s="549"/>
      <c r="R184" s="549"/>
      <c r="S184" s="549"/>
      <c r="T184" s="549"/>
      <c r="U184" s="549"/>
      <c r="V184" s="549"/>
      <c r="W184" s="549"/>
      <c r="X184" s="549"/>
      <c r="Y184" s="549"/>
      <c r="Z184" s="549"/>
    </row>
    <row r="185" ht="12.0" customHeight="1">
      <c r="A185" s="549"/>
      <c r="B185" s="549"/>
      <c r="C185" s="549"/>
      <c r="D185" s="549"/>
      <c r="E185" s="549"/>
      <c r="F185" s="549"/>
      <c r="G185" s="549"/>
      <c r="H185" s="549"/>
      <c r="I185" s="549"/>
      <c r="J185" s="549"/>
      <c r="K185" s="549"/>
      <c r="L185" s="549"/>
      <c r="M185" s="549"/>
      <c r="N185" s="549"/>
      <c r="O185" s="549"/>
      <c r="P185" s="549"/>
      <c r="Q185" s="549"/>
      <c r="R185" s="549"/>
      <c r="S185" s="549"/>
      <c r="T185" s="549"/>
      <c r="U185" s="549"/>
      <c r="V185" s="549"/>
      <c r="W185" s="549"/>
      <c r="X185" s="549"/>
      <c r="Y185" s="549"/>
      <c r="Z185" s="549"/>
    </row>
    <row r="186" ht="12.0" customHeight="1">
      <c r="A186" s="549"/>
      <c r="B186" s="549"/>
      <c r="C186" s="549"/>
      <c r="D186" s="549"/>
      <c r="E186" s="549"/>
      <c r="F186" s="549"/>
      <c r="G186" s="549"/>
      <c r="H186" s="549"/>
      <c r="I186" s="549"/>
      <c r="J186" s="549"/>
      <c r="K186" s="549"/>
      <c r="L186" s="549"/>
      <c r="M186" s="549"/>
      <c r="N186" s="549"/>
      <c r="O186" s="549"/>
      <c r="P186" s="549"/>
      <c r="Q186" s="549"/>
      <c r="R186" s="549"/>
      <c r="S186" s="549"/>
      <c r="T186" s="549"/>
      <c r="U186" s="549"/>
      <c r="V186" s="549"/>
      <c r="W186" s="549"/>
      <c r="X186" s="549"/>
      <c r="Y186" s="549"/>
      <c r="Z186" s="549"/>
    </row>
    <row r="187" ht="12.0" customHeight="1">
      <c r="A187" s="549"/>
      <c r="B187" s="549"/>
      <c r="C187" s="549"/>
      <c r="D187" s="549"/>
      <c r="E187" s="549"/>
      <c r="F187" s="549"/>
      <c r="G187" s="549"/>
      <c r="H187" s="549"/>
      <c r="I187" s="549"/>
      <c r="J187" s="549"/>
      <c r="K187" s="549"/>
      <c r="L187" s="549"/>
      <c r="M187" s="549"/>
      <c r="N187" s="549"/>
      <c r="O187" s="549"/>
      <c r="P187" s="549"/>
      <c r="Q187" s="549"/>
      <c r="R187" s="549"/>
      <c r="S187" s="549"/>
      <c r="T187" s="549"/>
      <c r="U187" s="549"/>
      <c r="V187" s="549"/>
      <c r="W187" s="549"/>
      <c r="X187" s="549"/>
      <c r="Y187" s="549"/>
      <c r="Z187" s="549"/>
    </row>
    <row r="188" ht="12.0" customHeight="1">
      <c r="A188" s="549"/>
      <c r="B188" s="549"/>
      <c r="C188" s="549"/>
      <c r="D188" s="549"/>
      <c r="E188" s="549"/>
      <c r="F188" s="549"/>
      <c r="G188" s="549"/>
      <c r="H188" s="549"/>
      <c r="I188" s="549"/>
      <c r="J188" s="549"/>
      <c r="K188" s="549"/>
      <c r="L188" s="549"/>
      <c r="M188" s="549"/>
      <c r="N188" s="549"/>
      <c r="O188" s="549"/>
      <c r="P188" s="549"/>
      <c r="Q188" s="549"/>
      <c r="R188" s="549"/>
      <c r="S188" s="549"/>
      <c r="T188" s="549"/>
      <c r="U188" s="549"/>
      <c r="V188" s="549"/>
      <c r="W188" s="549"/>
      <c r="X188" s="549"/>
      <c r="Y188" s="549"/>
      <c r="Z188" s="549"/>
    </row>
    <row r="189" ht="12.0" customHeight="1">
      <c r="A189" s="549"/>
      <c r="B189" s="549"/>
      <c r="C189" s="549"/>
      <c r="D189" s="549"/>
      <c r="E189" s="549"/>
      <c r="F189" s="549"/>
      <c r="G189" s="549"/>
      <c r="H189" s="549"/>
      <c r="I189" s="549"/>
      <c r="J189" s="549"/>
      <c r="K189" s="549"/>
      <c r="L189" s="549"/>
      <c r="M189" s="549"/>
      <c r="N189" s="549"/>
      <c r="O189" s="549"/>
      <c r="P189" s="549"/>
      <c r="Q189" s="549"/>
      <c r="R189" s="549"/>
      <c r="S189" s="549"/>
      <c r="T189" s="549"/>
      <c r="U189" s="549"/>
      <c r="V189" s="549"/>
      <c r="W189" s="549"/>
      <c r="X189" s="549"/>
      <c r="Y189" s="549"/>
      <c r="Z189" s="549"/>
    </row>
    <row r="190" ht="12.0" customHeight="1">
      <c r="A190" s="549"/>
      <c r="B190" s="549"/>
      <c r="C190" s="549"/>
      <c r="D190" s="549"/>
      <c r="E190" s="549"/>
      <c r="F190" s="549"/>
      <c r="G190" s="549"/>
      <c r="H190" s="549"/>
      <c r="I190" s="549"/>
      <c r="J190" s="549"/>
      <c r="K190" s="549"/>
      <c r="L190" s="549"/>
      <c r="M190" s="549"/>
      <c r="N190" s="549"/>
      <c r="O190" s="549"/>
      <c r="P190" s="549"/>
      <c r="Q190" s="549"/>
      <c r="R190" s="549"/>
      <c r="S190" s="549"/>
      <c r="T190" s="549"/>
      <c r="U190" s="549"/>
      <c r="V190" s="549"/>
      <c r="W190" s="549"/>
      <c r="X190" s="549"/>
      <c r="Y190" s="549"/>
      <c r="Z190" s="549"/>
    </row>
    <row r="191" ht="12.0" customHeight="1">
      <c r="A191" s="549"/>
      <c r="B191" s="549"/>
      <c r="C191" s="549"/>
      <c r="D191" s="549"/>
      <c r="E191" s="549"/>
      <c r="F191" s="549"/>
      <c r="G191" s="549"/>
      <c r="H191" s="549"/>
      <c r="I191" s="549"/>
      <c r="J191" s="549"/>
      <c r="K191" s="549"/>
      <c r="L191" s="549"/>
      <c r="M191" s="549"/>
      <c r="N191" s="549"/>
      <c r="O191" s="549"/>
      <c r="P191" s="549"/>
      <c r="Q191" s="549"/>
      <c r="R191" s="549"/>
      <c r="S191" s="549"/>
      <c r="T191" s="549"/>
      <c r="U191" s="549"/>
      <c r="V191" s="549"/>
      <c r="W191" s="549"/>
      <c r="X191" s="549"/>
      <c r="Y191" s="549"/>
      <c r="Z191" s="549"/>
    </row>
    <row r="192" ht="12.0" customHeight="1">
      <c r="A192" s="549"/>
      <c r="B192" s="549"/>
      <c r="C192" s="549"/>
      <c r="D192" s="549"/>
      <c r="E192" s="549"/>
      <c r="F192" s="549"/>
      <c r="G192" s="549"/>
      <c r="H192" s="549"/>
      <c r="I192" s="549"/>
      <c r="J192" s="549"/>
      <c r="K192" s="549"/>
      <c r="L192" s="549"/>
      <c r="M192" s="549"/>
      <c r="N192" s="549"/>
      <c r="O192" s="549"/>
      <c r="P192" s="549"/>
      <c r="Q192" s="549"/>
      <c r="R192" s="549"/>
      <c r="S192" s="549"/>
      <c r="T192" s="549"/>
      <c r="U192" s="549"/>
      <c r="V192" s="549"/>
      <c r="W192" s="549"/>
      <c r="X192" s="549"/>
      <c r="Y192" s="549"/>
      <c r="Z192" s="549"/>
    </row>
    <row r="193" ht="12.0" customHeight="1">
      <c r="A193" s="549"/>
      <c r="B193" s="549"/>
      <c r="C193" s="549"/>
      <c r="D193" s="549"/>
      <c r="E193" s="549"/>
      <c r="F193" s="549"/>
      <c r="G193" s="549"/>
      <c r="H193" s="549"/>
      <c r="I193" s="549"/>
      <c r="J193" s="549"/>
      <c r="K193" s="549"/>
      <c r="L193" s="549"/>
      <c r="M193" s="549"/>
      <c r="N193" s="549"/>
      <c r="O193" s="549"/>
      <c r="P193" s="549"/>
      <c r="Q193" s="549"/>
      <c r="R193" s="549"/>
      <c r="S193" s="549"/>
      <c r="T193" s="549"/>
      <c r="U193" s="549"/>
      <c r="V193" s="549"/>
      <c r="W193" s="549"/>
      <c r="X193" s="549"/>
      <c r="Y193" s="549"/>
      <c r="Z193" s="549"/>
    </row>
    <row r="194" ht="12.0" customHeight="1">
      <c r="A194" s="549"/>
      <c r="B194" s="549"/>
      <c r="C194" s="549"/>
      <c r="D194" s="549"/>
      <c r="E194" s="549"/>
      <c r="F194" s="549"/>
      <c r="G194" s="549"/>
      <c r="H194" s="549"/>
      <c r="I194" s="549"/>
      <c r="J194" s="549"/>
      <c r="K194" s="549"/>
      <c r="L194" s="549"/>
      <c r="M194" s="549"/>
      <c r="N194" s="549"/>
      <c r="O194" s="549"/>
      <c r="P194" s="549"/>
      <c r="Q194" s="549"/>
      <c r="R194" s="549"/>
      <c r="S194" s="549"/>
      <c r="T194" s="549"/>
      <c r="U194" s="549"/>
      <c r="V194" s="549"/>
      <c r="W194" s="549"/>
      <c r="X194" s="549"/>
      <c r="Y194" s="549"/>
      <c r="Z194" s="549"/>
    </row>
    <row r="195" ht="12.0" customHeight="1">
      <c r="A195" s="549"/>
      <c r="B195" s="549"/>
      <c r="C195" s="549"/>
      <c r="D195" s="549"/>
      <c r="E195" s="549"/>
      <c r="F195" s="549"/>
      <c r="G195" s="549"/>
      <c r="H195" s="549"/>
      <c r="I195" s="549"/>
      <c r="J195" s="549"/>
      <c r="K195" s="549"/>
      <c r="L195" s="549"/>
      <c r="M195" s="549"/>
      <c r="N195" s="549"/>
      <c r="O195" s="549"/>
      <c r="P195" s="549"/>
      <c r="Q195" s="549"/>
      <c r="R195" s="549"/>
      <c r="S195" s="549"/>
      <c r="T195" s="549"/>
      <c r="U195" s="549"/>
      <c r="V195" s="549"/>
      <c r="W195" s="549"/>
      <c r="X195" s="549"/>
      <c r="Y195" s="549"/>
      <c r="Z195" s="549"/>
    </row>
    <row r="196" ht="12.0" customHeight="1">
      <c r="A196" s="549"/>
      <c r="B196" s="549"/>
      <c r="C196" s="549"/>
      <c r="D196" s="549"/>
      <c r="E196" s="549"/>
      <c r="F196" s="549"/>
      <c r="G196" s="549"/>
      <c r="H196" s="549"/>
      <c r="I196" s="549"/>
      <c r="J196" s="549"/>
      <c r="K196" s="549"/>
      <c r="L196" s="549"/>
      <c r="M196" s="549"/>
      <c r="N196" s="549"/>
      <c r="O196" s="549"/>
      <c r="P196" s="549"/>
      <c r="Q196" s="549"/>
      <c r="R196" s="549"/>
      <c r="S196" s="549"/>
      <c r="T196" s="549"/>
      <c r="U196" s="549"/>
      <c r="V196" s="549"/>
      <c r="W196" s="549"/>
      <c r="X196" s="549"/>
      <c r="Y196" s="549"/>
      <c r="Z196" s="549"/>
    </row>
    <row r="197" ht="12.0" customHeight="1">
      <c r="A197" s="549"/>
      <c r="B197" s="549"/>
      <c r="C197" s="549"/>
      <c r="D197" s="549"/>
      <c r="E197" s="549"/>
      <c r="F197" s="549"/>
      <c r="G197" s="549"/>
      <c r="H197" s="549"/>
      <c r="I197" s="549"/>
      <c r="J197" s="549"/>
      <c r="K197" s="549"/>
      <c r="L197" s="549"/>
      <c r="M197" s="549"/>
      <c r="N197" s="549"/>
      <c r="O197" s="549"/>
      <c r="P197" s="549"/>
      <c r="Q197" s="549"/>
      <c r="R197" s="549"/>
      <c r="S197" s="549"/>
      <c r="T197" s="549"/>
      <c r="U197" s="549"/>
      <c r="V197" s="549"/>
      <c r="W197" s="549"/>
      <c r="X197" s="549"/>
      <c r="Y197" s="549"/>
      <c r="Z197" s="549"/>
    </row>
    <row r="198" ht="12.0" customHeight="1">
      <c r="A198" s="549"/>
      <c r="B198" s="549"/>
      <c r="C198" s="549"/>
      <c r="D198" s="549"/>
      <c r="E198" s="549"/>
      <c r="F198" s="549"/>
      <c r="G198" s="549"/>
      <c r="H198" s="549"/>
      <c r="I198" s="549"/>
      <c r="J198" s="549"/>
      <c r="K198" s="549"/>
      <c r="L198" s="549"/>
      <c r="M198" s="549"/>
      <c r="N198" s="549"/>
      <c r="O198" s="549"/>
      <c r="P198" s="549"/>
      <c r="Q198" s="549"/>
      <c r="R198" s="549"/>
      <c r="S198" s="549"/>
      <c r="T198" s="549"/>
      <c r="U198" s="549"/>
      <c r="V198" s="549"/>
      <c r="W198" s="549"/>
      <c r="X198" s="549"/>
      <c r="Y198" s="549"/>
      <c r="Z198" s="549"/>
    </row>
    <row r="199" ht="12.0" customHeight="1">
      <c r="A199" s="549"/>
      <c r="B199" s="549"/>
      <c r="C199" s="549"/>
      <c r="D199" s="549"/>
      <c r="E199" s="549"/>
      <c r="F199" s="549"/>
      <c r="G199" s="549"/>
      <c r="H199" s="549"/>
      <c r="I199" s="549"/>
      <c r="J199" s="549"/>
      <c r="K199" s="549"/>
      <c r="L199" s="549"/>
      <c r="M199" s="549"/>
      <c r="N199" s="549"/>
      <c r="O199" s="549"/>
      <c r="P199" s="549"/>
      <c r="Q199" s="549"/>
      <c r="R199" s="549"/>
      <c r="S199" s="549"/>
      <c r="T199" s="549"/>
      <c r="U199" s="549"/>
      <c r="V199" s="549"/>
      <c r="W199" s="549"/>
      <c r="X199" s="549"/>
      <c r="Y199" s="549"/>
      <c r="Z199" s="549"/>
    </row>
    <row r="200" ht="12.0" customHeight="1">
      <c r="A200" s="549"/>
      <c r="B200" s="549"/>
      <c r="C200" s="549"/>
      <c r="D200" s="549"/>
      <c r="E200" s="549"/>
      <c r="F200" s="549"/>
      <c r="G200" s="549"/>
      <c r="H200" s="549"/>
      <c r="I200" s="549"/>
      <c r="J200" s="549"/>
      <c r="K200" s="549"/>
      <c r="L200" s="549"/>
      <c r="M200" s="549"/>
      <c r="N200" s="549"/>
      <c r="O200" s="549"/>
      <c r="P200" s="549"/>
      <c r="Q200" s="549"/>
      <c r="R200" s="549"/>
      <c r="S200" s="549"/>
      <c r="T200" s="549"/>
      <c r="U200" s="549"/>
      <c r="V200" s="549"/>
      <c r="W200" s="549"/>
      <c r="X200" s="549"/>
      <c r="Y200" s="549"/>
      <c r="Z200" s="549"/>
    </row>
    <row r="201" ht="12.0" customHeight="1">
      <c r="A201" s="549"/>
      <c r="B201" s="549"/>
      <c r="C201" s="549"/>
      <c r="D201" s="549"/>
      <c r="E201" s="549"/>
      <c r="F201" s="549"/>
      <c r="G201" s="549"/>
      <c r="H201" s="549"/>
      <c r="I201" s="549"/>
      <c r="J201" s="549"/>
      <c r="K201" s="549"/>
      <c r="L201" s="549"/>
      <c r="M201" s="549"/>
      <c r="N201" s="549"/>
      <c r="O201" s="549"/>
      <c r="P201" s="549"/>
      <c r="Q201" s="549"/>
      <c r="R201" s="549"/>
      <c r="S201" s="549"/>
      <c r="T201" s="549"/>
      <c r="U201" s="549"/>
      <c r="V201" s="549"/>
      <c r="W201" s="549"/>
      <c r="X201" s="549"/>
      <c r="Y201" s="549"/>
      <c r="Z201" s="549"/>
    </row>
    <row r="202" ht="12.0" customHeight="1">
      <c r="A202" s="549"/>
      <c r="B202" s="549"/>
      <c r="C202" s="549"/>
      <c r="D202" s="549"/>
      <c r="E202" s="549"/>
      <c r="F202" s="549"/>
      <c r="G202" s="549"/>
      <c r="H202" s="549"/>
      <c r="I202" s="549"/>
      <c r="J202" s="549"/>
      <c r="K202" s="549"/>
      <c r="L202" s="549"/>
      <c r="M202" s="549"/>
      <c r="N202" s="549"/>
      <c r="O202" s="549"/>
      <c r="P202" s="549"/>
      <c r="Q202" s="549"/>
      <c r="R202" s="549"/>
      <c r="S202" s="549"/>
      <c r="T202" s="549"/>
      <c r="U202" s="549"/>
      <c r="V202" s="549"/>
      <c r="W202" s="549"/>
      <c r="X202" s="549"/>
      <c r="Y202" s="549"/>
      <c r="Z202" s="549"/>
    </row>
    <row r="203" ht="12.0" customHeight="1">
      <c r="A203" s="549"/>
      <c r="B203" s="549"/>
      <c r="C203" s="549"/>
      <c r="D203" s="549"/>
      <c r="E203" s="549"/>
      <c r="F203" s="549"/>
      <c r="G203" s="549"/>
      <c r="H203" s="549"/>
      <c r="I203" s="549"/>
      <c r="J203" s="549"/>
      <c r="K203" s="549"/>
      <c r="L203" s="549"/>
      <c r="M203" s="549"/>
      <c r="N203" s="549"/>
      <c r="O203" s="549"/>
      <c r="P203" s="549"/>
      <c r="Q203" s="549"/>
      <c r="R203" s="549"/>
      <c r="S203" s="549"/>
      <c r="T203" s="549"/>
      <c r="U203" s="549"/>
      <c r="V203" s="549"/>
      <c r="W203" s="549"/>
      <c r="X203" s="549"/>
      <c r="Y203" s="549"/>
      <c r="Z203" s="549"/>
    </row>
    <row r="204" ht="12.0" customHeight="1">
      <c r="A204" s="549"/>
      <c r="B204" s="549"/>
      <c r="C204" s="549"/>
      <c r="D204" s="549"/>
      <c r="E204" s="549"/>
      <c r="F204" s="549"/>
      <c r="G204" s="549"/>
      <c r="H204" s="549"/>
      <c r="I204" s="549"/>
      <c r="J204" s="549"/>
      <c r="K204" s="549"/>
      <c r="L204" s="549"/>
      <c r="M204" s="549"/>
      <c r="N204" s="549"/>
      <c r="O204" s="549"/>
      <c r="P204" s="549"/>
      <c r="Q204" s="549"/>
      <c r="R204" s="549"/>
      <c r="S204" s="549"/>
      <c r="T204" s="549"/>
      <c r="U204" s="549"/>
      <c r="V204" s="549"/>
      <c r="W204" s="549"/>
      <c r="X204" s="549"/>
      <c r="Y204" s="549"/>
      <c r="Z204" s="549"/>
    </row>
    <row r="205" ht="12.0" customHeight="1">
      <c r="A205" s="549"/>
      <c r="B205" s="549"/>
      <c r="C205" s="549"/>
      <c r="D205" s="549"/>
      <c r="E205" s="549"/>
      <c r="F205" s="549"/>
      <c r="G205" s="549"/>
      <c r="H205" s="549"/>
      <c r="I205" s="549"/>
      <c r="J205" s="549"/>
      <c r="K205" s="549"/>
      <c r="L205" s="549"/>
      <c r="M205" s="549"/>
      <c r="N205" s="549"/>
      <c r="O205" s="549"/>
      <c r="P205" s="549"/>
      <c r="Q205" s="549"/>
      <c r="R205" s="549"/>
      <c r="S205" s="549"/>
      <c r="T205" s="549"/>
      <c r="U205" s="549"/>
      <c r="V205" s="549"/>
      <c r="W205" s="549"/>
      <c r="X205" s="549"/>
      <c r="Y205" s="549"/>
      <c r="Z205" s="549"/>
    </row>
    <row r="206" ht="12.0" customHeight="1">
      <c r="A206" s="549"/>
      <c r="B206" s="549"/>
      <c r="C206" s="549"/>
      <c r="D206" s="549"/>
      <c r="E206" s="549"/>
      <c r="F206" s="549"/>
      <c r="G206" s="549"/>
      <c r="H206" s="549"/>
      <c r="I206" s="549"/>
      <c r="J206" s="549"/>
      <c r="K206" s="549"/>
      <c r="L206" s="549"/>
      <c r="M206" s="549"/>
      <c r="N206" s="549"/>
      <c r="O206" s="549"/>
      <c r="P206" s="549"/>
      <c r="Q206" s="549"/>
      <c r="R206" s="549"/>
      <c r="S206" s="549"/>
      <c r="T206" s="549"/>
      <c r="U206" s="549"/>
      <c r="V206" s="549"/>
      <c r="W206" s="549"/>
      <c r="X206" s="549"/>
      <c r="Y206" s="549"/>
      <c r="Z206" s="549"/>
    </row>
    <row r="207" ht="12.0" customHeight="1">
      <c r="A207" s="549"/>
      <c r="B207" s="549"/>
      <c r="C207" s="549"/>
      <c r="D207" s="549"/>
      <c r="E207" s="549"/>
      <c r="F207" s="549"/>
      <c r="G207" s="549"/>
      <c r="H207" s="549"/>
      <c r="I207" s="549"/>
      <c r="J207" s="549"/>
      <c r="K207" s="549"/>
      <c r="L207" s="549"/>
      <c r="M207" s="549"/>
      <c r="N207" s="549"/>
      <c r="O207" s="549"/>
      <c r="P207" s="549"/>
      <c r="Q207" s="549"/>
      <c r="R207" s="549"/>
      <c r="S207" s="549"/>
      <c r="T207" s="549"/>
      <c r="U207" s="549"/>
      <c r="V207" s="549"/>
      <c r="W207" s="549"/>
      <c r="X207" s="549"/>
      <c r="Y207" s="549"/>
      <c r="Z207" s="549"/>
    </row>
    <row r="208" ht="12.0" customHeight="1">
      <c r="A208" s="549"/>
      <c r="B208" s="549"/>
      <c r="C208" s="549"/>
      <c r="D208" s="549"/>
      <c r="E208" s="549"/>
      <c r="F208" s="549"/>
      <c r="G208" s="549"/>
      <c r="H208" s="549"/>
      <c r="I208" s="549"/>
      <c r="J208" s="549"/>
      <c r="K208" s="549"/>
      <c r="L208" s="549"/>
      <c r="M208" s="549"/>
      <c r="N208" s="549"/>
      <c r="O208" s="549"/>
      <c r="P208" s="549"/>
      <c r="Q208" s="549"/>
      <c r="R208" s="549"/>
      <c r="S208" s="549"/>
      <c r="T208" s="549"/>
      <c r="U208" s="549"/>
      <c r="V208" s="549"/>
      <c r="W208" s="549"/>
      <c r="X208" s="549"/>
      <c r="Y208" s="549"/>
      <c r="Z208" s="549"/>
    </row>
    <row r="209" ht="12.0" customHeight="1">
      <c r="A209" s="549"/>
      <c r="B209" s="549"/>
      <c r="C209" s="549"/>
      <c r="D209" s="549"/>
      <c r="E209" s="549"/>
      <c r="F209" s="549"/>
      <c r="G209" s="549"/>
      <c r="H209" s="549"/>
      <c r="I209" s="549"/>
      <c r="J209" s="549"/>
      <c r="K209" s="549"/>
      <c r="L209" s="549"/>
      <c r="M209" s="549"/>
      <c r="N209" s="549"/>
      <c r="O209" s="549"/>
      <c r="P209" s="549"/>
      <c r="Q209" s="549"/>
      <c r="R209" s="549"/>
      <c r="S209" s="549"/>
      <c r="T209" s="549"/>
      <c r="U209" s="549"/>
      <c r="V209" s="549"/>
      <c r="W209" s="549"/>
      <c r="X209" s="549"/>
      <c r="Y209" s="549"/>
      <c r="Z209" s="549"/>
    </row>
    <row r="210" ht="12.0" customHeight="1">
      <c r="A210" s="549"/>
      <c r="B210" s="549"/>
      <c r="C210" s="549"/>
      <c r="D210" s="549"/>
      <c r="E210" s="549"/>
      <c r="F210" s="549"/>
      <c r="G210" s="549"/>
      <c r="H210" s="549"/>
      <c r="I210" s="549"/>
      <c r="J210" s="549"/>
      <c r="K210" s="549"/>
      <c r="L210" s="549"/>
      <c r="M210" s="549"/>
      <c r="N210" s="549"/>
      <c r="O210" s="549"/>
      <c r="P210" s="549"/>
      <c r="Q210" s="549"/>
      <c r="R210" s="549"/>
      <c r="S210" s="549"/>
      <c r="T210" s="549"/>
      <c r="U210" s="549"/>
      <c r="V210" s="549"/>
      <c r="W210" s="549"/>
      <c r="X210" s="549"/>
      <c r="Y210" s="549"/>
      <c r="Z210" s="549"/>
    </row>
    <row r="211" ht="12.0" customHeight="1">
      <c r="A211" s="549"/>
      <c r="B211" s="549"/>
      <c r="C211" s="549"/>
      <c r="D211" s="549"/>
      <c r="E211" s="549"/>
      <c r="F211" s="549"/>
      <c r="G211" s="549"/>
      <c r="H211" s="549"/>
      <c r="I211" s="549"/>
      <c r="J211" s="549"/>
      <c r="K211" s="549"/>
      <c r="L211" s="549"/>
      <c r="M211" s="549"/>
      <c r="N211" s="549"/>
      <c r="O211" s="549"/>
      <c r="P211" s="549"/>
      <c r="Q211" s="549"/>
      <c r="R211" s="549"/>
      <c r="S211" s="549"/>
      <c r="T211" s="549"/>
      <c r="U211" s="549"/>
      <c r="V211" s="549"/>
      <c r="W211" s="549"/>
      <c r="X211" s="549"/>
      <c r="Y211" s="549"/>
      <c r="Z211" s="549"/>
    </row>
    <row r="212" ht="12.0" customHeight="1">
      <c r="A212" s="549"/>
      <c r="B212" s="549"/>
      <c r="C212" s="549"/>
      <c r="D212" s="549"/>
      <c r="E212" s="549"/>
      <c r="F212" s="549"/>
      <c r="G212" s="549"/>
      <c r="H212" s="549"/>
      <c r="I212" s="549"/>
      <c r="J212" s="549"/>
      <c r="K212" s="549"/>
      <c r="L212" s="549"/>
      <c r="M212" s="549"/>
      <c r="N212" s="549"/>
      <c r="O212" s="549"/>
      <c r="P212" s="549"/>
      <c r="Q212" s="549"/>
      <c r="R212" s="549"/>
      <c r="S212" s="549"/>
      <c r="T212" s="549"/>
      <c r="U212" s="549"/>
      <c r="V212" s="549"/>
      <c r="W212" s="549"/>
      <c r="X212" s="549"/>
      <c r="Y212" s="549"/>
      <c r="Z212" s="549"/>
    </row>
    <row r="213" ht="12.0" customHeight="1">
      <c r="A213" s="549"/>
      <c r="B213" s="549"/>
      <c r="C213" s="549"/>
      <c r="D213" s="549"/>
      <c r="E213" s="549"/>
      <c r="F213" s="549"/>
      <c r="G213" s="549"/>
      <c r="H213" s="549"/>
      <c r="I213" s="549"/>
      <c r="J213" s="549"/>
      <c r="K213" s="549"/>
      <c r="L213" s="549"/>
      <c r="M213" s="549"/>
      <c r="N213" s="549"/>
      <c r="O213" s="549"/>
      <c r="P213" s="549"/>
      <c r="Q213" s="549"/>
      <c r="R213" s="549"/>
      <c r="S213" s="549"/>
      <c r="T213" s="549"/>
      <c r="U213" s="549"/>
      <c r="V213" s="549"/>
      <c r="W213" s="549"/>
      <c r="X213" s="549"/>
      <c r="Y213" s="549"/>
      <c r="Z213" s="549"/>
    </row>
    <row r="214" ht="12.0" customHeight="1">
      <c r="A214" s="549"/>
      <c r="B214" s="549"/>
      <c r="C214" s="549"/>
      <c r="D214" s="549"/>
      <c r="E214" s="549"/>
      <c r="F214" s="549"/>
      <c r="G214" s="549"/>
      <c r="H214" s="549"/>
      <c r="I214" s="549"/>
      <c r="J214" s="549"/>
      <c r="K214" s="549"/>
      <c r="L214" s="549"/>
      <c r="M214" s="549"/>
      <c r="N214" s="549"/>
      <c r="O214" s="549"/>
      <c r="P214" s="549"/>
      <c r="Q214" s="549"/>
      <c r="R214" s="549"/>
      <c r="S214" s="549"/>
      <c r="T214" s="549"/>
      <c r="U214" s="549"/>
      <c r="V214" s="549"/>
      <c r="W214" s="549"/>
      <c r="X214" s="549"/>
      <c r="Y214" s="549"/>
      <c r="Z214" s="549"/>
    </row>
    <row r="215" ht="12.0" customHeight="1">
      <c r="A215" s="549"/>
      <c r="B215" s="549"/>
      <c r="C215" s="549"/>
      <c r="D215" s="549"/>
      <c r="E215" s="549"/>
      <c r="F215" s="549"/>
      <c r="G215" s="549"/>
      <c r="H215" s="549"/>
      <c r="I215" s="549"/>
      <c r="J215" s="549"/>
      <c r="K215" s="549"/>
      <c r="L215" s="549"/>
      <c r="M215" s="549"/>
      <c r="N215" s="549"/>
      <c r="O215" s="549"/>
      <c r="P215" s="549"/>
      <c r="Q215" s="549"/>
      <c r="R215" s="549"/>
      <c r="S215" s="549"/>
      <c r="T215" s="549"/>
      <c r="U215" s="549"/>
      <c r="V215" s="549"/>
      <c r="W215" s="549"/>
      <c r="X215" s="549"/>
      <c r="Y215" s="549"/>
      <c r="Z215" s="549"/>
    </row>
    <row r="216" ht="12.0" customHeight="1">
      <c r="A216" s="549"/>
      <c r="B216" s="549"/>
      <c r="C216" s="549"/>
      <c r="D216" s="549"/>
      <c r="E216" s="549"/>
      <c r="F216" s="549"/>
      <c r="G216" s="549"/>
      <c r="H216" s="549"/>
      <c r="I216" s="549"/>
      <c r="J216" s="549"/>
      <c r="K216" s="549"/>
      <c r="L216" s="549"/>
      <c r="M216" s="549"/>
      <c r="N216" s="549"/>
      <c r="O216" s="549"/>
      <c r="P216" s="549"/>
      <c r="Q216" s="549"/>
      <c r="R216" s="549"/>
      <c r="S216" s="549"/>
      <c r="T216" s="549"/>
      <c r="U216" s="549"/>
      <c r="V216" s="549"/>
      <c r="W216" s="549"/>
      <c r="X216" s="549"/>
      <c r="Y216" s="549"/>
      <c r="Z216" s="549"/>
    </row>
    <row r="217" ht="12.0" customHeight="1">
      <c r="A217" s="549"/>
      <c r="B217" s="549"/>
      <c r="C217" s="549"/>
      <c r="D217" s="549"/>
      <c r="E217" s="549"/>
      <c r="F217" s="549"/>
      <c r="G217" s="549"/>
      <c r="H217" s="549"/>
      <c r="I217" s="549"/>
      <c r="J217" s="549"/>
      <c r="K217" s="549"/>
      <c r="L217" s="549"/>
      <c r="M217" s="549"/>
      <c r="N217" s="549"/>
      <c r="O217" s="549"/>
      <c r="P217" s="549"/>
      <c r="Q217" s="549"/>
      <c r="R217" s="549"/>
      <c r="S217" s="549"/>
      <c r="T217" s="549"/>
      <c r="U217" s="549"/>
      <c r="V217" s="549"/>
      <c r="W217" s="549"/>
      <c r="X217" s="549"/>
      <c r="Y217" s="549"/>
      <c r="Z217" s="549"/>
    </row>
    <row r="218" ht="12.0" customHeight="1">
      <c r="A218" s="549"/>
      <c r="B218" s="549"/>
      <c r="C218" s="549"/>
      <c r="D218" s="549"/>
      <c r="E218" s="549"/>
      <c r="F218" s="549"/>
      <c r="G218" s="549"/>
      <c r="H218" s="549"/>
      <c r="I218" s="549"/>
      <c r="J218" s="549"/>
      <c r="K218" s="549"/>
      <c r="L218" s="549"/>
      <c r="M218" s="549"/>
      <c r="N218" s="549"/>
      <c r="O218" s="549"/>
      <c r="P218" s="549"/>
      <c r="Q218" s="549"/>
      <c r="R218" s="549"/>
      <c r="S218" s="549"/>
      <c r="T218" s="549"/>
      <c r="U218" s="549"/>
      <c r="V218" s="549"/>
      <c r="W218" s="549"/>
      <c r="X218" s="549"/>
      <c r="Y218" s="549"/>
      <c r="Z218" s="549"/>
    </row>
    <row r="219" ht="12.0" customHeight="1">
      <c r="A219" s="549"/>
      <c r="B219" s="549"/>
      <c r="C219" s="549"/>
      <c r="D219" s="549"/>
      <c r="E219" s="549"/>
      <c r="F219" s="549"/>
      <c r="G219" s="549"/>
      <c r="H219" s="549"/>
      <c r="I219" s="549"/>
      <c r="J219" s="549"/>
      <c r="K219" s="549"/>
      <c r="L219" s="549"/>
      <c r="M219" s="549"/>
      <c r="N219" s="549"/>
      <c r="O219" s="549"/>
      <c r="P219" s="549"/>
      <c r="Q219" s="549"/>
      <c r="R219" s="549"/>
      <c r="S219" s="549"/>
      <c r="T219" s="549"/>
      <c r="U219" s="549"/>
      <c r="V219" s="549"/>
      <c r="W219" s="549"/>
      <c r="X219" s="549"/>
      <c r="Y219" s="549"/>
      <c r="Z219" s="549"/>
    </row>
    <row r="220" ht="12.0" customHeight="1">
      <c r="A220" s="549"/>
      <c r="B220" s="549"/>
      <c r="C220" s="549"/>
      <c r="D220" s="549"/>
      <c r="E220" s="549"/>
      <c r="F220" s="549"/>
      <c r="G220" s="549"/>
      <c r="H220" s="549"/>
      <c r="I220" s="549"/>
      <c r="J220" s="549"/>
      <c r="K220" s="549"/>
      <c r="L220" s="549"/>
      <c r="M220" s="549"/>
      <c r="N220" s="549"/>
      <c r="O220" s="549"/>
      <c r="P220" s="549"/>
      <c r="Q220" s="549"/>
      <c r="R220" s="549"/>
      <c r="S220" s="549"/>
      <c r="T220" s="549"/>
      <c r="U220" s="549"/>
      <c r="V220" s="549"/>
      <c r="W220" s="549"/>
      <c r="X220" s="549"/>
      <c r="Y220" s="549"/>
      <c r="Z220" s="549"/>
    </row>
    <row r="221" ht="12.0" customHeight="1">
      <c r="A221" s="549"/>
      <c r="B221" s="549"/>
      <c r="C221" s="549"/>
      <c r="D221" s="549"/>
      <c r="E221" s="549"/>
      <c r="F221" s="549"/>
      <c r="G221" s="549"/>
      <c r="H221" s="549"/>
      <c r="I221" s="549"/>
      <c r="J221" s="549"/>
      <c r="K221" s="549"/>
      <c r="L221" s="549"/>
      <c r="M221" s="549"/>
      <c r="N221" s="549"/>
      <c r="O221" s="549"/>
      <c r="P221" s="549"/>
      <c r="Q221" s="549"/>
      <c r="R221" s="549"/>
      <c r="S221" s="549"/>
      <c r="T221" s="549"/>
      <c r="U221" s="549"/>
      <c r="V221" s="549"/>
      <c r="W221" s="549"/>
      <c r="X221" s="549"/>
      <c r="Y221" s="549"/>
      <c r="Z221" s="549"/>
    </row>
    <row r="222" ht="12.0" customHeight="1">
      <c r="A222" s="549"/>
      <c r="B222" s="549"/>
      <c r="C222" s="549"/>
      <c r="D222" s="549"/>
      <c r="E222" s="549"/>
      <c r="F222" s="549"/>
      <c r="G222" s="549"/>
      <c r="H222" s="549"/>
      <c r="I222" s="549"/>
      <c r="J222" s="549"/>
      <c r="K222" s="549"/>
      <c r="L222" s="549"/>
      <c r="M222" s="549"/>
      <c r="N222" s="549"/>
      <c r="O222" s="549"/>
      <c r="P222" s="549"/>
      <c r="Q222" s="549"/>
      <c r="R222" s="549"/>
      <c r="S222" s="549"/>
      <c r="T222" s="549"/>
      <c r="U222" s="549"/>
      <c r="V222" s="549"/>
      <c r="W222" s="549"/>
      <c r="X222" s="549"/>
      <c r="Y222" s="549"/>
      <c r="Z222" s="549"/>
    </row>
    <row r="223" ht="12.0" customHeight="1">
      <c r="A223" s="549"/>
      <c r="B223" s="549"/>
      <c r="C223" s="549"/>
      <c r="D223" s="549"/>
      <c r="E223" s="549"/>
      <c r="F223" s="549"/>
      <c r="G223" s="549"/>
      <c r="H223" s="549"/>
      <c r="I223" s="549"/>
      <c r="J223" s="549"/>
      <c r="K223" s="549"/>
      <c r="L223" s="549"/>
      <c r="M223" s="549"/>
      <c r="N223" s="549"/>
      <c r="O223" s="549"/>
      <c r="P223" s="549"/>
      <c r="Q223" s="549"/>
      <c r="R223" s="549"/>
      <c r="S223" s="549"/>
      <c r="T223" s="549"/>
      <c r="U223" s="549"/>
      <c r="V223" s="549"/>
      <c r="W223" s="549"/>
      <c r="X223" s="549"/>
      <c r="Y223" s="549"/>
      <c r="Z223" s="549"/>
    </row>
    <row r="224" ht="12.0" customHeight="1">
      <c r="A224" s="549"/>
      <c r="B224" s="549"/>
      <c r="C224" s="549"/>
      <c r="D224" s="549"/>
      <c r="E224" s="549"/>
      <c r="F224" s="549"/>
      <c r="G224" s="549"/>
      <c r="H224" s="549"/>
      <c r="I224" s="549"/>
      <c r="J224" s="549"/>
      <c r="K224" s="549"/>
      <c r="L224" s="549"/>
      <c r="M224" s="549"/>
      <c r="N224" s="549"/>
      <c r="O224" s="549"/>
      <c r="P224" s="549"/>
      <c r="Q224" s="549"/>
      <c r="R224" s="549"/>
      <c r="S224" s="549"/>
      <c r="T224" s="549"/>
      <c r="U224" s="549"/>
      <c r="V224" s="549"/>
      <c r="W224" s="549"/>
      <c r="X224" s="549"/>
      <c r="Y224" s="549"/>
      <c r="Z224" s="549"/>
    </row>
    <row r="225" ht="12.0" customHeight="1">
      <c r="A225" s="549"/>
      <c r="B225" s="549"/>
      <c r="C225" s="549"/>
      <c r="D225" s="549"/>
      <c r="E225" s="549"/>
      <c r="F225" s="549"/>
      <c r="G225" s="549"/>
      <c r="H225" s="549"/>
      <c r="I225" s="549"/>
      <c r="J225" s="549"/>
      <c r="K225" s="549"/>
      <c r="L225" s="549"/>
      <c r="M225" s="549"/>
      <c r="N225" s="549"/>
      <c r="O225" s="549"/>
      <c r="P225" s="549"/>
      <c r="Q225" s="549"/>
      <c r="R225" s="549"/>
      <c r="S225" s="549"/>
      <c r="T225" s="549"/>
      <c r="U225" s="549"/>
      <c r="V225" s="549"/>
      <c r="W225" s="549"/>
      <c r="X225" s="549"/>
      <c r="Y225" s="549"/>
      <c r="Z225" s="549"/>
    </row>
    <row r="226" ht="12.0" customHeight="1">
      <c r="A226" s="549"/>
      <c r="B226" s="549"/>
      <c r="C226" s="549"/>
      <c r="D226" s="549"/>
      <c r="E226" s="549"/>
      <c r="F226" s="549"/>
      <c r="G226" s="549"/>
      <c r="H226" s="549"/>
      <c r="I226" s="549"/>
      <c r="J226" s="549"/>
      <c r="K226" s="549"/>
      <c r="L226" s="549"/>
      <c r="M226" s="549"/>
      <c r="N226" s="549"/>
      <c r="O226" s="549"/>
      <c r="P226" s="549"/>
      <c r="Q226" s="549"/>
      <c r="R226" s="549"/>
      <c r="S226" s="549"/>
      <c r="T226" s="549"/>
      <c r="U226" s="549"/>
      <c r="V226" s="549"/>
      <c r="W226" s="549"/>
      <c r="X226" s="549"/>
      <c r="Y226" s="549"/>
      <c r="Z226" s="549"/>
    </row>
    <row r="227" ht="12.0" customHeight="1">
      <c r="A227" s="549"/>
      <c r="B227" s="549"/>
      <c r="C227" s="549"/>
      <c r="D227" s="549"/>
      <c r="E227" s="549"/>
      <c r="F227" s="549"/>
      <c r="G227" s="549"/>
      <c r="H227" s="549"/>
      <c r="I227" s="549"/>
      <c r="J227" s="549"/>
      <c r="K227" s="549"/>
      <c r="L227" s="549"/>
      <c r="M227" s="549"/>
      <c r="N227" s="549"/>
      <c r="O227" s="549"/>
      <c r="P227" s="549"/>
      <c r="Q227" s="549"/>
      <c r="R227" s="549"/>
      <c r="S227" s="549"/>
      <c r="T227" s="549"/>
      <c r="U227" s="549"/>
      <c r="V227" s="549"/>
      <c r="W227" s="549"/>
      <c r="X227" s="549"/>
      <c r="Y227" s="549"/>
      <c r="Z227" s="549"/>
    </row>
    <row r="228" ht="12.0" customHeight="1">
      <c r="A228" s="549"/>
      <c r="B228" s="549"/>
      <c r="C228" s="549"/>
      <c r="D228" s="549"/>
      <c r="E228" s="549"/>
      <c r="F228" s="549"/>
      <c r="G228" s="549"/>
      <c r="H228" s="549"/>
      <c r="I228" s="549"/>
      <c r="J228" s="549"/>
      <c r="K228" s="549"/>
      <c r="L228" s="549"/>
      <c r="M228" s="549"/>
      <c r="N228" s="549"/>
      <c r="O228" s="549"/>
      <c r="P228" s="549"/>
      <c r="Q228" s="549"/>
      <c r="R228" s="549"/>
      <c r="S228" s="549"/>
      <c r="T228" s="549"/>
      <c r="U228" s="549"/>
      <c r="V228" s="549"/>
      <c r="W228" s="549"/>
      <c r="X228" s="549"/>
      <c r="Y228" s="549"/>
      <c r="Z228" s="549"/>
    </row>
    <row r="229" ht="12.0" customHeight="1">
      <c r="A229" s="549"/>
      <c r="B229" s="549"/>
      <c r="C229" s="549"/>
      <c r="D229" s="549"/>
      <c r="E229" s="549"/>
      <c r="F229" s="549"/>
      <c r="G229" s="549"/>
      <c r="H229" s="549"/>
      <c r="I229" s="549"/>
      <c r="J229" s="549"/>
      <c r="K229" s="549"/>
      <c r="L229" s="549"/>
      <c r="M229" s="549"/>
      <c r="N229" s="549"/>
      <c r="O229" s="549"/>
      <c r="P229" s="549"/>
      <c r="Q229" s="549"/>
      <c r="R229" s="549"/>
      <c r="S229" s="549"/>
      <c r="T229" s="549"/>
      <c r="U229" s="549"/>
      <c r="V229" s="549"/>
      <c r="W229" s="549"/>
      <c r="X229" s="549"/>
      <c r="Y229" s="549"/>
      <c r="Z229" s="549"/>
    </row>
    <row r="230" ht="12.0" customHeight="1">
      <c r="A230" s="549"/>
      <c r="B230" s="549"/>
      <c r="C230" s="549"/>
      <c r="D230" s="549"/>
      <c r="E230" s="549"/>
      <c r="F230" s="549"/>
      <c r="G230" s="549"/>
      <c r="H230" s="549"/>
      <c r="I230" s="549"/>
      <c r="J230" s="549"/>
      <c r="K230" s="549"/>
      <c r="L230" s="549"/>
      <c r="M230" s="549"/>
      <c r="N230" s="549"/>
      <c r="O230" s="549"/>
      <c r="P230" s="549"/>
      <c r="Q230" s="549"/>
      <c r="R230" s="549"/>
      <c r="S230" s="549"/>
      <c r="T230" s="549"/>
      <c r="U230" s="549"/>
      <c r="V230" s="549"/>
      <c r="W230" s="549"/>
      <c r="X230" s="549"/>
      <c r="Y230" s="549"/>
      <c r="Z230" s="549"/>
    </row>
    <row r="231" ht="12.0" customHeight="1">
      <c r="A231" s="549"/>
      <c r="B231" s="549"/>
      <c r="C231" s="549"/>
      <c r="D231" s="549"/>
      <c r="E231" s="549"/>
      <c r="F231" s="549"/>
      <c r="G231" s="549"/>
      <c r="H231" s="549"/>
      <c r="I231" s="549"/>
      <c r="J231" s="549"/>
      <c r="K231" s="549"/>
      <c r="L231" s="549"/>
      <c r="M231" s="549"/>
      <c r="N231" s="549"/>
      <c r="O231" s="549"/>
      <c r="P231" s="549"/>
      <c r="Q231" s="549"/>
      <c r="R231" s="549"/>
      <c r="S231" s="549"/>
      <c r="T231" s="549"/>
      <c r="U231" s="549"/>
      <c r="V231" s="549"/>
      <c r="W231" s="549"/>
      <c r="X231" s="549"/>
      <c r="Y231" s="549"/>
      <c r="Z231" s="549"/>
    </row>
    <row r="232" ht="12.0" customHeight="1">
      <c r="A232" s="549"/>
      <c r="B232" s="549"/>
      <c r="C232" s="549"/>
      <c r="D232" s="549"/>
      <c r="E232" s="549"/>
      <c r="F232" s="549"/>
      <c r="G232" s="549"/>
      <c r="H232" s="549"/>
      <c r="I232" s="549"/>
      <c r="J232" s="549"/>
      <c r="K232" s="549"/>
      <c r="L232" s="549"/>
      <c r="M232" s="549"/>
      <c r="N232" s="549"/>
      <c r="O232" s="549"/>
      <c r="P232" s="549"/>
      <c r="Q232" s="549"/>
      <c r="R232" s="549"/>
      <c r="S232" s="549"/>
      <c r="T232" s="549"/>
      <c r="U232" s="549"/>
      <c r="V232" s="549"/>
      <c r="W232" s="549"/>
      <c r="X232" s="549"/>
      <c r="Y232" s="549"/>
      <c r="Z232" s="549"/>
    </row>
    <row r="233" ht="12.0" customHeight="1">
      <c r="A233" s="549"/>
      <c r="B233" s="549"/>
      <c r="C233" s="549"/>
      <c r="D233" s="549"/>
      <c r="E233" s="549"/>
      <c r="F233" s="549"/>
      <c r="G233" s="549"/>
      <c r="H233" s="549"/>
      <c r="I233" s="549"/>
      <c r="J233" s="549"/>
      <c r="K233" s="549"/>
      <c r="L233" s="549"/>
      <c r="M233" s="549"/>
      <c r="N233" s="549"/>
      <c r="O233" s="549"/>
      <c r="P233" s="549"/>
      <c r="Q233" s="549"/>
      <c r="R233" s="549"/>
      <c r="S233" s="549"/>
      <c r="T233" s="549"/>
      <c r="U233" s="549"/>
      <c r="V233" s="549"/>
      <c r="W233" s="549"/>
      <c r="X233" s="549"/>
      <c r="Y233" s="549"/>
      <c r="Z233" s="549"/>
    </row>
    <row r="234" ht="12.0" customHeight="1">
      <c r="A234" s="549"/>
      <c r="B234" s="549"/>
      <c r="C234" s="549"/>
      <c r="D234" s="549"/>
      <c r="E234" s="549"/>
      <c r="F234" s="549"/>
      <c r="G234" s="549"/>
      <c r="H234" s="549"/>
      <c r="I234" s="549"/>
      <c r="J234" s="549"/>
      <c r="K234" s="549"/>
      <c r="L234" s="549"/>
      <c r="M234" s="549"/>
      <c r="N234" s="549"/>
      <c r="O234" s="549"/>
      <c r="P234" s="549"/>
      <c r="Q234" s="549"/>
      <c r="R234" s="549"/>
      <c r="S234" s="549"/>
      <c r="T234" s="549"/>
      <c r="U234" s="549"/>
      <c r="V234" s="549"/>
      <c r="W234" s="549"/>
      <c r="X234" s="549"/>
      <c r="Y234" s="549"/>
      <c r="Z234" s="549"/>
    </row>
    <row r="235" ht="12.0" customHeight="1">
      <c r="A235" s="549"/>
      <c r="B235" s="549"/>
      <c r="C235" s="549"/>
      <c r="D235" s="549"/>
      <c r="E235" s="549"/>
      <c r="F235" s="549"/>
      <c r="G235" s="549"/>
      <c r="H235" s="549"/>
      <c r="I235" s="549"/>
      <c r="J235" s="549"/>
      <c r="K235" s="549"/>
      <c r="L235" s="549"/>
      <c r="M235" s="549"/>
      <c r="N235" s="549"/>
      <c r="O235" s="549"/>
      <c r="P235" s="549"/>
      <c r="Q235" s="549"/>
      <c r="R235" s="549"/>
      <c r="S235" s="549"/>
      <c r="T235" s="549"/>
      <c r="U235" s="549"/>
      <c r="V235" s="549"/>
      <c r="W235" s="549"/>
      <c r="X235" s="549"/>
      <c r="Y235" s="549"/>
      <c r="Z235" s="549"/>
    </row>
    <row r="236" ht="12.0" customHeight="1">
      <c r="A236" s="549"/>
      <c r="B236" s="549"/>
      <c r="C236" s="549"/>
      <c r="D236" s="549"/>
      <c r="E236" s="549"/>
      <c r="F236" s="549"/>
      <c r="G236" s="549"/>
      <c r="H236" s="549"/>
      <c r="I236" s="549"/>
      <c r="J236" s="549"/>
      <c r="K236" s="549"/>
      <c r="L236" s="549"/>
      <c r="M236" s="549"/>
      <c r="N236" s="549"/>
      <c r="O236" s="549"/>
      <c r="P236" s="549"/>
      <c r="Q236" s="549"/>
      <c r="R236" s="549"/>
      <c r="S236" s="549"/>
      <c r="T236" s="549"/>
      <c r="U236" s="549"/>
      <c r="V236" s="549"/>
      <c r="W236" s="549"/>
      <c r="X236" s="549"/>
      <c r="Y236" s="549"/>
      <c r="Z236" s="549"/>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K5:N5"/>
    <mergeCell ref="Q12:S18"/>
    <mergeCell ref="A18:B18"/>
    <mergeCell ref="A1:F1"/>
    <mergeCell ref="I1:L1"/>
    <mergeCell ref="A4:B4"/>
    <mergeCell ref="A5:A6"/>
    <mergeCell ref="B5:B6"/>
    <mergeCell ref="C5:F5"/>
    <mergeCell ref="G5:J5"/>
  </mergeCells>
  <printOptions/>
  <pageMargins bottom="1.0" footer="0.0" header="0.0" left="0.38" right="0.28"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A8DC"/>
    <pageSetUpPr/>
  </sheetPr>
  <sheetViews>
    <sheetView workbookViewId="0"/>
  </sheetViews>
  <sheetFormatPr customHeight="1" defaultColWidth="12.63" defaultRowHeight="15.0"/>
  <cols>
    <col customWidth="1" min="1" max="1" width="11.88"/>
    <col customWidth="1" min="2" max="2" width="16.25"/>
    <col customWidth="1" min="3" max="3" width="9.88"/>
    <col customWidth="1" min="4" max="4" width="10.75"/>
    <col customWidth="1" min="5" max="5" width="9.63"/>
    <col customWidth="1" min="6" max="6" width="10.75"/>
    <col customWidth="1" min="7" max="10" width="8.63"/>
    <col customWidth="1" min="11" max="11" width="8.13"/>
    <col customWidth="1" min="12" max="26" width="8.63"/>
  </cols>
  <sheetData>
    <row r="1" ht="12.75" customHeight="1">
      <c r="A1" s="548" t="s">
        <v>396</v>
      </c>
      <c r="G1" s="549"/>
      <c r="H1" s="549"/>
      <c r="I1" s="550" t="s">
        <v>397</v>
      </c>
      <c r="J1" s="7"/>
      <c r="K1" s="7"/>
      <c r="L1" s="8"/>
      <c r="M1" s="549"/>
      <c r="N1" s="549"/>
      <c r="O1" s="549"/>
      <c r="P1" s="549"/>
      <c r="Q1" s="549"/>
      <c r="R1" s="549"/>
      <c r="S1" s="549"/>
      <c r="T1" s="549"/>
      <c r="U1" s="549"/>
      <c r="V1" s="549"/>
      <c r="W1" s="549"/>
      <c r="X1" s="549"/>
      <c r="Y1" s="549"/>
      <c r="Z1" s="549"/>
    </row>
    <row r="2" ht="12.75" customHeight="1">
      <c r="A2" s="548"/>
      <c r="B2" s="548"/>
      <c r="C2" s="548"/>
      <c r="D2" s="548"/>
      <c r="E2" s="548"/>
      <c r="F2" s="548"/>
      <c r="G2" s="549"/>
      <c r="H2" s="549"/>
      <c r="I2" s="549"/>
      <c r="J2" s="549"/>
      <c r="K2" s="549"/>
      <c r="L2" s="549"/>
      <c r="M2" s="549"/>
      <c r="N2" s="549"/>
      <c r="O2" s="549"/>
      <c r="P2" s="549"/>
      <c r="Q2" s="549"/>
      <c r="R2" s="549"/>
      <c r="S2" s="549"/>
      <c r="T2" s="549"/>
      <c r="U2" s="549"/>
      <c r="V2" s="549"/>
      <c r="W2" s="549"/>
      <c r="X2" s="549"/>
      <c r="Y2" s="549"/>
      <c r="Z2" s="549"/>
    </row>
    <row r="3" ht="12.75" customHeight="1">
      <c r="A3" s="548"/>
      <c r="B3" s="548"/>
      <c r="C3" s="548"/>
      <c r="D3" s="548"/>
      <c r="E3" s="548"/>
      <c r="F3" s="548"/>
      <c r="G3" s="549"/>
      <c r="H3" s="549"/>
      <c r="I3" s="549"/>
      <c r="J3" s="549"/>
      <c r="K3" s="549"/>
      <c r="L3" s="549"/>
      <c r="M3" s="549"/>
      <c r="N3" s="549"/>
      <c r="O3" s="549"/>
      <c r="P3" s="549"/>
      <c r="Q3" s="549"/>
      <c r="R3" s="549"/>
      <c r="S3" s="549"/>
      <c r="T3" s="549"/>
      <c r="U3" s="549"/>
      <c r="V3" s="549"/>
      <c r="W3" s="549"/>
      <c r="X3" s="549"/>
      <c r="Y3" s="549"/>
      <c r="Z3" s="549"/>
    </row>
    <row r="4" ht="12.75" customHeight="1">
      <c r="A4" s="605" t="s">
        <v>100</v>
      </c>
      <c r="B4" s="606" t="s">
        <v>398</v>
      </c>
      <c r="C4" s="607" t="s">
        <v>316</v>
      </c>
      <c r="D4" s="549"/>
      <c r="E4" s="549"/>
      <c r="F4" s="549"/>
      <c r="G4" s="549"/>
      <c r="H4" s="549"/>
      <c r="I4" s="549"/>
      <c r="J4" s="549"/>
      <c r="K4" s="549"/>
      <c r="L4" s="549"/>
      <c r="M4" s="549"/>
      <c r="N4" s="549"/>
      <c r="O4" s="549"/>
      <c r="P4" s="549"/>
      <c r="Q4" s="549"/>
      <c r="R4" s="549"/>
      <c r="S4" s="549"/>
      <c r="T4" s="549"/>
      <c r="U4" s="549"/>
      <c r="V4" s="549"/>
      <c r="W4" s="549"/>
      <c r="X4" s="549"/>
      <c r="Y4" s="549"/>
      <c r="Z4" s="549"/>
    </row>
    <row r="5" ht="12.75" customHeight="1">
      <c r="A5" s="608" t="s">
        <v>83</v>
      </c>
      <c r="B5" s="609">
        <f>'TAC Sector Allocations'!F24</f>
        <v>193.9977</v>
      </c>
      <c r="C5" s="610">
        <f t="shared" ref="C5:C9" si="1">C13/2204.62</f>
        <v>193.9977</v>
      </c>
      <c r="D5" s="549"/>
      <c r="E5" s="549"/>
      <c r="F5" s="549"/>
      <c r="G5" s="549"/>
      <c r="H5" s="549"/>
      <c r="I5" s="586"/>
      <c r="L5" s="549"/>
      <c r="M5" s="549"/>
      <c r="N5" s="549"/>
      <c r="O5" s="549"/>
      <c r="P5" s="549"/>
      <c r="Q5" s="549"/>
      <c r="R5" s="549"/>
      <c r="S5" s="549"/>
      <c r="T5" s="549"/>
      <c r="U5" s="549"/>
      <c r="V5" s="549"/>
      <c r="W5" s="549"/>
      <c r="X5" s="549"/>
      <c r="Y5" s="549"/>
      <c r="Z5" s="549"/>
    </row>
    <row r="6" ht="12.75" customHeight="1">
      <c r="A6" s="611" t="s">
        <v>127</v>
      </c>
      <c r="B6" s="612">
        <f>'TAC Sector Allocations'!F26</f>
        <v>75.6</v>
      </c>
      <c r="C6" s="613">
        <f t="shared" si="1"/>
        <v>75.6</v>
      </c>
      <c r="D6" s="549"/>
      <c r="E6" s="549"/>
      <c r="F6" s="549"/>
      <c r="G6" s="549"/>
      <c r="H6" s="549"/>
      <c r="L6" s="549"/>
      <c r="M6" s="549"/>
      <c r="N6" s="549"/>
      <c r="O6" s="549"/>
      <c r="P6" s="549"/>
      <c r="Q6" s="549"/>
      <c r="R6" s="549"/>
      <c r="S6" s="549"/>
      <c r="T6" s="549"/>
      <c r="U6" s="549"/>
      <c r="V6" s="549"/>
      <c r="W6" s="549"/>
      <c r="X6" s="549"/>
      <c r="Y6" s="549"/>
      <c r="Z6" s="549"/>
    </row>
    <row r="7" ht="12.75" customHeight="1">
      <c r="A7" s="611" t="s">
        <v>129</v>
      </c>
      <c r="B7" s="612">
        <f>'TAC Sector Allocations'!F27</f>
        <v>215.4642</v>
      </c>
      <c r="C7" s="613">
        <f t="shared" si="1"/>
        <v>215.4642</v>
      </c>
      <c r="D7" s="549"/>
      <c r="E7" s="549"/>
      <c r="F7" s="549"/>
      <c r="G7" s="549"/>
      <c r="H7" s="549"/>
      <c r="L7" s="549"/>
      <c r="M7" s="549"/>
      <c r="N7" s="549"/>
      <c r="O7" s="549"/>
      <c r="P7" s="549"/>
      <c r="Q7" s="549"/>
      <c r="R7" s="549"/>
      <c r="S7" s="549"/>
      <c r="T7" s="549"/>
      <c r="U7" s="549"/>
      <c r="V7" s="549"/>
      <c r="W7" s="549"/>
      <c r="X7" s="549"/>
      <c r="Y7" s="549"/>
      <c r="Z7" s="549"/>
    </row>
    <row r="8" ht="12.75" customHeight="1">
      <c r="A8" s="611" t="s">
        <v>130</v>
      </c>
      <c r="B8" s="612">
        <f>'TAC Sector Allocations'!F29</f>
        <v>156.35</v>
      </c>
      <c r="C8" s="613">
        <f t="shared" si="1"/>
        <v>156.35</v>
      </c>
      <c r="D8" s="549"/>
      <c r="E8" s="549"/>
      <c r="F8" s="549"/>
      <c r="G8" s="549"/>
      <c r="H8" s="549"/>
      <c r="L8" s="549"/>
      <c r="M8" s="549"/>
      <c r="N8" s="549"/>
      <c r="O8" s="549"/>
      <c r="P8" s="549"/>
      <c r="Q8" s="549"/>
      <c r="R8" s="549"/>
      <c r="S8" s="549"/>
      <c r="T8" s="549"/>
      <c r="U8" s="549"/>
      <c r="V8" s="549"/>
      <c r="W8" s="549"/>
      <c r="X8" s="549"/>
      <c r="Y8" s="549"/>
      <c r="Z8" s="549"/>
    </row>
    <row r="9" ht="12.75" customHeight="1">
      <c r="A9" s="614" t="s">
        <v>86</v>
      </c>
      <c r="B9" s="615">
        <f>'TAC Sector Allocations'!F38</f>
        <v>74.1125</v>
      </c>
      <c r="C9" s="616">
        <f t="shared" si="1"/>
        <v>74.1125</v>
      </c>
      <c r="D9" s="549"/>
      <c r="E9" s="549"/>
      <c r="F9" s="549"/>
      <c r="G9" s="549"/>
      <c r="H9" s="549"/>
      <c r="L9" s="549"/>
      <c r="M9" s="549"/>
      <c r="N9" s="549"/>
      <c r="O9" s="549"/>
      <c r="P9" s="549"/>
      <c r="Q9" s="549"/>
      <c r="R9" s="549"/>
      <c r="S9" s="549"/>
      <c r="T9" s="549"/>
      <c r="U9" s="549"/>
      <c r="V9" s="549"/>
      <c r="W9" s="549"/>
      <c r="X9" s="549"/>
      <c r="Y9" s="549"/>
      <c r="Z9" s="549"/>
    </row>
    <row r="10" ht="12.75" customHeight="1">
      <c r="A10" s="617"/>
      <c r="B10" s="618"/>
      <c r="C10" s="618"/>
      <c r="D10" s="549"/>
      <c r="E10" s="549"/>
      <c r="F10" s="549"/>
      <c r="G10" s="549"/>
      <c r="H10" s="549"/>
      <c r="L10" s="549"/>
      <c r="M10" s="549"/>
      <c r="N10" s="549"/>
      <c r="O10" s="549"/>
      <c r="P10" s="549"/>
      <c r="Q10" s="549"/>
      <c r="R10" s="549"/>
      <c r="S10" s="549"/>
      <c r="T10" s="549"/>
      <c r="U10" s="549"/>
      <c r="V10" s="549"/>
      <c r="W10" s="549"/>
      <c r="X10" s="549"/>
      <c r="Y10" s="549"/>
      <c r="Z10" s="549"/>
    </row>
    <row r="11" ht="12.75" customHeight="1">
      <c r="A11" s="619" t="s">
        <v>194</v>
      </c>
      <c r="B11" s="618"/>
      <c r="C11" s="620"/>
      <c r="D11" s="549"/>
      <c r="E11" s="549"/>
      <c r="F11" s="549"/>
      <c r="G11" s="549"/>
      <c r="H11" s="549"/>
      <c r="L11" s="549"/>
      <c r="M11" s="549"/>
      <c r="N11" s="549"/>
      <c r="O11" s="549"/>
      <c r="P11" s="549"/>
      <c r="Q11" s="549"/>
      <c r="R11" s="549"/>
      <c r="S11" s="549"/>
      <c r="T11" s="549"/>
      <c r="U11" s="549"/>
      <c r="V11" s="549"/>
      <c r="W11" s="549"/>
      <c r="X11" s="549"/>
      <c r="Y11" s="549"/>
      <c r="Z11" s="549"/>
    </row>
    <row r="12" ht="12.75" customHeight="1">
      <c r="A12" s="605" t="s">
        <v>100</v>
      </c>
      <c r="B12" s="606" t="s">
        <v>398</v>
      </c>
      <c r="C12" s="607" t="s">
        <v>316</v>
      </c>
      <c r="D12" s="549"/>
      <c r="E12" s="549"/>
      <c r="F12" s="549"/>
      <c r="G12" s="549"/>
      <c r="H12" s="549"/>
      <c r="I12" s="549"/>
      <c r="J12" s="549"/>
      <c r="K12" s="549"/>
      <c r="L12" s="549"/>
      <c r="M12" s="549"/>
      <c r="N12" s="549"/>
      <c r="O12" s="549"/>
      <c r="P12" s="549"/>
      <c r="Q12" s="549"/>
      <c r="R12" s="549"/>
      <c r="S12" s="549"/>
      <c r="T12" s="549"/>
      <c r="U12" s="549"/>
      <c r="V12" s="549"/>
      <c r="W12" s="549"/>
      <c r="X12" s="549"/>
      <c r="Y12" s="549"/>
      <c r="Z12" s="549"/>
    </row>
    <row r="13" ht="12.75" customHeight="1">
      <c r="A13" s="608" t="s">
        <v>83</v>
      </c>
      <c r="B13" s="621">
        <f t="shared" ref="B13:B17" si="2">B5*2204.62</f>
        <v>427691.2094</v>
      </c>
      <c r="C13" s="622">
        <f>SUM(H23:H33)</f>
        <v>427691.2094</v>
      </c>
      <c r="D13" s="549"/>
      <c r="E13" s="549"/>
      <c r="F13" s="549"/>
      <c r="G13" s="549"/>
      <c r="H13" s="549"/>
      <c r="I13" s="549"/>
      <c r="J13" s="549"/>
      <c r="K13" s="549"/>
      <c r="L13" s="549"/>
      <c r="M13" s="549"/>
      <c r="N13" s="549"/>
      <c r="O13" s="549"/>
      <c r="P13" s="549"/>
      <c r="Q13" s="549"/>
      <c r="R13" s="549"/>
      <c r="S13" s="549"/>
      <c r="T13" s="549"/>
      <c r="U13" s="549"/>
      <c r="V13" s="549"/>
      <c r="W13" s="549"/>
      <c r="X13" s="549"/>
      <c r="Y13" s="549"/>
      <c r="Z13" s="549"/>
    </row>
    <row r="14" ht="12.75" customHeight="1">
      <c r="A14" s="611" t="s">
        <v>127</v>
      </c>
      <c r="B14" s="623">
        <f t="shared" si="2"/>
        <v>166669.272</v>
      </c>
      <c r="C14" s="624">
        <f>SUM(I23:I33)</f>
        <v>166669.272</v>
      </c>
      <c r="D14" s="549"/>
      <c r="E14" s="549"/>
      <c r="F14" s="549"/>
      <c r="G14" s="549"/>
      <c r="H14" s="549"/>
      <c r="I14" s="549"/>
      <c r="J14" s="549"/>
      <c r="K14" s="549"/>
      <c r="L14" s="549"/>
      <c r="M14" s="549"/>
      <c r="N14" s="549"/>
      <c r="O14" s="549"/>
      <c r="P14" s="549"/>
      <c r="Q14" s="549"/>
      <c r="R14" s="549"/>
      <c r="S14" s="549"/>
      <c r="T14" s="549"/>
      <c r="U14" s="549"/>
      <c r="V14" s="549"/>
      <c r="W14" s="549"/>
      <c r="X14" s="549"/>
      <c r="Y14" s="549"/>
      <c r="Z14" s="549"/>
    </row>
    <row r="15" ht="12.75" customHeight="1">
      <c r="A15" s="611" t="s">
        <v>129</v>
      </c>
      <c r="B15" s="623">
        <f t="shared" si="2"/>
        <v>475016.6846</v>
      </c>
      <c r="C15" s="624">
        <f>SUM(J23:J33)</f>
        <v>475016.6846</v>
      </c>
      <c r="D15" s="549"/>
      <c r="E15" s="549"/>
      <c r="F15" s="549"/>
      <c r="G15" s="549"/>
      <c r="H15" s="549"/>
      <c r="I15" s="549"/>
      <c r="J15" s="549"/>
      <c r="K15" s="549"/>
      <c r="L15" s="549"/>
      <c r="M15" s="549"/>
      <c r="N15" s="549"/>
      <c r="O15" s="549"/>
      <c r="P15" s="549"/>
      <c r="Q15" s="549"/>
      <c r="R15" s="549"/>
      <c r="S15" s="549"/>
      <c r="T15" s="549"/>
      <c r="U15" s="549"/>
      <c r="V15" s="549"/>
      <c r="W15" s="549"/>
      <c r="X15" s="549"/>
      <c r="Y15" s="549"/>
      <c r="Z15" s="549"/>
    </row>
    <row r="16" ht="12.75" customHeight="1">
      <c r="A16" s="611" t="s">
        <v>130</v>
      </c>
      <c r="B16" s="623">
        <f t="shared" si="2"/>
        <v>344692.337</v>
      </c>
      <c r="C16" s="624">
        <f>SUM(K23:K33)</f>
        <v>344692.337</v>
      </c>
      <c r="D16" s="549"/>
      <c r="E16" s="549"/>
      <c r="F16" s="549"/>
      <c r="G16" s="549"/>
      <c r="H16" s="549"/>
      <c r="I16" s="549"/>
      <c r="J16" s="549"/>
      <c r="K16" s="549"/>
      <c r="L16" s="549"/>
      <c r="M16" s="549"/>
      <c r="N16" s="549"/>
      <c r="O16" s="549"/>
      <c r="P16" s="549"/>
      <c r="Q16" s="549"/>
      <c r="R16" s="549"/>
      <c r="S16" s="549"/>
      <c r="T16" s="549"/>
      <c r="U16" s="549"/>
      <c r="V16" s="549"/>
      <c r="W16" s="549"/>
      <c r="X16" s="549"/>
      <c r="Y16" s="549"/>
      <c r="Z16" s="549"/>
    </row>
    <row r="17" ht="12.75" customHeight="1">
      <c r="A17" s="614" t="s">
        <v>86</v>
      </c>
      <c r="B17" s="625">
        <f t="shared" si="2"/>
        <v>163389.8998</v>
      </c>
      <c r="C17" s="626">
        <f>SUM(L23:L33)</f>
        <v>163389.8998</v>
      </c>
      <c r="D17" s="549"/>
      <c r="E17" s="549"/>
      <c r="F17" s="549"/>
      <c r="G17" s="549"/>
      <c r="H17" s="549"/>
      <c r="I17" s="549"/>
      <c r="J17" s="549"/>
      <c r="K17" s="549"/>
      <c r="L17" s="549"/>
      <c r="M17" s="549"/>
      <c r="N17" s="549"/>
      <c r="O17" s="549"/>
      <c r="P17" s="549"/>
      <c r="Q17" s="549"/>
      <c r="R17" s="549"/>
      <c r="S17" s="549"/>
      <c r="T17" s="549"/>
      <c r="U17" s="549"/>
      <c r="V17" s="549"/>
      <c r="W17" s="549"/>
      <c r="X17" s="549"/>
      <c r="Y17" s="549"/>
      <c r="Z17" s="549"/>
    </row>
    <row r="18" ht="12.75" customHeight="1">
      <c r="A18" s="397"/>
      <c r="B18" s="397"/>
      <c r="C18" s="397"/>
      <c r="D18" s="397"/>
      <c r="E18" s="397"/>
      <c r="F18" s="397"/>
      <c r="G18" s="397"/>
      <c r="H18" s="397"/>
      <c r="I18" s="397"/>
      <c r="J18" s="397"/>
      <c r="K18" s="397"/>
      <c r="L18" s="397"/>
      <c r="M18" s="397"/>
      <c r="N18" s="397"/>
      <c r="O18" s="397"/>
      <c r="P18" s="397"/>
      <c r="Q18" s="397"/>
      <c r="R18" s="397"/>
      <c r="S18" s="397"/>
      <c r="T18" s="397"/>
      <c r="U18" s="397"/>
      <c r="V18" s="397"/>
      <c r="W18" s="397"/>
      <c r="X18" s="397"/>
      <c r="Y18" s="397"/>
      <c r="Z18" s="397"/>
    </row>
    <row r="19" ht="5.25" customHeight="1">
      <c r="A19" s="552"/>
      <c r="B19" s="549"/>
      <c r="C19" s="553"/>
      <c r="D19" s="553"/>
      <c r="E19" s="553"/>
      <c r="F19" s="553"/>
      <c r="G19" s="601"/>
      <c r="H19" s="553"/>
      <c r="I19" s="553"/>
      <c r="J19" s="553"/>
      <c r="K19" s="553"/>
      <c r="L19" s="553"/>
      <c r="M19" s="549"/>
      <c r="N19" s="549"/>
      <c r="O19" s="549"/>
      <c r="P19" s="549"/>
      <c r="Q19" s="549"/>
      <c r="R19" s="549"/>
      <c r="S19" s="549"/>
      <c r="T19" s="549"/>
      <c r="U19" s="549"/>
      <c r="V19" s="549"/>
      <c r="W19" s="549"/>
      <c r="X19" s="549"/>
      <c r="Y19" s="549"/>
      <c r="Z19" s="549"/>
    </row>
    <row r="20" ht="12.75" customHeight="1">
      <c r="A20" s="549"/>
      <c r="B20" s="549"/>
      <c r="C20" s="549"/>
      <c r="D20" s="549"/>
      <c r="E20" s="549"/>
      <c r="F20" s="549"/>
      <c r="G20" s="397"/>
      <c r="H20" s="397"/>
      <c r="I20" s="552"/>
      <c r="J20" s="552"/>
      <c r="K20" s="552"/>
      <c r="L20" s="552"/>
      <c r="M20" s="549"/>
      <c r="N20" s="549"/>
      <c r="O20" s="549"/>
      <c r="P20" s="549"/>
      <c r="Q20" s="549"/>
      <c r="R20" s="549"/>
      <c r="S20" s="549"/>
      <c r="T20" s="549"/>
      <c r="U20" s="549"/>
      <c r="V20" s="549"/>
      <c r="W20" s="549"/>
      <c r="X20" s="549"/>
      <c r="Y20" s="549"/>
      <c r="Z20" s="549"/>
    </row>
    <row r="21" ht="12.75" customHeight="1">
      <c r="A21" s="559" t="s">
        <v>16</v>
      </c>
      <c r="B21" s="560" t="s">
        <v>399</v>
      </c>
      <c r="C21" s="627" t="s">
        <v>12</v>
      </c>
      <c r="D21" s="156"/>
      <c r="E21" s="156"/>
      <c r="F21" s="145"/>
      <c r="G21" s="628" t="s">
        <v>400</v>
      </c>
      <c r="H21" s="627" t="s">
        <v>82</v>
      </c>
      <c r="I21" s="156"/>
      <c r="J21" s="156"/>
      <c r="K21" s="156"/>
      <c r="L21" s="145"/>
      <c r="M21" s="549"/>
      <c r="N21" s="549"/>
      <c r="O21" s="549"/>
      <c r="P21" s="549"/>
      <c r="Q21" s="549"/>
      <c r="R21" s="549"/>
      <c r="S21" s="549"/>
      <c r="T21" s="549"/>
      <c r="U21" s="549"/>
      <c r="V21" s="549"/>
      <c r="W21" s="549"/>
      <c r="X21" s="549"/>
      <c r="Y21" s="549"/>
      <c r="Z21" s="549"/>
    </row>
    <row r="22" ht="12.75" customHeight="1">
      <c r="A22" s="124"/>
      <c r="B22" s="125"/>
      <c r="C22" s="568" t="s">
        <v>5</v>
      </c>
      <c r="D22" s="569" t="s">
        <v>6</v>
      </c>
      <c r="E22" s="569" t="s">
        <v>18</v>
      </c>
      <c r="F22" s="570" t="s">
        <v>10</v>
      </c>
      <c r="G22" s="629"/>
      <c r="H22" s="627" t="s">
        <v>83</v>
      </c>
      <c r="I22" s="630" t="s">
        <v>127</v>
      </c>
      <c r="J22" s="630" t="s">
        <v>129</v>
      </c>
      <c r="K22" s="630" t="s">
        <v>85</v>
      </c>
      <c r="L22" s="631" t="s">
        <v>86</v>
      </c>
      <c r="M22" s="549"/>
      <c r="N22" s="549"/>
      <c r="O22" s="549"/>
      <c r="P22" s="549"/>
      <c r="Q22" s="549"/>
      <c r="R22" s="549"/>
      <c r="S22" s="549"/>
      <c r="T22" s="549"/>
      <c r="U22" s="549"/>
      <c r="V22" s="549"/>
      <c r="W22" s="549"/>
      <c r="X22" s="549"/>
      <c r="Y22" s="549"/>
      <c r="Z22" s="549"/>
    </row>
    <row r="23" ht="12.75" customHeight="1">
      <c r="A23" s="571">
        <v>2014.0</v>
      </c>
      <c r="B23" s="572" t="s">
        <v>332</v>
      </c>
      <c r="C23" s="578">
        <v>1947050.0</v>
      </c>
      <c r="D23" s="579">
        <v>3639283.0</v>
      </c>
      <c r="E23" s="579">
        <v>1549825.0</v>
      </c>
      <c r="F23" s="579">
        <f t="shared" ref="F23:F33" si="3">SUM(C23:E23)</f>
        <v>7136158</v>
      </c>
      <c r="G23" s="632">
        <f>+F23/'Alloc by Sector'!$C$11</f>
        <v>0.1000640867</v>
      </c>
      <c r="H23" s="579">
        <f t="shared" ref="H23:H33" si="4">G23*$B$13</f>
        <v>42796.53026</v>
      </c>
      <c r="I23" s="579">
        <f t="shared" ref="I23:I33" si="5">+G23*$B$14</f>
        <v>16677.60849</v>
      </c>
      <c r="J23" s="579">
        <f t="shared" ref="J23:J33" si="6">G23*$B$15</f>
        <v>47532.11072</v>
      </c>
      <c r="K23" s="579">
        <f t="shared" ref="K23:K33" si="7">G23*$B$16</f>
        <v>34491.3239</v>
      </c>
      <c r="L23" s="580">
        <f t="shared" ref="L23:L33" si="8">G23*$B$17</f>
        <v>16349.4611</v>
      </c>
      <c r="M23" s="549"/>
      <c r="N23" s="549"/>
      <c r="O23" s="549"/>
      <c r="P23" s="549"/>
      <c r="Q23" s="549"/>
      <c r="R23" s="549"/>
      <c r="S23" s="549"/>
      <c r="T23" s="549"/>
      <c r="U23" s="549"/>
      <c r="V23" s="549"/>
      <c r="W23" s="549"/>
      <c r="X23" s="549"/>
      <c r="Y23" s="549"/>
      <c r="Z23" s="549"/>
    </row>
    <row r="24" ht="12.75" customHeight="1">
      <c r="A24" s="581">
        <v>3838.0</v>
      </c>
      <c r="B24" s="549" t="s">
        <v>333</v>
      </c>
      <c r="C24" s="578">
        <v>94932.0</v>
      </c>
      <c r="D24" s="579">
        <v>127580.0</v>
      </c>
      <c r="E24" s="579">
        <v>363276.0</v>
      </c>
      <c r="F24" s="579">
        <f t="shared" si="3"/>
        <v>585788</v>
      </c>
      <c r="G24" s="632">
        <f>+F24/'Alloc by Sector'!$C$11</f>
        <v>0.00821399151</v>
      </c>
      <c r="H24" s="578">
        <f t="shared" si="4"/>
        <v>3513.051963</v>
      </c>
      <c r="I24" s="579">
        <f t="shared" si="5"/>
        <v>1369.019985</v>
      </c>
      <c r="J24" s="579">
        <f t="shared" si="6"/>
        <v>3901.783014</v>
      </c>
      <c r="K24" s="579">
        <f t="shared" si="7"/>
        <v>2831.29993</v>
      </c>
      <c r="L24" s="580">
        <f t="shared" si="8"/>
        <v>1342.083249</v>
      </c>
      <c r="M24" s="549"/>
      <c r="N24" s="549"/>
      <c r="O24" s="549"/>
      <c r="P24" s="549"/>
      <c r="Q24" s="549"/>
      <c r="R24" s="549"/>
      <c r="S24" s="549"/>
      <c r="T24" s="549"/>
      <c r="U24" s="549"/>
      <c r="V24" s="549"/>
      <c r="W24" s="549"/>
      <c r="X24" s="549"/>
      <c r="Y24" s="549"/>
      <c r="Z24" s="549"/>
    </row>
    <row r="25" ht="12.75" customHeight="1">
      <c r="A25" s="581">
        <v>3043.0</v>
      </c>
      <c r="B25" s="549" t="s">
        <v>334</v>
      </c>
      <c r="C25" s="578">
        <v>8821773.0</v>
      </c>
      <c r="D25" s="579">
        <v>2324444.0</v>
      </c>
      <c r="E25" s="579">
        <v>927189.0</v>
      </c>
      <c r="F25" s="579">
        <f t="shared" si="3"/>
        <v>12073406</v>
      </c>
      <c r="G25" s="632">
        <f>+F25/'Alloc by Sector'!$C$11</f>
        <v>0.1692947865</v>
      </c>
      <c r="H25" s="579">
        <f t="shared" si="4"/>
        <v>72405.89197</v>
      </c>
      <c r="I25" s="579">
        <f t="shared" si="5"/>
        <v>28216.23882</v>
      </c>
      <c r="J25" s="579">
        <f t="shared" si="6"/>
        <v>80417.84819</v>
      </c>
      <c r="K25" s="579">
        <f t="shared" si="7"/>
        <v>58354.61559</v>
      </c>
      <c r="L25" s="580">
        <f t="shared" si="8"/>
        <v>27661.05819</v>
      </c>
      <c r="M25" s="549"/>
      <c r="N25" s="549"/>
      <c r="O25" s="549"/>
      <c r="P25" s="549"/>
      <c r="Q25" s="549"/>
      <c r="R25" s="549"/>
      <c r="S25" s="549"/>
      <c r="T25" s="549"/>
      <c r="U25" s="549"/>
      <c r="V25" s="549"/>
      <c r="W25" s="549"/>
      <c r="X25" s="549"/>
      <c r="Y25" s="549"/>
      <c r="Z25" s="549"/>
    </row>
    <row r="26" ht="12.75" customHeight="1">
      <c r="A26" s="581">
        <v>2080.0</v>
      </c>
      <c r="B26" s="549" t="s">
        <v>335</v>
      </c>
      <c r="C26" s="578">
        <v>1.0401999E7</v>
      </c>
      <c r="D26" s="579">
        <v>1969250.0</v>
      </c>
      <c r="E26" s="579">
        <v>956646.0</v>
      </c>
      <c r="F26" s="579">
        <f t="shared" si="3"/>
        <v>13327895</v>
      </c>
      <c r="G26" s="632">
        <f>+F26/'Alloc by Sector'!$C$11</f>
        <v>0.1868853858</v>
      </c>
      <c r="H26" s="579">
        <f t="shared" si="4"/>
        <v>79929.23667</v>
      </c>
      <c r="I26" s="579">
        <f t="shared" si="5"/>
        <v>31148.0512</v>
      </c>
      <c r="J26" s="579">
        <f t="shared" si="6"/>
        <v>88773.67636</v>
      </c>
      <c r="K26" s="579">
        <f t="shared" si="7"/>
        <v>64417.96038</v>
      </c>
      <c r="L26" s="580">
        <f t="shared" si="8"/>
        <v>30535.18445</v>
      </c>
      <c r="M26" s="549"/>
      <c r="N26" s="549"/>
      <c r="O26" s="549"/>
      <c r="P26" s="549"/>
      <c r="Q26" s="549"/>
      <c r="R26" s="549"/>
      <c r="S26" s="549"/>
      <c r="T26" s="549"/>
      <c r="U26" s="549"/>
      <c r="V26" s="549"/>
      <c r="W26" s="549"/>
      <c r="X26" s="549"/>
      <c r="Y26" s="549"/>
      <c r="Z26" s="549"/>
    </row>
    <row r="27" ht="12.75" customHeight="1">
      <c r="A27" s="581">
        <v>2083.0</v>
      </c>
      <c r="B27" s="549" t="s">
        <v>336</v>
      </c>
      <c r="C27" s="578">
        <v>5996558.0</v>
      </c>
      <c r="D27" s="579">
        <v>1928818.0</v>
      </c>
      <c r="E27" s="579">
        <v>544576.0</v>
      </c>
      <c r="F27" s="579">
        <f t="shared" si="3"/>
        <v>8469952</v>
      </c>
      <c r="G27" s="632">
        <f>+F27/'Alloc by Sector'!$C$11</f>
        <v>0.1187667105</v>
      </c>
      <c r="H27" s="579">
        <f t="shared" si="4"/>
        <v>50795.47805</v>
      </c>
      <c r="I27" s="579">
        <f t="shared" si="5"/>
        <v>19794.76118</v>
      </c>
      <c r="J27" s="579">
        <f t="shared" si="6"/>
        <v>56416.16907</v>
      </c>
      <c r="K27" s="579">
        <f t="shared" si="7"/>
        <v>40937.97501</v>
      </c>
      <c r="L27" s="580">
        <f t="shared" si="8"/>
        <v>19405.28092</v>
      </c>
      <c r="M27" s="549"/>
      <c r="N27" s="549"/>
      <c r="O27" s="549"/>
      <c r="P27" s="549"/>
      <c r="Q27" s="549"/>
      <c r="R27" s="549"/>
      <c r="S27" s="549"/>
      <c r="T27" s="549"/>
      <c r="U27" s="549"/>
      <c r="V27" s="549"/>
      <c r="W27" s="549"/>
      <c r="X27" s="549"/>
      <c r="Y27" s="549"/>
      <c r="Z27" s="549"/>
    </row>
    <row r="28" ht="12.75" customHeight="1">
      <c r="A28" s="581">
        <v>2905.0</v>
      </c>
      <c r="B28" s="549" t="s">
        <v>337</v>
      </c>
      <c r="C28" s="578">
        <v>86244.0</v>
      </c>
      <c r="D28" s="579">
        <v>73488.0</v>
      </c>
      <c r="E28" s="579">
        <v>20997.0</v>
      </c>
      <c r="F28" s="579">
        <f t="shared" si="3"/>
        <v>180729</v>
      </c>
      <c r="G28" s="632">
        <f>+F28/'Alloc by Sector'!$C$11</f>
        <v>0.002534204305</v>
      </c>
      <c r="H28" s="578">
        <f t="shared" si="4"/>
        <v>1083.856904</v>
      </c>
      <c r="I28" s="579">
        <f t="shared" si="5"/>
        <v>422.3739867</v>
      </c>
      <c r="J28" s="579">
        <f t="shared" si="6"/>
        <v>1203.789327</v>
      </c>
      <c r="K28" s="579">
        <f t="shared" si="7"/>
        <v>873.5208045</v>
      </c>
      <c r="L28" s="580">
        <f t="shared" si="8"/>
        <v>414.0633874</v>
      </c>
      <c r="M28" s="549"/>
      <c r="N28" s="549"/>
      <c r="O28" s="549"/>
      <c r="P28" s="549"/>
      <c r="Q28" s="549"/>
      <c r="R28" s="549"/>
      <c r="S28" s="549"/>
      <c r="T28" s="549"/>
      <c r="U28" s="549"/>
      <c r="V28" s="549"/>
      <c r="W28" s="549"/>
      <c r="X28" s="549"/>
      <c r="Y28" s="549"/>
      <c r="Z28" s="549"/>
    </row>
    <row r="29" ht="12.75" customHeight="1">
      <c r="A29" s="581">
        <v>2028.0</v>
      </c>
      <c r="B29" s="549" t="s">
        <v>338</v>
      </c>
      <c r="C29" s="578">
        <v>5647277.0</v>
      </c>
      <c r="D29" s="579">
        <v>3570989.0</v>
      </c>
      <c r="E29" s="579">
        <v>3365798.0</v>
      </c>
      <c r="F29" s="579">
        <f t="shared" si="3"/>
        <v>12584064</v>
      </c>
      <c r="G29" s="632">
        <f>+F29/'Alloc by Sector'!$C$11</f>
        <v>0.1764552959</v>
      </c>
      <c r="H29" s="578">
        <f t="shared" si="4"/>
        <v>75468.37889</v>
      </c>
      <c r="I29" s="579">
        <f t="shared" si="5"/>
        <v>29409.6757</v>
      </c>
      <c r="J29" s="579">
        <f t="shared" si="6"/>
        <v>83819.20963</v>
      </c>
      <c r="K29" s="579">
        <f t="shared" si="7"/>
        <v>60822.78831</v>
      </c>
      <c r="L29" s="580">
        <f t="shared" si="8"/>
        <v>28831.0131</v>
      </c>
      <c r="M29" s="549"/>
      <c r="N29" s="549"/>
      <c r="O29" s="549"/>
      <c r="P29" s="549"/>
      <c r="Q29" s="549"/>
      <c r="R29" s="549"/>
      <c r="S29" s="549"/>
      <c r="T29" s="549"/>
      <c r="U29" s="549"/>
      <c r="V29" s="549"/>
      <c r="W29" s="549"/>
      <c r="X29" s="549"/>
      <c r="Y29" s="549"/>
      <c r="Z29" s="549"/>
    </row>
    <row r="30" ht="12.75" customHeight="1">
      <c r="A30" s="581">
        <v>1802.0</v>
      </c>
      <c r="B30" s="549" t="s">
        <v>337</v>
      </c>
      <c r="C30" s="578">
        <v>168165.0</v>
      </c>
      <c r="D30" s="579">
        <v>127580.0</v>
      </c>
      <c r="E30" s="579">
        <v>366125.0</v>
      </c>
      <c r="F30" s="579">
        <f t="shared" si="3"/>
        <v>661870</v>
      </c>
      <c r="G30" s="632">
        <f>+F30/'Alloc by Sector'!$C$11</f>
        <v>0.009280822688</v>
      </c>
      <c r="H30" s="578">
        <f t="shared" si="4"/>
        <v>3969.326279</v>
      </c>
      <c r="I30" s="579">
        <f t="shared" si="5"/>
        <v>1546.827961</v>
      </c>
      <c r="J30" s="579">
        <f t="shared" si="6"/>
        <v>4408.545624</v>
      </c>
      <c r="K30" s="579">
        <f t="shared" si="7"/>
        <v>3199.028462</v>
      </c>
      <c r="L30" s="580">
        <f t="shared" si="8"/>
        <v>1516.392689</v>
      </c>
      <c r="M30" s="549"/>
      <c r="N30" s="549"/>
      <c r="O30" s="549"/>
      <c r="P30" s="549"/>
      <c r="Q30" s="549"/>
      <c r="R30" s="549"/>
      <c r="S30" s="549"/>
      <c r="T30" s="549"/>
      <c r="U30" s="549"/>
      <c r="V30" s="549"/>
      <c r="W30" s="549"/>
      <c r="X30" s="549"/>
      <c r="Y30" s="549"/>
      <c r="Z30" s="549"/>
    </row>
    <row r="31" ht="12.75" customHeight="1">
      <c r="A31" s="581">
        <v>4360.0</v>
      </c>
      <c r="B31" s="549" t="s">
        <v>339</v>
      </c>
      <c r="C31" s="578">
        <v>209508.0</v>
      </c>
      <c r="D31" s="579">
        <v>78466.0</v>
      </c>
      <c r="E31" s="579">
        <v>39753.0</v>
      </c>
      <c r="F31" s="579">
        <f t="shared" si="3"/>
        <v>327727</v>
      </c>
      <c r="G31" s="632">
        <f>+F31/'Alloc by Sector'!$C$11</f>
        <v>0.004595428373</v>
      </c>
      <c r="H31" s="578">
        <f t="shared" si="4"/>
        <v>1965.424318</v>
      </c>
      <c r="I31" s="579">
        <f t="shared" si="5"/>
        <v>765.9167014</v>
      </c>
      <c r="J31" s="579">
        <f t="shared" si="6"/>
        <v>2182.90515</v>
      </c>
      <c r="K31" s="579">
        <f t="shared" si="7"/>
        <v>1584.008945</v>
      </c>
      <c r="L31" s="580">
        <f t="shared" si="8"/>
        <v>750.8465811</v>
      </c>
      <c r="M31" s="549"/>
      <c r="N31" s="549"/>
      <c r="O31" s="549"/>
      <c r="P31" s="549"/>
      <c r="Q31" s="549"/>
      <c r="R31" s="549"/>
      <c r="S31" s="549"/>
      <c r="T31" s="549"/>
      <c r="U31" s="549"/>
      <c r="V31" s="549"/>
      <c r="W31" s="549"/>
      <c r="X31" s="549"/>
      <c r="Y31" s="549"/>
      <c r="Z31" s="549"/>
    </row>
    <row r="32" ht="12.75" customHeight="1">
      <c r="A32" s="581">
        <v>3957.0</v>
      </c>
      <c r="B32" s="549" t="s">
        <v>340</v>
      </c>
      <c r="C32" s="578">
        <v>0.0</v>
      </c>
      <c r="D32" s="579">
        <v>218621.0</v>
      </c>
      <c r="E32" s="579">
        <v>254124.0</v>
      </c>
      <c r="F32" s="579">
        <f t="shared" si="3"/>
        <v>472745</v>
      </c>
      <c r="G32" s="632">
        <f>+F32/'Alloc by Sector'!$C$11</f>
        <v>0.006628888636</v>
      </c>
      <c r="H32" s="578">
        <f t="shared" si="4"/>
        <v>2835.117398</v>
      </c>
      <c r="I32" s="579">
        <f t="shared" si="5"/>
        <v>1104.832043</v>
      </c>
      <c r="J32" s="579">
        <f t="shared" si="6"/>
        <v>3148.832703</v>
      </c>
      <c r="K32" s="579">
        <f t="shared" si="7"/>
        <v>2284.927116</v>
      </c>
      <c r="L32" s="580">
        <f t="shared" si="8"/>
        <v>1083.09345</v>
      </c>
      <c r="M32" s="549"/>
      <c r="N32" s="549"/>
      <c r="O32" s="549"/>
      <c r="P32" s="549"/>
      <c r="Q32" s="549"/>
      <c r="R32" s="549"/>
      <c r="S32" s="549"/>
      <c r="T32" s="549"/>
      <c r="U32" s="549"/>
      <c r="V32" s="549"/>
      <c r="W32" s="549"/>
      <c r="X32" s="549"/>
      <c r="Y32" s="549"/>
      <c r="Z32" s="549"/>
    </row>
    <row r="33" ht="12.75" customHeight="1">
      <c r="A33" s="587">
        <v>3662.0</v>
      </c>
      <c r="B33" s="588" t="s">
        <v>341</v>
      </c>
      <c r="C33" s="589">
        <v>6629999.0</v>
      </c>
      <c r="D33" s="590">
        <v>5090344.0</v>
      </c>
      <c r="E33" s="590">
        <v>3775199.0</v>
      </c>
      <c r="F33" s="590">
        <f t="shared" si="3"/>
        <v>15495542</v>
      </c>
      <c r="G33" s="632">
        <f>+F33/'Alloc by Sector'!$C$11</f>
        <v>0.2172803991</v>
      </c>
      <c r="H33" s="578">
        <f t="shared" si="4"/>
        <v>92928.91667</v>
      </c>
      <c r="I33" s="579">
        <f t="shared" si="5"/>
        <v>36213.96594</v>
      </c>
      <c r="J33" s="579">
        <f t="shared" si="6"/>
        <v>103211.8148</v>
      </c>
      <c r="K33" s="579">
        <f t="shared" si="7"/>
        <v>74894.88855</v>
      </c>
      <c r="L33" s="580">
        <f t="shared" si="8"/>
        <v>35501.42263</v>
      </c>
      <c r="M33" s="549"/>
      <c r="N33" s="549"/>
      <c r="O33" s="549"/>
      <c r="P33" s="549"/>
      <c r="Q33" s="549"/>
      <c r="R33" s="549"/>
      <c r="S33" s="549"/>
      <c r="T33" s="549"/>
      <c r="U33" s="549"/>
      <c r="V33" s="549"/>
      <c r="W33" s="549"/>
      <c r="X33" s="549"/>
      <c r="Y33" s="549"/>
      <c r="Z33" s="549"/>
    </row>
    <row r="34" ht="12.75" customHeight="1">
      <c r="A34" s="633" t="s">
        <v>10</v>
      </c>
      <c r="B34" s="156"/>
      <c r="C34" s="634">
        <f t="shared" ref="C34:F34" si="9">SUM(C23:C33)</f>
        <v>40003505</v>
      </c>
      <c r="D34" s="635">
        <f t="shared" si="9"/>
        <v>19148863</v>
      </c>
      <c r="E34" s="635">
        <f t="shared" si="9"/>
        <v>12163508</v>
      </c>
      <c r="F34" s="636">
        <f t="shared" si="9"/>
        <v>71315876</v>
      </c>
      <c r="G34" s="637">
        <f>+F34/'Alloc by Sector'!$C$11</f>
        <v>1</v>
      </c>
      <c r="H34" s="634">
        <f t="shared" ref="H34:L34" si="10">SUM(H23:H33)</f>
        <v>427691.2094</v>
      </c>
      <c r="I34" s="635">
        <f t="shared" si="10"/>
        <v>166669.272</v>
      </c>
      <c r="J34" s="635">
        <f t="shared" si="10"/>
        <v>475016.6846</v>
      </c>
      <c r="K34" s="635">
        <f t="shared" si="10"/>
        <v>344692.337</v>
      </c>
      <c r="L34" s="636">
        <f t="shared" si="10"/>
        <v>163389.8998</v>
      </c>
      <c r="M34" s="549"/>
      <c r="N34" s="549"/>
      <c r="O34" s="549"/>
      <c r="P34" s="549"/>
      <c r="Q34" s="549"/>
      <c r="R34" s="549"/>
      <c r="S34" s="549"/>
      <c r="T34" s="549"/>
      <c r="U34" s="549"/>
      <c r="V34" s="549"/>
      <c r="W34" s="549"/>
      <c r="X34" s="549"/>
      <c r="Y34" s="549"/>
      <c r="Z34" s="549"/>
    </row>
    <row r="35" ht="12.75" customHeight="1">
      <c r="A35" s="552"/>
      <c r="B35" s="549"/>
      <c r="C35" s="553"/>
      <c r="D35" s="553"/>
      <c r="E35" s="553"/>
      <c r="F35" s="553"/>
      <c r="G35" s="601"/>
      <c r="H35" s="638"/>
      <c r="I35" s="638"/>
      <c r="J35" s="638"/>
      <c r="K35" s="638"/>
      <c r="L35" s="638"/>
      <c r="M35" s="549"/>
      <c r="N35" s="549"/>
      <c r="O35" s="549"/>
      <c r="P35" s="549"/>
      <c r="Q35" s="549"/>
      <c r="R35" s="549"/>
      <c r="S35" s="549"/>
      <c r="T35" s="549"/>
      <c r="U35" s="549"/>
      <c r="V35" s="549"/>
      <c r="W35" s="549"/>
      <c r="X35" s="549"/>
      <c r="Y35" s="549"/>
      <c r="Z35" s="549"/>
    </row>
    <row r="36" ht="12.75" customHeight="1">
      <c r="A36" s="549"/>
      <c r="B36" s="549"/>
      <c r="C36" s="549"/>
      <c r="D36" s="549"/>
      <c r="E36" s="549"/>
      <c r="F36" s="549"/>
      <c r="G36" s="549"/>
      <c r="H36" s="549"/>
      <c r="I36" s="549"/>
      <c r="J36" s="549"/>
      <c r="K36" s="549"/>
      <c r="L36" s="549"/>
      <c r="M36" s="549"/>
      <c r="N36" s="549"/>
      <c r="O36" s="549"/>
      <c r="P36" s="549"/>
      <c r="Q36" s="549"/>
      <c r="R36" s="549"/>
      <c r="S36" s="549"/>
      <c r="T36" s="549"/>
      <c r="U36" s="549"/>
      <c r="V36" s="549"/>
      <c r="W36" s="549"/>
      <c r="X36" s="549"/>
      <c r="Y36" s="549"/>
      <c r="Z36" s="549"/>
    </row>
    <row r="37" ht="12.75" customHeight="1">
      <c r="A37" s="549"/>
      <c r="B37" s="549"/>
      <c r="C37" s="549"/>
      <c r="D37" s="549"/>
      <c r="E37" s="549"/>
      <c r="F37" s="549"/>
      <c r="G37" s="549"/>
      <c r="H37" s="638"/>
      <c r="I37" s="638"/>
      <c r="J37" s="638"/>
      <c r="K37" s="638"/>
      <c r="L37" s="638"/>
      <c r="M37" s="549"/>
      <c r="N37" s="549"/>
      <c r="O37" s="549"/>
      <c r="P37" s="549"/>
      <c r="Q37" s="549"/>
      <c r="R37" s="549"/>
      <c r="S37" s="549"/>
      <c r="T37" s="549"/>
      <c r="U37" s="549"/>
      <c r="V37" s="549"/>
      <c r="W37" s="549"/>
      <c r="X37" s="549"/>
      <c r="Y37" s="549"/>
      <c r="Z37" s="549"/>
    </row>
    <row r="38" ht="12.75" customHeight="1">
      <c r="A38" s="549"/>
      <c r="B38" s="549"/>
      <c r="C38" s="549"/>
      <c r="D38" s="549"/>
      <c r="E38" s="549"/>
      <c r="F38" s="549"/>
      <c r="G38" s="549"/>
      <c r="H38" s="549"/>
      <c r="I38" s="549"/>
      <c r="J38" s="549"/>
      <c r="K38" s="553"/>
      <c r="L38" s="549"/>
      <c r="M38" s="549"/>
      <c r="N38" s="549"/>
      <c r="O38" s="549"/>
      <c r="P38" s="549"/>
      <c r="Q38" s="549"/>
      <c r="R38" s="549"/>
      <c r="S38" s="549"/>
      <c r="T38" s="549"/>
      <c r="U38" s="549"/>
      <c r="V38" s="549"/>
      <c r="W38" s="549"/>
      <c r="X38" s="549"/>
      <c r="Y38" s="549"/>
      <c r="Z38" s="549"/>
    </row>
    <row r="39" ht="12.75" customHeight="1">
      <c r="A39" s="397"/>
      <c r="B39" s="397"/>
      <c r="C39" s="397"/>
      <c r="D39" s="397"/>
      <c r="E39" s="397"/>
      <c r="F39" s="397"/>
      <c r="G39" s="397"/>
      <c r="H39" s="397"/>
      <c r="I39" s="397"/>
      <c r="J39" s="397"/>
      <c r="K39" s="397"/>
      <c r="L39" s="397"/>
      <c r="M39" s="397"/>
      <c r="N39" s="397"/>
      <c r="O39" s="397"/>
      <c r="P39" s="397"/>
      <c r="Q39" s="397"/>
      <c r="R39" s="397"/>
      <c r="S39" s="397"/>
      <c r="T39" s="397"/>
      <c r="U39" s="397"/>
      <c r="V39" s="397"/>
      <c r="W39" s="397"/>
      <c r="X39" s="397"/>
      <c r="Y39" s="397"/>
      <c r="Z39" s="397"/>
    </row>
    <row r="40" ht="12.75" customHeight="1">
      <c r="A40" s="397"/>
      <c r="B40" s="397"/>
      <c r="C40" s="397"/>
      <c r="D40" s="397"/>
      <c r="E40" s="397"/>
      <c r="F40" s="397"/>
      <c r="G40" s="397"/>
      <c r="H40" s="397"/>
      <c r="I40" s="397"/>
      <c r="J40" s="397"/>
      <c r="K40" s="397"/>
      <c r="L40" s="397"/>
      <c r="M40" s="397"/>
      <c r="N40" s="397"/>
      <c r="O40" s="397"/>
      <c r="P40" s="397"/>
      <c r="Q40" s="397"/>
      <c r="R40" s="397"/>
      <c r="S40" s="397"/>
      <c r="T40" s="397"/>
      <c r="U40" s="397"/>
      <c r="V40" s="397"/>
      <c r="W40" s="397"/>
      <c r="X40" s="397"/>
      <c r="Y40" s="397"/>
      <c r="Z40" s="397"/>
    </row>
    <row r="41" ht="12.75" customHeight="1">
      <c r="A41" s="397"/>
      <c r="B41" s="397"/>
      <c r="C41" s="397"/>
      <c r="D41" s="397"/>
      <c r="E41" s="397"/>
      <c r="F41" s="397"/>
      <c r="G41" s="397"/>
      <c r="H41" s="397"/>
      <c r="I41" s="397"/>
      <c r="J41" s="397"/>
      <c r="K41" s="397"/>
      <c r="L41" s="397"/>
      <c r="M41" s="397"/>
      <c r="N41" s="397"/>
      <c r="O41" s="397"/>
      <c r="P41" s="397"/>
      <c r="Q41" s="397"/>
      <c r="R41" s="397"/>
      <c r="S41" s="397"/>
      <c r="T41" s="397"/>
      <c r="U41" s="397"/>
      <c r="V41" s="397"/>
      <c r="W41" s="397"/>
      <c r="X41" s="397"/>
      <c r="Y41" s="397"/>
      <c r="Z41" s="397"/>
    </row>
    <row r="42" ht="12.75" customHeight="1">
      <c r="A42" s="397"/>
      <c r="B42" s="397"/>
      <c r="C42" s="397"/>
      <c r="D42" s="397"/>
      <c r="E42" s="397"/>
      <c r="F42" s="397"/>
      <c r="G42" s="397"/>
      <c r="H42" s="397"/>
      <c r="I42" s="397"/>
      <c r="J42" s="397"/>
      <c r="K42" s="397"/>
      <c r="L42" s="397"/>
      <c r="M42" s="397"/>
      <c r="N42" s="397"/>
      <c r="O42" s="397"/>
      <c r="P42" s="397"/>
      <c r="Q42" s="397"/>
      <c r="R42" s="397"/>
      <c r="S42" s="397"/>
      <c r="T42" s="397"/>
      <c r="U42" s="397"/>
      <c r="V42" s="397"/>
      <c r="W42" s="397"/>
      <c r="X42" s="397"/>
      <c r="Y42" s="397"/>
      <c r="Z42" s="397"/>
    </row>
    <row r="43" ht="12.75" customHeight="1">
      <c r="A43" s="397"/>
      <c r="B43" s="397"/>
      <c r="C43" s="397"/>
      <c r="D43" s="397"/>
      <c r="E43" s="397"/>
      <c r="F43" s="397"/>
      <c r="G43" s="397"/>
      <c r="H43" s="397"/>
      <c r="I43" s="397"/>
      <c r="J43" s="397"/>
      <c r="K43" s="397"/>
      <c r="L43" s="397"/>
      <c r="M43" s="397"/>
      <c r="N43" s="397"/>
      <c r="O43" s="397"/>
      <c r="P43" s="397"/>
      <c r="Q43" s="397"/>
      <c r="R43" s="397"/>
      <c r="S43" s="397"/>
      <c r="T43" s="397"/>
      <c r="U43" s="397"/>
      <c r="V43" s="397"/>
      <c r="W43" s="397"/>
      <c r="X43" s="397"/>
      <c r="Y43" s="397"/>
      <c r="Z43" s="397"/>
    </row>
    <row r="44" ht="12.75" customHeight="1">
      <c r="A44" s="397"/>
      <c r="B44" s="397"/>
      <c r="C44" s="397"/>
      <c r="D44" s="397"/>
      <c r="E44" s="397"/>
      <c r="F44" s="397"/>
      <c r="G44" s="397"/>
      <c r="H44" s="397"/>
      <c r="I44" s="397"/>
      <c r="J44" s="397"/>
      <c r="K44" s="397"/>
      <c r="L44" s="397"/>
      <c r="M44" s="397"/>
      <c r="N44" s="397"/>
      <c r="O44" s="397"/>
      <c r="P44" s="397"/>
      <c r="Q44" s="397"/>
      <c r="R44" s="397"/>
      <c r="S44" s="397"/>
      <c r="T44" s="397"/>
      <c r="U44" s="397"/>
      <c r="V44" s="397"/>
      <c r="W44" s="397"/>
      <c r="X44" s="397"/>
      <c r="Y44" s="397"/>
      <c r="Z44" s="397"/>
    </row>
    <row r="45" ht="12.75" customHeight="1">
      <c r="A45" s="397"/>
      <c r="B45" s="397"/>
      <c r="C45" s="397"/>
      <c r="D45" s="397"/>
      <c r="E45" s="397"/>
      <c r="F45" s="397"/>
      <c r="G45" s="397"/>
      <c r="H45" s="397"/>
      <c r="I45" s="397"/>
      <c r="J45" s="397"/>
      <c r="K45" s="397"/>
      <c r="L45" s="397"/>
      <c r="M45" s="397"/>
      <c r="N45" s="397"/>
      <c r="O45" s="397"/>
      <c r="P45" s="397"/>
      <c r="Q45" s="397"/>
      <c r="R45" s="397"/>
      <c r="S45" s="397"/>
      <c r="T45" s="397"/>
      <c r="U45" s="397"/>
      <c r="V45" s="397"/>
      <c r="W45" s="397"/>
      <c r="X45" s="397"/>
      <c r="Y45" s="397"/>
      <c r="Z45" s="397"/>
    </row>
    <row r="46" ht="12.75" customHeight="1">
      <c r="A46" s="397"/>
      <c r="B46" s="397"/>
      <c r="C46" s="397"/>
      <c r="D46" s="397"/>
      <c r="E46" s="397"/>
      <c r="F46" s="397"/>
      <c r="G46" s="397"/>
      <c r="H46" s="397"/>
      <c r="I46" s="397"/>
      <c r="J46" s="397"/>
      <c r="K46" s="397"/>
      <c r="L46" s="397"/>
      <c r="M46" s="397"/>
      <c r="N46" s="397"/>
      <c r="O46" s="397"/>
      <c r="P46" s="397"/>
      <c r="Q46" s="397"/>
      <c r="R46" s="397"/>
      <c r="S46" s="397"/>
      <c r="T46" s="397"/>
      <c r="U46" s="397"/>
      <c r="V46" s="397"/>
      <c r="W46" s="397"/>
      <c r="X46" s="397"/>
      <c r="Y46" s="397"/>
      <c r="Z46" s="397"/>
    </row>
    <row r="47" ht="12.75" customHeight="1">
      <c r="A47" s="397"/>
      <c r="B47" s="397"/>
      <c r="C47" s="397"/>
      <c r="D47" s="397"/>
      <c r="E47" s="397"/>
      <c r="F47" s="397"/>
      <c r="G47" s="397"/>
      <c r="H47" s="397"/>
      <c r="I47" s="397"/>
      <c r="J47" s="397"/>
      <c r="K47" s="397"/>
      <c r="L47" s="397"/>
      <c r="M47" s="397"/>
      <c r="N47" s="397"/>
      <c r="O47" s="397"/>
      <c r="P47" s="397"/>
      <c r="Q47" s="397"/>
      <c r="R47" s="397"/>
      <c r="S47" s="397"/>
      <c r="T47" s="397"/>
      <c r="U47" s="397"/>
      <c r="V47" s="397"/>
      <c r="W47" s="397"/>
      <c r="X47" s="397"/>
      <c r="Y47" s="397"/>
      <c r="Z47" s="397"/>
    </row>
    <row r="48" ht="12.75" customHeight="1">
      <c r="A48" s="397"/>
      <c r="B48" s="397"/>
      <c r="C48" s="397"/>
      <c r="D48" s="397"/>
      <c r="E48" s="397"/>
      <c r="F48" s="397"/>
      <c r="G48" s="397"/>
      <c r="H48" s="397"/>
      <c r="I48" s="397"/>
      <c r="J48" s="397"/>
      <c r="K48" s="397"/>
      <c r="L48" s="397"/>
      <c r="M48" s="397"/>
      <c r="N48" s="397"/>
      <c r="O48" s="397"/>
      <c r="P48" s="397"/>
      <c r="Q48" s="397"/>
      <c r="R48" s="397"/>
      <c r="S48" s="397"/>
      <c r="T48" s="397"/>
      <c r="U48" s="397"/>
      <c r="V48" s="397"/>
      <c r="W48" s="397"/>
      <c r="X48" s="397"/>
      <c r="Y48" s="397"/>
      <c r="Z48" s="397"/>
    </row>
    <row r="49" ht="12.75" customHeight="1">
      <c r="A49" s="397"/>
      <c r="B49" s="397"/>
      <c r="C49" s="397"/>
      <c r="D49" s="397"/>
      <c r="E49" s="397"/>
      <c r="F49" s="397"/>
      <c r="G49" s="397"/>
      <c r="H49" s="397"/>
      <c r="I49" s="397"/>
      <c r="J49" s="397"/>
      <c r="K49" s="397"/>
      <c r="L49" s="397"/>
      <c r="M49" s="397"/>
      <c r="N49" s="397"/>
      <c r="O49" s="397"/>
      <c r="P49" s="397"/>
      <c r="Q49" s="397"/>
      <c r="R49" s="397"/>
      <c r="S49" s="397"/>
      <c r="T49" s="397"/>
      <c r="U49" s="397"/>
      <c r="V49" s="397"/>
      <c r="W49" s="397"/>
      <c r="X49" s="397"/>
      <c r="Y49" s="397"/>
      <c r="Z49" s="397"/>
    </row>
    <row r="50" ht="12.75" customHeight="1">
      <c r="A50" s="397"/>
      <c r="B50" s="397"/>
      <c r="C50" s="397"/>
      <c r="D50" s="397"/>
      <c r="E50" s="397"/>
      <c r="F50" s="397"/>
      <c r="G50" s="397"/>
      <c r="H50" s="397"/>
      <c r="I50" s="397"/>
      <c r="J50" s="397"/>
      <c r="K50" s="397"/>
      <c r="L50" s="397"/>
      <c r="M50" s="397"/>
      <c r="N50" s="397"/>
      <c r="O50" s="397"/>
      <c r="P50" s="397"/>
      <c r="Q50" s="397"/>
      <c r="R50" s="397"/>
      <c r="S50" s="397"/>
      <c r="T50" s="397"/>
      <c r="U50" s="397"/>
      <c r="V50" s="397"/>
      <c r="W50" s="397"/>
      <c r="X50" s="397"/>
      <c r="Y50" s="397"/>
      <c r="Z50" s="397"/>
    </row>
    <row r="51" ht="12.75" customHeight="1">
      <c r="A51" s="397"/>
      <c r="B51" s="397"/>
      <c r="C51" s="397"/>
      <c r="D51" s="397"/>
      <c r="E51" s="397"/>
      <c r="F51" s="397"/>
      <c r="G51" s="397"/>
      <c r="H51" s="397"/>
      <c r="I51" s="397"/>
      <c r="J51" s="397"/>
      <c r="K51" s="397"/>
      <c r="L51" s="397"/>
      <c r="M51" s="397"/>
      <c r="N51" s="397"/>
      <c r="O51" s="397"/>
      <c r="P51" s="397"/>
      <c r="Q51" s="397"/>
      <c r="R51" s="397"/>
      <c r="S51" s="397"/>
      <c r="T51" s="397"/>
      <c r="U51" s="397"/>
      <c r="V51" s="397"/>
      <c r="W51" s="397"/>
      <c r="X51" s="397"/>
      <c r="Y51" s="397"/>
      <c r="Z51" s="397"/>
    </row>
    <row r="52" ht="12.75" customHeight="1">
      <c r="A52" s="397"/>
      <c r="B52" s="397"/>
      <c r="C52" s="397"/>
      <c r="D52" s="397"/>
      <c r="E52" s="397"/>
      <c r="F52" s="397"/>
      <c r="G52" s="397"/>
      <c r="H52" s="397"/>
      <c r="I52" s="397"/>
      <c r="J52" s="397"/>
      <c r="K52" s="397"/>
      <c r="L52" s="397"/>
      <c r="M52" s="397"/>
      <c r="N52" s="397"/>
      <c r="O52" s="397"/>
      <c r="P52" s="397"/>
      <c r="Q52" s="397"/>
      <c r="R52" s="397"/>
      <c r="S52" s="397"/>
      <c r="T52" s="397"/>
      <c r="U52" s="397"/>
      <c r="V52" s="397"/>
      <c r="W52" s="397"/>
      <c r="X52" s="397"/>
      <c r="Y52" s="397"/>
      <c r="Z52" s="397"/>
    </row>
    <row r="53" ht="12.75" customHeight="1">
      <c r="A53" s="397"/>
      <c r="B53" s="397"/>
      <c r="C53" s="397"/>
      <c r="D53" s="397"/>
      <c r="E53" s="397"/>
      <c r="F53" s="397"/>
      <c r="G53" s="397"/>
      <c r="H53" s="397"/>
      <c r="I53" s="397"/>
      <c r="J53" s="397"/>
      <c r="K53" s="397"/>
      <c r="L53" s="397"/>
      <c r="M53" s="397"/>
      <c r="N53" s="397"/>
      <c r="O53" s="397"/>
      <c r="P53" s="397"/>
      <c r="Q53" s="397"/>
      <c r="R53" s="397"/>
      <c r="S53" s="397"/>
      <c r="T53" s="397"/>
      <c r="U53" s="397"/>
      <c r="V53" s="397"/>
      <c r="W53" s="397"/>
      <c r="X53" s="397"/>
      <c r="Y53" s="397"/>
      <c r="Z53" s="397"/>
    </row>
    <row r="54" ht="12.75" customHeight="1">
      <c r="A54" s="397"/>
      <c r="B54" s="397"/>
      <c r="C54" s="397"/>
      <c r="D54" s="397"/>
      <c r="E54" s="397"/>
      <c r="F54" s="397"/>
      <c r="G54" s="397"/>
      <c r="H54" s="397"/>
      <c r="I54" s="397"/>
      <c r="J54" s="397"/>
      <c r="K54" s="397"/>
      <c r="L54" s="397"/>
      <c r="M54" s="397"/>
      <c r="N54" s="397"/>
      <c r="O54" s="397"/>
      <c r="P54" s="397"/>
      <c r="Q54" s="397"/>
      <c r="R54" s="397"/>
      <c r="S54" s="397"/>
      <c r="T54" s="397"/>
      <c r="U54" s="397"/>
      <c r="V54" s="397"/>
      <c r="W54" s="397"/>
      <c r="X54" s="397"/>
      <c r="Y54" s="397"/>
      <c r="Z54" s="397"/>
    </row>
    <row r="55" ht="12.75" customHeight="1">
      <c r="A55" s="397"/>
      <c r="B55" s="397"/>
      <c r="C55" s="397"/>
      <c r="D55" s="397"/>
      <c r="E55" s="397"/>
      <c r="F55" s="397"/>
      <c r="G55" s="397"/>
      <c r="H55" s="397"/>
      <c r="I55" s="397"/>
      <c r="J55" s="397"/>
      <c r="K55" s="397"/>
      <c r="L55" s="397"/>
      <c r="M55" s="397"/>
      <c r="N55" s="397"/>
      <c r="O55" s="397"/>
      <c r="P55" s="397"/>
      <c r="Q55" s="397"/>
      <c r="R55" s="397"/>
      <c r="S55" s="397"/>
      <c r="T55" s="397"/>
      <c r="U55" s="397"/>
      <c r="V55" s="397"/>
      <c r="W55" s="397"/>
      <c r="X55" s="397"/>
      <c r="Y55" s="397"/>
      <c r="Z55" s="397"/>
    </row>
    <row r="56" ht="12.75" customHeight="1">
      <c r="A56" s="397"/>
      <c r="B56" s="397"/>
      <c r="C56" s="397"/>
      <c r="D56" s="397"/>
      <c r="E56" s="397"/>
      <c r="F56" s="397"/>
      <c r="G56" s="397"/>
      <c r="H56" s="397"/>
      <c r="I56" s="397"/>
      <c r="J56" s="397"/>
      <c r="K56" s="397"/>
      <c r="L56" s="397"/>
      <c r="M56" s="397"/>
      <c r="N56" s="397"/>
      <c r="O56" s="397"/>
      <c r="P56" s="397"/>
      <c r="Q56" s="397"/>
      <c r="R56" s="397"/>
      <c r="S56" s="397"/>
      <c r="T56" s="397"/>
      <c r="U56" s="397"/>
      <c r="V56" s="397"/>
      <c r="W56" s="397"/>
      <c r="X56" s="397"/>
      <c r="Y56" s="397"/>
      <c r="Z56" s="397"/>
    </row>
    <row r="57" ht="12.75" customHeight="1">
      <c r="A57" s="397"/>
      <c r="B57" s="397"/>
      <c r="C57" s="397"/>
      <c r="D57" s="397"/>
      <c r="E57" s="397"/>
      <c r="F57" s="397"/>
      <c r="G57" s="397"/>
      <c r="H57" s="397"/>
      <c r="I57" s="397"/>
      <c r="J57" s="397"/>
      <c r="K57" s="397"/>
      <c r="L57" s="397"/>
      <c r="M57" s="397"/>
      <c r="N57" s="397"/>
      <c r="O57" s="397"/>
      <c r="P57" s="397"/>
      <c r="Q57" s="397"/>
      <c r="R57" s="397"/>
      <c r="S57" s="397"/>
      <c r="T57" s="397"/>
      <c r="U57" s="397"/>
      <c r="V57" s="397"/>
      <c r="W57" s="397"/>
      <c r="X57" s="397"/>
      <c r="Y57" s="397"/>
      <c r="Z57" s="397"/>
    </row>
    <row r="58" ht="12.75" customHeight="1">
      <c r="A58" s="397"/>
      <c r="B58" s="397"/>
      <c r="C58" s="397"/>
      <c r="D58" s="397"/>
      <c r="E58" s="397"/>
      <c r="F58" s="397"/>
      <c r="G58" s="397"/>
      <c r="H58" s="397"/>
      <c r="I58" s="397"/>
      <c r="J58" s="397"/>
      <c r="K58" s="397"/>
      <c r="L58" s="397"/>
      <c r="M58" s="397"/>
      <c r="N58" s="397"/>
      <c r="O58" s="397"/>
      <c r="P58" s="397"/>
      <c r="Q58" s="397"/>
      <c r="R58" s="397"/>
      <c r="S58" s="397"/>
      <c r="T58" s="397"/>
      <c r="U58" s="397"/>
      <c r="V58" s="397"/>
      <c r="W58" s="397"/>
      <c r="X58" s="397"/>
      <c r="Y58" s="397"/>
      <c r="Z58" s="397"/>
    </row>
    <row r="59" ht="12.75" customHeight="1">
      <c r="A59" s="397"/>
      <c r="B59" s="397"/>
      <c r="C59" s="397"/>
      <c r="D59" s="397"/>
      <c r="E59" s="397"/>
      <c r="F59" s="397"/>
      <c r="G59" s="397"/>
      <c r="H59" s="397"/>
      <c r="I59" s="397"/>
      <c r="J59" s="397"/>
      <c r="K59" s="397"/>
      <c r="L59" s="397"/>
      <c r="M59" s="397"/>
      <c r="N59" s="397"/>
      <c r="O59" s="397"/>
      <c r="P59" s="397"/>
      <c r="Q59" s="397"/>
      <c r="R59" s="397"/>
      <c r="S59" s="397"/>
      <c r="T59" s="397"/>
      <c r="U59" s="397"/>
      <c r="V59" s="397"/>
      <c r="W59" s="397"/>
      <c r="X59" s="397"/>
      <c r="Y59" s="397"/>
      <c r="Z59" s="397"/>
    </row>
    <row r="60" ht="12.75" customHeight="1">
      <c r="A60" s="397"/>
      <c r="B60" s="397"/>
      <c r="C60" s="397"/>
      <c r="D60" s="397"/>
      <c r="E60" s="397"/>
      <c r="F60" s="397"/>
      <c r="G60" s="397"/>
      <c r="H60" s="397"/>
      <c r="I60" s="397"/>
      <c r="J60" s="397"/>
      <c r="K60" s="397"/>
      <c r="L60" s="397"/>
      <c r="M60" s="397"/>
      <c r="N60" s="397"/>
      <c r="O60" s="397"/>
      <c r="P60" s="397"/>
      <c r="Q60" s="397"/>
      <c r="R60" s="397"/>
      <c r="S60" s="397"/>
      <c r="T60" s="397"/>
      <c r="U60" s="397"/>
      <c r="V60" s="397"/>
      <c r="W60" s="397"/>
      <c r="X60" s="397"/>
      <c r="Y60" s="397"/>
      <c r="Z60" s="397"/>
    </row>
    <row r="61" ht="12.75" customHeight="1">
      <c r="A61" s="397"/>
      <c r="B61" s="397"/>
      <c r="C61" s="397"/>
      <c r="D61" s="397"/>
      <c r="E61" s="397"/>
      <c r="F61" s="397"/>
      <c r="G61" s="397"/>
      <c r="H61" s="397"/>
      <c r="I61" s="397"/>
      <c r="J61" s="397"/>
      <c r="K61" s="397"/>
      <c r="L61" s="397"/>
      <c r="M61" s="397"/>
      <c r="N61" s="397"/>
      <c r="O61" s="397"/>
      <c r="P61" s="397"/>
      <c r="Q61" s="397"/>
      <c r="R61" s="397"/>
      <c r="S61" s="397"/>
      <c r="T61" s="397"/>
      <c r="U61" s="397"/>
      <c r="V61" s="397"/>
      <c r="W61" s="397"/>
      <c r="X61" s="397"/>
      <c r="Y61" s="397"/>
      <c r="Z61" s="397"/>
    </row>
    <row r="62" ht="12.75" customHeight="1">
      <c r="A62" s="397"/>
      <c r="B62" s="397"/>
      <c r="C62" s="397"/>
      <c r="D62" s="397"/>
      <c r="E62" s="397"/>
      <c r="F62" s="397"/>
      <c r="G62" s="397"/>
      <c r="H62" s="397"/>
      <c r="I62" s="397"/>
      <c r="J62" s="397"/>
      <c r="K62" s="397"/>
      <c r="L62" s="397"/>
      <c r="M62" s="397"/>
      <c r="N62" s="397"/>
      <c r="O62" s="397"/>
      <c r="P62" s="397"/>
      <c r="Q62" s="397"/>
      <c r="R62" s="397"/>
      <c r="S62" s="397"/>
      <c r="T62" s="397"/>
      <c r="U62" s="397"/>
      <c r="V62" s="397"/>
      <c r="W62" s="397"/>
      <c r="X62" s="397"/>
      <c r="Y62" s="397"/>
      <c r="Z62" s="397"/>
    </row>
    <row r="63" ht="12.75" customHeight="1">
      <c r="A63" s="397"/>
      <c r="B63" s="397"/>
      <c r="C63" s="397"/>
      <c r="D63" s="397"/>
      <c r="E63" s="397"/>
      <c r="F63" s="397"/>
      <c r="G63" s="397"/>
      <c r="H63" s="397"/>
      <c r="I63" s="397"/>
      <c r="J63" s="397"/>
      <c r="K63" s="397"/>
      <c r="L63" s="397"/>
      <c r="M63" s="397"/>
      <c r="N63" s="397"/>
      <c r="O63" s="397"/>
      <c r="P63" s="397"/>
      <c r="Q63" s="397"/>
      <c r="R63" s="397"/>
      <c r="S63" s="397"/>
      <c r="T63" s="397"/>
      <c r="U63" s="397"/>
      <c r="V63" s="397"/>
      <c r="W63" s="397"/>
      <c r="X63" s="397"/>
      <c r="Y63" s="397"/>
      <c r="Z63" s="397"/>
    </row>
    <row r="64" ht="12.75" customHeight="1">
      <c r="A64" s="397"/>
      <c r="B64" s="397"/>
      <c r="C64" s="397"/>
      <c r="D64" s="397"/>
      <c r="E64" s="397"/>
      <c r="F64" s="397"/>
      <c r="G64" s="397"/>
      <c r="H64" s="397"/>
      <c r="I64" s="397"/>
      <c r="J64" s="397"/>
      <c r="K64" s="397"/>
      <c r="L64" s="397"/>
      <c r="M64" s="397"/>
      <c r="N64" s="397"/>
      <c r="O64" s="397"/>
      <c r="P64" s="397"/>
      <c r="Q64" s="397"/>
      <c r="R64" s="397"/>
      <c r="S64" s="397"/>
      <c r="T64" s="397"/>
      <c r="U64" s="397"/>
      <c r="V64" s="397"/>
      <c r="W64" s="397"/>
      <c r="X64" s="397"/>
      <c r="Y64" s="397"/>
      <c r="Z64" s="397"/>
    </row>
    <row r="65" ht="12.75" customHeight="1">
      <c r="A65" s="397"/>
      <c r="B65" s="397"/>
      <c r="C65" s="397"/>
      <c r="D65" s="397"/>
      <c r="E65" s="397"/>
      <c r="F65" s="397"/>
      <c r="G65" s="397"/>
      <c r="H65" s="397"/>
      <c r="I65" s="397"/>
      <c r="J65" s="397"/>
      <c r="K65" s="397"/>
      <c r="L65" s="397"/>
      <c r="M65" s="397"/>
      <c r="N65" s="397"/>
      <c r="O65" s="397"/>
      <c r="P65" s="397"/>
      <c r="Q65" s="397"/>
      <c r="R65" s="397"/>
      <c r="S65" s="397"/>
      <c r="T65" s="397"/>
      <c r="U65" s="397"/>
      <c r="V65" s="397"/>
      <c r="W65" s="397"/>
      <c r="X65" s="397"/>
      <c r="Y65" s="397"/>
      <c r="Z65" s="397"/>
    </row>
    <row r="66" ht="12.75" customHeight="1">
      <c r="A66" s="397"/>
      <c r="B66" s="397"/>
      <c r="C66" s="397"/>
      <c r="D66" s="397"/>
      <c r="E66" s="397"/>
      <c r="F66" s="397"/>
      <c r="G66" s="397"/>
      <c r="H66" s="397"/>
      <c r="I66" s="397"/>
      <c r="J66" s="397"/>
      <c r="K66" s="397"/>
      <c r="L66" s="397"/>
      <c r="M66" s="397"/>
      <c r="N66" s="397"/>
      <c r="O66" s="397"/>
      <c r="P66" s="397"/>
      <c r="Q66" s="397"/>
      <c r="R66" s="397"/>
      <c r="S66" s="397"/>
      <c r="T66" s="397"/>
      <c r="U66" s="397"/>
      <c r="V66" s="397"/>
      <c r="W66" s="397"/>
      <c r="X66" s="397"/>
      <c r="Y66" s="397"/>
      <c r="Z66" s="397"/>
    </row>
    <row r="67" ht="12.75" customHeight="1">
      <c r="A67" s="397"/>
      <c r="B67" s="397"/>
      <c r="C67" s="397"/>
      <c r="D67" s="397"/>
      <c r="E67" s="397"/>
      <c r="F67" s="397"/>
      <c r="G67" s="397"/>
      <c r="H67" s="397"/>
      <c r="I67" s="397"/>
      <c r="J67" s="397"/>
      <c r="K67" s="397"/>
      <c r="L67" s="397"/>
      <c r="M67" s="397"/>
      <c r="N67" s="397"/>
      <c r="O67" s="397"/>
      <c r="P67" s="397"/>
      <c r="Q67" s="397"/>
      <c r="R67" s="397"/>
      <c r="S67" s="397"/>
      <c r="T67" s="397"/>
      <c r="U67" s="397"/>
      <c r="V67" s="397"/>
      <c r="W67" s="397"/>
      <c r="X67" s="397"/>
      <c r="Y67" s="397"/>
      <c r="Z67" s="397"/>
    </row>
    <row r="68" ht="12.75" customHeight="1">
      <c r="A68" s="397"/>
      <c r="B68" s="397"/>
      <c r="C68" s="397"/>
      <c r="D68" s="397"/>
      <c r="E68" s="397"/>
      <c r="F68" s="397"/>
      <c r="G68" s="397"/>
      <c r="H68" s="397"/>
      <c r="I68" s="397"/>
      <c r="J68" s="397"/>
      <c r="K68" s="397"/>
      <c r="L68" s="397"/>
      <c r="M68" s="397"/>
      <c r="N68" s="397"/>
      <c r="O68" s="397"/>
      <c r="P68" s="397"/>
      <c r="Q68" s="397"/>
      <c r="R68" s="397"/>
      <c r="S68" s="397"/>
      <c r="T68" s="397"/>
      <c r="U68" s="397"/>
      <c r="V68" s="397"/>
      <c r="W68" s="397"/>
      <c r="X68" s="397"/>
      <c r="Y68" s="397"/>
      <c r="Z68" s="397"/>
    </row>
    <row r="69" ht="12.75" customHeight="1">
      <c r="A69" s="397"/>
      <c r="B69" s="397"/>
      <c r="C69" s="397"/>
      <c r="D69" s="397"/>
      <c r="E69" s="397"/>
      <c r="F69" s="397"/>
      <c r="G69" s="397"/>
      <c r="H69" s="397"/>
      <c r="I69" s="397"/>
      <c r="J69" s="397"/>
      <c r="K69" s="397"/>
      <c r="L69" s="397"/>
      <c r="M69" s="397"/>
      <c r="N69" s="397"/>
      <c r="O69" s="397"/>
      <c r="P69" s="397"/>
      <c r="Q69" s="397"/>
      <c r="R69" s="397"/>
      <c r="S69" s="397"/>
      <c r="T69" s="397"/>
      <c r="U69" s="397"/>
      <c r="V69" s="397"/>
      <c r="W69" s="397"/>
      <c r="X69" s="397"/>
      <c r="Y69" s="397"/>
      <c r="Z69" s="397"/>
    </row>
    <row r="70" ht="12.75" customHeight="1">
      <c r="A70" s="397"/>
      <c r="B70" s="397"/>
      <c r="C70" s="397"/>
      <c r="D70" s="397"/>
      <c r="E70" s="397"/>
      <c r="F70" s="397"/>
      <c r="G70" s="397"/>
      <c r="H70" s="397"/>
      <c r="I70" s="397"/>
      <c r="J70" s="397"/>
      <c r="K70" s="397"/>
      <c r="L70" s="397"/>
      <c r="M70" s="397"/>
      <c r="N70" s="397"/>
      <c r="O70" s="397"/>
      <c r="P70" s="397"/>
      <c r="Q70" s="397"/>
      <c r="R70" s="397"/>
      <c r="S70" s="397"/>
      <c r="T70" s="397"/>
      <c r="U70" s="397"/>
      <c r="V70" s="397"/>
      <c r="W70" s="397"/>
      <c r="X70" s="397"/>
      <c r="Y70" s="397"/>
      <c r="Z70" s="397"/>
    </row>
    <row r="71" ht="12.75" customHeight="1">
      <c r="A71" s="397"/>
      <c r="B71" s="397"/>
      <c r="C71" s="397"/>
      <c r="D71" s="397"/>
      <c r="E71" s="397"/>
      <c r="F71" s="397"/>
      <c r="G71" s="397"/>
      <c r="H71" s="397"/>
      <c r="I71" s="397"/>
      <c r="J71" s="397"/>
      <c r="K71" s="397"/>
      <c r="L71" s="397"/>
      <c r="M71" s="397"/>
      <c r="N71" s="397"/>
      <c r="O71" s="397"/>
      <c r="P71" s="397"/>
      <c r="Q71" s="397"/>
      <c r="R71" s="397"/>
      <c r="S71" s="397"/>
      <c r="T71" s="397"/>
      <c r="U71" s="397"/>
      <c r="V71" s="397"/>
      <c r="W71" s="397"/>
      <c r="X71" s="397"/>
      <c r="Y71" s="397"/>
      <c r="Z71" s="397"/>
    </row>
    <row r="72" ht="12.75" customHeight="1">
      <c r="A72" s="397"/>
      <c r="B72" s="397"/>
      <c r="C72" s="397"/>
      <c r="D72" s="397"/>
      <c r="E72" s="397"/>
      <c r="F72" s="397"/>
      <c r="G72" s="397"/>
      <c r="H72" s="397"/>
      <c r="I72" s="397"/>
      <c r="J72" s="397"/>
      <c r="K72" s="397"/>
      <c r="L72" s="397"/>
      <c r="M72" s="397"/>
      <c r="N72" s="397"/>
      <c r="O72" s="397"/>
      <c r="P72" s="397"/>
      <c r="Q72" s="397"/>
      <c r="R72" s="397"/>
      <c r="S72" s="397"/>
      <c r="T72" s="397"/>
      <c r="U72" s="397"/>
      <c r="V72" s="397"/>
      <c r="W72" s="397"/>
      <c r="X72" s="397"/>
      <c r="Y72" s="397"/>
      <c r="Z72" s="397"/>
    </row>
    <row r="73" ht="12.75" customHeight="1">
      <c r="A73" s="397"/>
      <c r="B73" s="397"/>
      <c r="C73" s="397"/>
      <c r="D73" s="397"/>
      <c r="E73" s="397"/>
      <c r="F73" s="397"/>
      <c r="G73" s="397"/>
      <c r="H73" s="397"/>
      <c r="I73" s="397"/>
      <c r="J73" s="397"/>
      <c r="K73" s="397"/>
      <c r="L73" s="397"/>
      <c r="M73" s="397"/>
      <c r="N73" s="397"/>
      <c r="O73" s="397"/>
      <c r="P73" s="397"/>
      <c r="Q73" s="397"/>
      <c r="R73" s="397"/>
      <c r="S73" s="397"/>
      <c r="T73" s="397"/>
      <c r="U73" s="397"/>
      <c r="V73" s="397"/>
      <c r="W73" s="397"/>
      <c r="X73" s="397"/>
      <c r="Y73" s="397"/>
      <c r="Z73" s="397"/>
    </row>
    <row r="74" ht="12.75" customHeight="1">
      <c r="A74" s="397"/>
      <c r="B74" s="397"/>
      <c r="C74" s="397"/>
      <c r="D74" s="397"/>
      <c r="E74" s="397"/>
      <c r="F74" s="397"/>
      <c r="G74" s="397"/>
      <c r="H74" s="397"/>
      <c r="I74" s="397"/>
      <c r="J74" s="397"/>
      <c r="K74" s="397"/>
      <c r="L74" s="397"/>
      <c r="M74" s="397"/>
      <c r="N74" s="397"/>
      <c r="O74" s="397"/>
      <c r="P74" s="397"/>
      <c r="Q74" s="397"/>
      <c r="R74" s="397"/>
      <c r="S74" s="397"/>
      <c r="T74" s="397"/>
      <c r="U74" s="397"/>
      <c r="V74" s="397"/>
      <c r="W74" s="397"/>
      <c r="X74" s="397"/>
      <c r="Y74" s="397"/>
      <c r="Z74" s="397"/>
    </row>
    <row r="75" ht="12.75" customHeight="1">
      <c r="A75" s="397"/>
      <c r="B75" s="397"/>
      <c r="C75" s="397"/>
      <c r="D75" s="397"/>
      <c r="E75" s="397"/>
      <c r="F75" s="397"/>
      <c r="G75" s="397"/>
      <c r="H75" s="397"/>
      <c r="I75" s="397"/>
      <c r="J75" s="397"/>
      <c r="K75" s="397"/>
      <c r="L75" s="397"/>
      <c r="M75" s="397"/>
      <c r="N75" s="397"/>
      <c r="O75" s="397"/>
      <c r="P75" s="397"/>
      <c r="Q75" s="397"/>
      <c r="R75" s="397"/>
      <c r="S75" s="397"/>
      <c r="T75" s="397"/>
      <c r="U75" s="397"/>
      <c r="V75" s="397"/>
      <c r="W75" s="397"/>
      <c r="X75" s="397"/>
      <c r="Y75" s="397"/>
      <c r="Z75" s="397"/>
    </row>
    <row r="76" ht="12.75" customHeight="1">
      <c r="A76" s="397"/>
      <c r="B76" s="397"/>
      <c r="C76" s="397"/>
      <c r="D76" s="397"/>
      <c r="E76" s="397"/>
      <c r="F76" s="397"/>
      <c r="G76" s="397"/>
      <c r="H76" s="397"/>
      <c r="I76" s="397"/>
      <c r="J76" s="397"/>
      <c r="K76" s="397"/>
      <c r="L76" s="397"/>
      <c r="M76" s="397"/>
      <c r="N76" s="397"/>
      <c r="O76" s="397"/>
      <c r="P76" s="397"/>
      <c r="Q76" s="397"/>
      <c r="R76" s="397"/>
      <c r="S76" s="397"/>
      <c r="T76" s="397"/>
      <c r="U76" s="397"/>
      <c r="V76" s="397"/>
      <c r="W76" s="397"/>
      <c r="X76" s="397"/>
      <c r="Y76" s="397"/>
      <c r="Z76" s="397"/>
    </row>
    <row r="77" ht="12.75" customHeight="1">
      <c r="A77" s="397"/>
      <c r="B77" s="397"/>
      <c r="C77" s="397"/>
      <c r="D77" s="397"/>
      <c r="E77" s="397"/>
      <c r="F77" s="397"/>
      <c r="G77" s="397"/>
      <c r="H77" s="397"/>
      <c r="I77" s="397"/>
      <c r="J77" s="397"/>
      <c r="K77" s="397"/>
      <c r="L77" s="397"/>
      <c r="M77" s="397"/>
      <c r="N77" s="397"/>
      <c r="O77" s="397"/>
      <c r="P77" s="397"/>
      <c r="Q77" s="397"/>
      <c r="R77" s="397"/>
      <c r="S77" s="397"/>
      <c r="T77" s="397"/>
      <c r="U77" s="397"/>
      <c r="V77" s="397"/>
      <c r="W77" s="397"/>
      <c r="X77" s="397"/>
      <c r="Y77" s="397"/>
      <c r="Z77" s="397"/>
    </row>
    <row r="78" ht="12.75" customHeight="1">
      <c r="A78" s="397"/>
      <c r="B78" s="397"/>
      <c r="C78" s="397"/>
      <c r="D78" s="397"/>
      <c r="E78" s="397"/>
      <c r="F78" s="397"/>
      <c r="G78" s="397"/>
      <c r="H78" s="397"/>
      <c r="I78" s="397"/>
      <c r="J78" s="397"/>
      <c r="K78" s="397"/>
      <c r="L78" s="397"/>
      <c r="M78" s="397"/>
      <c r="N78" s="397"/>
      <c r="O78" s="397"/>
      <c r="P78" s="397"/>
      <c r="Q78" s="397"/>
      <c r="R78" s="397"/>
      <c r="S78" s="397"/>
      <c r="T78" s="397"/>
      <c r="U78" s="397"/>
      <c r="V78" s="397"/>
      <c r="W78" s="397"/>
      <c r="X78" s="397"/>
      <c r="Y78" s="397"/>
      <c r="Z78" s="397"/>
    </row>
    <row r="79" ht="12.75" customHeight="1">
      <c r="A79" s="397"/>
      <c r="B79" s="397"/>
      <c r="C79" s="397"/>
      <c r="D79" s="397"/>
      <c r="E79" s="397"/>
      <c r="F79" s="397"/>
      <c r="G79" s="397"/>
      <c r="H79" s="397"/>
      <c r="I79" s="397"/>
      <c r="J79" s="397"/>
      <c r="K79" s="397"/>
      <c r="L79" s="397"/>
      <c r="M79" s="397"/>
      <c r="N79" s="397"/>
      <c r="O79" s="397"/>
      <c r="P79" s="397"/>
      <c r="Q79" s="397"/>
      <c r="R79" s="397"/>
      <c r="S79" s="397"/>
      <c r="T79" s="397"/>
      <c r="U79" s="397"/>
      <c r="V79" s="397"/>
      <c r="W79" s="397"/>
      <c r="X79" s="397"/>
      <c r="Y79" s="397"/>
      <c r="Z79" s="397"/>
    </row>
    <row r="80" ht="12.75" customHeight="1">
      <c r="A80" s="397"/>
      <c r="B80" s="397"/>
      <c r="C80" s="397"/>
      <c r="D80" s="397"/>
      <c r="E80" s="397"/>
      <c r="F80" s="397"/>
      <c r="G80" s="397"/>
      <c r="H80" s="397"/>
      <c r="I80" s="397"/>
      <c r="J80" s="397"/>
      <c r="K80" s="397"/>
      <c r="L80" s="397"/>
      <c r="M80" s="397"/>
      <c r="N80" s="397"/>
      <c r="O80" s="397"/>
      <c r="P80" s="397"/>
      <c r="Q80" s="397"/>
      <c r="R80" s="397"/>
      <c r="S80" s="397"/>
      <c r="T80" s="397"/>
      <c r="U80" s="397"/>
      <c r="V80" s="397"/>
      <c r="W80" s="397"/>
      <c r="X80" s="397"/>
      <c r="Y80" s="397"/>
      <c r="Z80" s="397"/>
    </row>
    <row r="81" ht="12.75" customHeight="1">
      <c r="A81" s="397"/>
      <c r="B81" s="397"/>
      <c r="C81" s="397"/>
      <c r="D81" s="397"/>
      <c r="E81" s="397"/>
      <c r="F81" s="397"/>
      <c r="G81" s="397"/>
      <c r="H81" s="397"/>
      <c r="I81" s="397"/>
      <c r="J81" s="397"/>
      <c r="K81" s="397"/>
      <c r="L81" s="397"/>
      <c r="M81" s="397"/>
      <c r="N81" s="397"/>
      <c r="O81" s="397"/>
      <c r="P81" s="397"/>
      <c r="Q81" s="397"/>
      <c r="R81" s="397"/>
      <c r="S81" s="397"/>
      <c r="T81" s="397"/>
      <c r="U81" s="397"/>
      <c r="V81" s="397"/>
      <c r="W81" s="397"/>
      <c r="X81" s="397"/>
      <c r="Y81" s="397"/>
      <c r="Z81" s="397"/>
    </row>
    <row r="82" ht="12.75" customHeight="1">
      <c r="A82" s="397"/>
      <c r="B82" s="397"/>
      <c r="C82" s="397"/>
      <c r="D82" s="397"/>
      <c r="E82" s="397"/>
      <c r="F82" s="397"/>
      <c r="G82" s="397"/>
      <c r="H82" s="397"/>
      <c r="I82" s="397"/>
      <c r="J82" s="397"/>
      <c r="K82" s="397"/>
      <c r="L82" s="397"/>
      <c r="M82" s="397"/>
      <c r="N82" s="397"/>
      <c r="O82" s="397"/>
      <c r="P82" s="397"/>
      <c r="Q82" s="397"/>
      <c r="R82" s="397"/>
      <c r="S82" s="397"/>
      <c r="T82" s="397"/>
      <c r="U82" s="397"/>
      <c r="V82" s="397"/>
      <c r="W82" s="397"/>
      <c r="X82" s="397"/>
      <c r="Y82" s="397"/>
      <c r="Z82" s="397"/>
    </row>
    <row r="83" ht="12.75" customHeight="1">
      <c r="A83" s="397"/>
      <c r="B83" s="397"/>
      <c r="C83" s="397"/>
      <c r="D83" s="397"/>
      <c r="E83" s="397"/>
      <c r="F83" s="397"/>
      <c r="G83" s="397"/>
      <c r="H83" s="397"/>
      <c r="I83" s="397"/>
      <c r="J83" s="397"/>
      <c r="K83" s="397"/>
      <c r="L83" s="397"/>
      <c r="M83" s="397"/>
      <c r="N83" s="397"/>
      <c r="O83" s="397"/>
      <c r="P83" s="397"/>
      <c r="Q83" s="397"/>
      <c r="R83" s="397"/>
      <c r="S83" s="397"/>
      <c r="T83" s="397"/>
      <c r="U83" s="397"/>
      <c r="V83" s="397"/>
      <c r="W83" s="397"/>
      <c r="X83" s="397"/>
      <c r="Y83" s="397"/>
      <c r="Z83" s="397"/>
    </row>
    <row r="84" ht="12.75" customHeight="1">
      <c r="A84" s="397"/>
      <c r="B84" s="397"/>
      <c r="C84" s="397"/>
      <c r="D84" s="397"/>
      <c r="E84" s="397"/>
      <c r="F84" s="397"/>
      <c r="G84" s="397"/>
      <c r="H84" s="397"/>
      <c r="I84" s="397"/>
      <c r="J84" s="397"/>
      <c r="K84" s="397"/>
      <c r="L84" s="397"/>
      <c r="M84" s="397"/>
      <c r="N84" s="397"/>
      <c r="O84" s="397"/>
      <c r="P84" s="397"/>
      <c r="Q84" s="397"/>
      <c r="R84" s="397"/>
      <c r="S84" s="397"/>
      <c r="T84" s="397"/>
      <c r="U84" s="397"/>
      <c r="V84" s="397"/>
      <c r="W84" s="397"/>
      <c r="X84" s="397"/>
      <c r="Y84" s="397"/>
      <c r="Z84" s="397"/>
    </row>
    <row r="85" ht="12.75" customHeight="1">
      <c r="A85" s="397"/>
      <c r="B85" s="397"/>
      <c r="C85" s="397"/>
      <c r="D85" s="397"/>
      <c r="E85" s="397"/>
      <c r="F85" s="397"/>
      <c r="G85" s="397"/>
      <c r="H85" s="397"/>
      <c r="I85" s="397"/>
      <c r="J85" s="397"/>
      <c r="K85" s="397"/>
      <c r="L85" s="397"/>
      <c r="M85" s="397"/>
      <c r="N85" s="397"/>
      <c r="O85" s="397"/>
      <c r="P85" s="397"/>
      <c r="Q85" s="397"/>
      <c r="R85" s="397"/>
      <c r="S85" s="397"/>
      <c r="T85" s="397"/>
      <c r="U85" s="397"/>
      <c r="V85" s="397"/>
      <c r="W85" s="397"/>
      <c r="X85" s="397"/>
      <c r="Y85" s="397"/>
      <c r="Z85" s="397"/>
    </row>
    <row r="86" ht="12.75" customHeight="1">
      <c r="A86" s="397"/>
      <c r="B86" s="397"/>
      <c r="C86" s="397"/>
      <c r="D86" s="397"/>
      <c r="E86" s="397"/>
      <c r="F86" s="397"/>
      <c r="G86" s="397"/>
      <c r="H86" s="397"/>
      <c r="I86" s="397"/>
      <c r="J86" s="397"/>
      <c r="K86" s="397"/>
      <c r="L86" s="397"/>
      <c r="M86" s="397"/>
      <c r="N86" s="397"/>
      <c r="O86" s="397"/>
      <c r="P86" s="397"/>
      <c r="Q86" s="397"/>
      <c r="R86" s="397"/>
      <c r="S86" s="397"/>
      <c r="T86" s="397"/>
      <c r="U86" s="397"/>
      <c r="V86" s="397"/>
      <c r="W86" s="397"/>
      <c r="X86" s="397"/>
      <c r="Y86" s="397"/>
      <c r="Z86" s="397"/>
    </row>
    <row r="87" ht="12.75" customHeight="1">
      <c r="A87" s="397"/>
      <c r="B87" s="397"/>
      <c r="C87" s="397"/>
      <c r="D87" s="397"/>
      <c r="E87" s="397"/>
      <c r="F87" s="397"/>
      <c r="G87" s="397"/>
      <c r="H87" s="397"/>
      <c r="I87" s="397"/>
      <c r="J87" s="397"/>
      <c r="K87" s="397"/>
      <c r="L87" s="397"/>
      <c r="M87" s="397"/>
      <c r="N87" s="397"/>
      <c r="O87" s="397"/>
      <c r="P87" s="397"/>
      <c r="Q87" s="397"/>
      <c r="R87" s="397"/>
      <c r="S87" s="397"/>
      <c r="T87" s="397"/>
      <c r="U87" s="397"/>
      <c r="V87" s="397"/>
      <c r="W87" s="397"/>
      <c r="X87" s="397"/>
      <c r="Y87" s="397"/>
      <c r="Z87" s="397"/>
    </row>
    <row r="88" ht="12.75" customHeight="1">
      <c r="A88" s="397"/>
      <c r="B88" s="397"/>
      <c r="C88" s="397"/>
      <c r="D88" s="397"/>
      <c r="E88" s="397"/>
      <c r="F88" s="397"/>
      <c r="G88" s="397"/>
      <c r="H88" s="397"/>
      <c r="I88" s="397"/>
      <c r="J88" s="397"/>
      <c r="K88" s="397"/>
      <c r="L88" s="397"/>
      <c r="M88" s="397"/>
      <c r="N88" s="397"/>
      <c r="O88" s="397"/>
      <c r="P88" s="397"/>
      <c r="Q88" s="397"/>
      <c r="R88" s="397"/>
      <c r="S88" s="397"/>
      <c r="T88" s="397"/>
      <c r="U88" s="397"/>
      <c r="V88" s="397"/>
      <c r="W88" s="397"/>
      <c r="X88" s="397"/>
      <c r="Y88" s="397"/>
      <c r="Z88" s="397"/>
    </row>
    <row r="89" ht="12.75" customHeight="1">
      <c r="A89" s="397"/>
      <c r="B89" s="397"/>
      <c r="C89" s="397"/>
      <c r="D89" s="397"/>
      <c r="E89" s="397"/>
      <c r="F89" s="397"/>
      <c r="G89" s="397"/>
      <c r="H89" s="397"/>
      <c r="I89" s="397"/>
      <c r="J89" s="397"/>
      <c r="K89" s="397"/>
      <c r="L89" s="397"/>
      <c r="M89" s="397"/>
      <c r="N89" s="397"/>
      <c r="O89" s="397"/>
      <c r="P89" s="397"/>
      <c r="Q89" s="397"/>
      <c r="R89" s="397"/>
      <c r="S89" s="397"/>
      <c r="T89" s="397"/>
      <c r="U89" s="397"/>
      <c r="V89" s="397"/>
      <c r="W89" s="397"/>
      <c r="X89" s="397"/>
      <c r="Y89" s="397"/>
      <c r="Z89" s="397"/>
    </row>
    <row r="90" ht="12.75" customHeight="1">
      <c r="A90" s="397"/>
      <c r="B90" s="397"/>
      <c r="C90" s="397"/>
      <c r="D90" s="397"/>
      <c r="E90" s="397"/>
      <c r="F90" s="397"/>
      <c r="G90" s="397"/>
      <c r="H90" s="397"/>
      <c r="I90" s="397"/>
      <c r="J90" s="397"/>
      <c r="K90" s="397"/>
      <c r="L90" s="397"/>
      <c r="M90" s="397"/>
      <c r="N90" s="397"/>
      <c r="O90" s="397"/>
      <c r="P90" s="397"/>
      <c r="Q90" s="397"/>
      <c r="R90" s="397"/>
      <c r="S90" s="397"/>
      <c r="T90" s="397"/>
      <c r="U90" s="397"/>
      <c r="V90" s="397"/>
      <c r="W90" s="397"/>
      <c r="X90" s="397"/>
      <c r="Y90" s="397"/>
      <c r="Z90" s="397"/>
    </row>
    <row r="91" ht="12.75" customHeight="1">
      <c r="A91" s="397"/>
      <c r="B91" s="397"/>
      <c r="C91" s="397"/>
      <c r="D91" s="397"/>
      <c r="E91" s="397"/>
      <c r="F91" s="397"/>
      <c r="G91" s="397"/>
      <c r="H91" s="397"/>
      <c r="I91" s="397"/>
      <c r="J91" s="397"/>
      <c r="K91" s="397"/>
      <c r="L91" s="397"/>
      <c r="M91" s="397"/>
      <c r="N91" s="397"/>
      <c r="O91" s="397"/>
      <c r="P91" s="397"/>
      <c r="Q91" s="397"/>
      <c r="R91" s="397"/>
      <c r="S91" s="397"/>
      <c r="T91" s="397"/>
      <c r="U91" s="397"/>
      <c r="V91" s="397"/>
      <c r="W91" s="397"/>
      <c r="X91" s="397"/>
      <c r="Y91" s="397"/>
      <c r="Z91" s="397"/>
    </row>
    <row r="92" ht="12.75" customHeight="1">
      <c r="A92" s="397"/>
      <c r="B92" s="397"/>
      <c r="C92" s="397"/>
      <c r="D92" s="397"/>
      <c r="E92" s="397"/>
      <c r="F92" s="397"/>
      <c r="G92" s="397"/>
      <c r="H92" s="397"/>
      <c r="I92" s="397"/>
      <c r="J92" s="397"/>
      <c r="K92" s="397"/>
      <c r="L92" s="397"/>
      <c r="M92" s="397"/>
      <c r="N92" s="397"/>
      <c r="O92" s="397"/>
      <c r="P92" s="397"/>
      <c r="Q92" s="397"/>
      <c r="R92" s="397"/>
      <c r="S92" s="397"/>
      <c r="T92" s="397"/>
      <c r="U92" s="397"/>
      <c r="V92" s="397"/>
      <c r="W92" s="397"/>
      <c r="X92" s="397"/>
      <c r="Y92" s="397"/>
      <c r="Z92" s="397"/>
    </row>
    <row r="93" ht="12.75" customHeight="1">
      <c r="A93" s="397"/>
      <c r="B93" s="397"/>
      <c r="C93" s="397"/>
      <c r="D93" s="397"/>
      <c r="E93" s="397"/>
      <c r="F93" s="397"/>
      <c r="G93" s="397"/>
      <c r="H93" s="397"/>
      <c r="I93" s="397"/>
      <c r="J93" s="397"/>
      <c r="K93" s="397"/>
      <c r="L93" s="397"/>
      <c r="M93" s="397"/>
      <c r="N93" s="397"/>
      <c r="O93" s="397"/>
      <c r="P93" s="397"/>
      <c r="Q93" s="397"/>
      <c r="R93" s="397"/>
      <c r="S93" s="397"/>
      <c r="T93" s="397"/>
      <c r="U93" s="397"/>
      <c r="V93" s="397"/>
      <c r="W93" s="397"/>
      <c r="X93" s="397"/>
      <c r="Y93" s="397"/>
      <c r="Z93" s="397"/>
    </row>
    <row r="94" ht="12.75" customHeight="1">
      <c r="A94" s="397"/>
      <c r="B94" s="397"/>
      <c r="C94" s="397"/>
      <c r="D94" s="397"/>
      <c r="E94" s="397"/>
      <c r="F94" s="397"/>
      <c r="G94" s="397"/>
      <c r="H94" s="397"/>
      <c r="I94" s="397"/>
      <c r="J94" s="397"/>
      <c r="K94" s="397"/>
      <c r="L94" s="397"/>
      <c r="M94" s="397"/>
      <c r="N94" s="397"/>
      <c r="O94" s="397"/>
      <c r="P94" s="397"/>
      <c r="Q94" s="397"/>
      <c r="R94" s="397"/>
      <c r="S94" s="397"/>
      <c r="T94" s="397"/>
      <c r="U94" s="397"/>
      <c r="V94" s="397"/>
      <c r="W94" s="397"/>
      <c r="X94" s="397"/>
      <c r="Y94" s="397"/>
      <c r="Z94" s="397"/>
    </row>
    <row r="95" ht="12.75" customHeight="1">
      <c r="A95" s="397"/>
      <c r="B95" s="397"/>
      <c r="C95" s="397"/>
      <c r="D95" s="397"/>
      <c r="E95" s="397"/>
      <c r="F95" s="397"/>
      <c r="G95" s="397"/>
      <c r="H95" s="397"/>
      <c r="I95" s="397"/>
      <c r="J95" s="397"/>
      <c r="K95" s="397"/>
      <c r="L95" s="397"/>
      <c r="M95" s="397"/>
      <c r="N95" s="397"/>
      <c r="O95" s="397"/>
      <c r="P95" s="397"/>
      <c r="Q95" s="397"/>
      <c r="R95" s="397"/>
      <c r="S95" s="397"/>
      <c r="T95" s="397"/>
      <c r="U95" s="397"/>
      <c r="V95" s="397"/>
      <c r="W95" s="397"/>
      <c r="X95" s="397"/>
      <c r="Y95" s="397"/>
      <c r="Z95" s="397"/>
    </row>
    <row r="96" ht="12.75" customHeight="1">
      <c r="A96" s="397"/>
      <c r="B96" s="397"/>
      <c r="C96" s="397"/>
      <c r="D96" s="397"/>
      <c r="E96" s="397"/>
      <c r="F96" s="397"/>
      <c r="G96" s="397"/>
      <c r="H96" s="397"/>
      <c r="I96" s="397"/>
      <c r="J96" s="397"/>
      <c r="K96" s="397"/>
      <c r="L96" s="397"/>
      <c r="M96" s="397"/>
      <c r="N96" s="397"/>
      <c r="O96" s="397"/>
      <c r="P96" s="397"/>
      <c r="Q96" s="397"/>
      <c r="R96" s="397"/>
      <c r="S96" s="397"/>
      <c r="T96" s="397"/>
      <c r="U96" s="397"/>
      <c r="V96" s="397"/>
      <c r="W96" s="397"/>
      <c r="X96" s="397"/>
      <c r="Y96" s="397"/>
      <c r="Z96" s="397"/>
    </row>
    <row r="97" ht="12.75" customHeight="1">
      <c r="A97" s="397"/>
      <c r="B97" s="397"/>
      <c r="C97" s="397"/>
      <c r="D97" s="397"/>
      <c r="E97" s="397"/>
      <c r="F97" s="397"/>
      <c r="G97" s="397"/>
      <c r="H97" s="397"/>
      <c r="I97" s="397"/>
      <c r="J97" s="397"/>
      <c r="K97" s="397"/>
      <c r="L97" s="397"/>
      <c r="M97" s="397"/>
      <c r="N97" s="397"/>
      <c r="O97" s="397"/>
      <c r="P97" s="397"/>
      <c r="Q97" s="397"/>
      <c r="R97" s="397"/>
      <c r="S97" s="397"/>
      <c r="T97" s="397"/>
      <c r="U97" s="397"/>
      <c r="V97" s="397"/>
      <c r="W97" s="397"/>
      <c r="X97" s="397"/>
      <c r="Y97" s="397"/>
      <c r="Z97" s="397"/>
    </row>
    <row r="98" ht="12.75" customHeight="1">
      <c r="A98" s="397"/>
      <c r="B98" s="397"/>
      <c r="C98" s="397"/>
      <c r="D98" s="397"/>
      <c r="E98" s="397"/>
      <c r="F98" s="397"/>
      <c r="G98" s="397"/>
      <c r="H98" s="397"/>
      <c r="I98" s="397"/>
      <c r="J98" s="397"/>
      <c r="K98" s="397"/>
      <c r="L98" s="397"/>
      <c r="M98" s="397"/>
      <c r="N98" s="397"/>
      <c r="O98" s="397"/>
      <c r="P98" s="397"/>
      <c r="Q98" s="397"/>
      <c r="R98" s="397"/>
      <c r="S98" s="397"/>
      <c r="T98" s="397"/>
      <c r="U98" s="397"/>
      <c r="V98" s="397"/>
      <c r="W98" s="397"/>
      <c r="X98" s="397"/>
      <c r="Y98" s="397"/>
      <c r="Z98" s="397"/>
    </row>
    <row r="99" ht="12.75" customHeight="1">
      <c r="A99" s="397"/>
      <c r="B99" s="397"/>
      <c r="C99" s="397"/>
      <c r="D99" s="397"/>
      <c r="E99" s="397"/>
      <c r="F99" s="397"/>
      <c r="G99" s="397"/>
      <c r="H99" s="397"/>
      <c r="I99" s="397"/>
      <c r="J99" s="397"/>
      <c r="K99" s="397"/>
      <c r="L99" s="397"/>
      <c r="M99" s="397"/>
      <c r="N99" s="397"/>
      <c r="O99" s="397"/>
      <c r="P99" s="397"/>
      <c r="Q99" s="397"/>
      <c r="R99" s="397"/>
      <c r="S99" s="397"/>
      <c r="T99" s="397"/>
      <c r="U99" s="397"/>
      <c r="V99" s="397"/>
      <c r="W99" s="397"/>
      <c r="X99" s="397"/>
      <c r="Y99" s="397"/>
      <c r="Z99" s="397"/>
    </row>
    <row r="100" ht="12.75" customHeight="1">
      <c r="A100" s="397"/>
      <c r="B100" s="397"/>
      <c r="C100" s="397"/>
      <c r="D100" s="397"/>
      <c r="E100" s="397"/>
      <c r="F100" s="397"/>
      <c r="G100" s="397"/>
      <c r="H100" s="397"/>
      <c r="I100" s="397"/>
      <c r="J100" s="397"/>
      <c r="K100" s="397"/>
      <c r="L100" s="397"/>
      <c r="M100" s="397"/>
      <c r="N100" s="397"/>
      <c r="O100" s="397"/>
      <c r="P100" s="397"/>
      <c r="Q100" s="397"/>
      <c r="R100" s="397"/>
      <c r="S100" s="397"/>
      <c r="T100" s="397"/>
      <c r="U100" s="397"/>
      <c r="V100" s="397"/>
      <c r="W100" s="397"/>
      <c r="X100" s="397"/>
      <c r="Y100" s="397"/>
      <c r="Z100" s="397"/>
    </row>
    <row r="101" ht="12.75" customHeight="1">
      <c r="A101" s="397"/>
      <c r="B101" s="397"/>
      <c r="C101" s="397"/>
      <c r="D101" s="397"/>
      <c r="E101" s="397"/>
      <c r="F101" s="397"/>
      <c r="G101" s="397"/>
      <c r="H101" s="397"/>
      <c r="I101" s="397"/>
      <c r="J101" s="397"/>
      <c r="K101" s="397"/>
      <c r="L101" s="397"/>
      <c r="M101" s="397"/>
      <c r="N101" s="397"/>
      <c r="O101" s="397"/>
      <c r="P101" s="397"/>
      <c r="Q101" s="397"/>
      <c r="R101" s="397"/>
      <c r="S101" s="397"/>
      <c r="T101" s="397"/>
      <c r="U101" s="397"/>
      <c r="V101" s="397"/>
      <c r="W101" s="397"/>
      <c r="X101" s="397"/>
      <c r="Y101" s="397"/>
      <c r="Z101" s="397"/>
    </row>
    <row r="102" ht="12.75" customHeight="1">
      <c r="A102" s="397"/>
      <c r="B102" s="397"/>
      <c r="C102" s="397"/>
      <c r="D102" s="397"/>
      <c r="E102" s="397"/>
      <c r="F102" s="397"/>
      <c r="G102" s="397"/>
      <c r="H102" s="397"/>
      <c r="I102" s="397"/>
      <c r="J102" s="397"/>
      <c r="K102" s="397"/>
      <c r="L102" s="397"/>
      <c r="M102" s="397"/>
      <c r="N102" s="397"/>
      <c r="O102" s="397"/>
      <c r="P102" s="397"/>
      <c r="Q102" s="397"/>
      <c r="R102" s="397"/>
      <c r="S102" s="397"/>
      <c r="T102" s="397"/>
      <c r="U102" s="397"/>
      <c r="V102" s="397"/>
      <c r="W102" s="397"/>
      <c r="X102" s="397"/>
      <c r="Y102" s="397"/>
      <c r="Z102" s="397"/>
    </row>
    <row r="103" ht="12.75" customHeight="1">
      <c r="A103" s="397"/>
      <c r="B103" s="397"/>
      <c r="C103" s="397"/>
      <c r="D103" s="397"/>
      <c r="E103" s="397"/>
      <c r="F103" s="397"/>
      <c r="G103" s="397"/>
      <c r="H103" s="397"/>
      <c r="I103" s="397"/>
      <c r="J103" s="397"/>
      <c r="K103" s="397"/>
      <c r="L103" s="397"/>
      <c r="M103" s="397"/>
      <c r="N103" s="397"/>
      <c r="O103" s="397"/>
      <c r="P103" s="397"/>
      <c r="Q103" s="397"/>
      <c r="R103" s="397"/>
      <c r="S103" s="397"/>
      <c r="T103" s="397"/>
      <c r="U103" s="397"/>
      <c r="V103" s="397"/>
      <c r="W103" s="397"/>
      <c r="X103" s="397"/>
      <c r="Y103" s="397"/>
      <c r="Z103" s="397"/>
    </row>
    <row r="104" ht="12.75" customHeight="1">
      <c r="A104" s="397"/>
      <c r="B104" s="397"/>
      <c r="C104" s="397"/>
      <c r="D104" s="397"/>
      <c r="E104" s="397"/>
      <c r="F104" s="397"/>
      <c r="G104" s="397"/>
      <c r="H104" s="397"/>
      <c r="I104" s="397"/>
      <c r="J104" s="397"/>
      <c r="K104" s="397"/>
      <c r="L104" s="397"/>
      <c r="M104" s="397"/>
      <c r="N104" s="397"/>
      <c r="O104" s="397"/>
      <c r="P104" s="397"/>
      <c r="Q104" s="397"/>
      <c r="R104" s="397"/>
      <c r="S104" s="397"/>
      <c r="T104" s="397"/>
      <c r="U104" s="397"/>
      <c r="V104" s="397"/>
      <c r="W104" s="397"/>
      <c r="X104" s="397"/>
      <c r="Y104" s="397"/>
      <c r="Z104" s="397"/>
    </row>
    <row r="105" ht="12.75" customHeight="1">
      <c r="A105" s="397"/>
      <c r="B105" s="397"/>
      <c r="C105" s="397"/>
      <c r="D105" s="397"/>
      <c r="E105" s="397"/>
      <c r="F105" s="397"/>
      <c r="G105" s="397"/>
      <c r="H105" s="397"/>
      <c r="I105" s="397"/>
      <c r="J105" s="397"/>
      <c r="K105" s="397"/>
      <c r="L105" s="397"/>
      <c r="M105" s="397"/>
      <c r="N105" s="397"/>
      <c r="O105" s="397"/>
      <c r="P105" s="397"/>
      <c r="Q105" s="397"/>
      <c r="R105" s="397"/>
      <c r="S105" s="397"/>
      <c r="T105" s="397"/>
      <c r="U105" s="397"/>
      <c r="V105" s="397"/>
      <c r="W105" s="397"/>
      <c r="X105" s="397"/>
      <c r="Y105" s="397"/>
      <c r="Z105" s="397"/>
    </row>
    <row r="106" ht="12.75" customHeight="1">
      <c r="A106" s="397"/>
      <c r="B106" s="397"/>
      <c r="C106" s="397"/>
      <c r="D106" s="397"/>
      <c r="E106" s="397"/>
      <c r="F106" s="397"/>
      <c r="G106" s="397"/>
      <c r="H106" s="397"/>
      <c r="I106" s="397"/>
      <c r="J106" s="397"/>
      <c r="K106" s="397"/>
      <c r="L106" s="397"/>
      <c r="M106" s="397"/>
      <c r="N106" s="397"/>
      <c r="O106" s="397"/>
      <c r="P106" s="397"/>
      <c r="Q106" s="397"/>
      <c r="R106" s="397"/>
      <c r="S106" s="397"/>
      <c r="T106" s="397"/>
      <c r="U106" s="397"/>
      <c r="V106" s="397"/>
      <c r="W106" s="397"/>
      <c r="X106" s="397"/>
      <c r="Y106" s="397"/>
      <c r="Z106" s="397"/>
    </row>
    <row r="107" ht="12.75" customHeight="1">
      <c r="A107" s="397"/>
      <c r="B107" s="397"/>
      <c r="C107" s="397"/>
      <c r="D107" s="397"/>
      <c r="E107" s="397"/>
      <c r="F107" s="397"/>
      <c r="G107" s="397"/>
      <c r="H107" s="397"/>
      <c r="I107" s="397"/>
      <c r="J107" s="397"/>
      <c r="K107" s="397"/>
      <c r="L107" s="397"/>
      <c r="M107" s="397"/>
      <c r="N107" s="397"/>
      <c r="O107" s="397"/>
      <c r="P107" s="397"/>
      <c r="Q107" s="397"/>
      <c r="R107" s="397"/>
      <c r="S107" s="397"/>
      <c r="T107" s="397"/>
      <c r="U107" s="397"/>
      <c r="V107" s="397"/>
      <c r="W107" s="397"/>
      <c r="X107" s="397"/>
      <c r="Y107" s="397"/>
      <c r="Z107" s="397"/>
    </row>
    <row r="108" ht="12.75" customHeight="1">
      <c r="A108" s="397"/>
      <c r="B108" s="397"/>
      <c r="C108" s="397"/>
      <c r="D108" s="397"/>
      <c r="E108" s="397"/>
      <c r="F108" s="397"/>
      <c r="G108" s="397"/>
      <c r="H108" s="397"/>
      <c r="I108" s="397"/>
      <c r="J108" s="397"/>
      <c r="K108" s="397"/>
      <c r="L108" s="397"/>
      <c r="M108" s="397"/>
      <c r="N108" s="397"/>
      <c r="O108" s="397"/>
      <c r="P108" s="397"/>
      <c r="Q108" s="397"/>
      <c r="R108" s="397"/>
      <c r="S108" s="397"/>
      <c r="T108" s="397"/>
      <c r="U108" s="397"/>
      <c r="V108" s="397"/>
      <c r="W108" s="397"/>
      <c r="X108" s="397"/>
      <c r="Y108" s="397"/>
      <c r="Z108" s="397"/>
    </row>
    <row r="109" ht="12.75" customHeight="1">
      <c r="A109" s="397"/>
      <c r="B109" s="397"/>
      <c r="C109" s="397"/>
      <c r="D109" s="397"/>
      <c r="E109" s="397"/>
      <c r="F109" s="397"/>
      <c r="G109" s="397"/>
      <c r="H109" s="397"/>
      <c r="I109" s="397"/>
      <c r="J109" s="397"/>
      <c r="K109" s="397"/>
      <c r="L109" s="397"/>
      <c r="M109" s="397"/>
      <c r="N109" s="397"/>
      <c r="O109" s="397"/>
      <c r="P109" s="397"/>
      <c r="Q109" s="397"/>
      <c r="R109" s="397"/>
      <c r="S109" s="397"/>
      <c r="T109" s="397"/>
      <c r="U109" s="397"/>
      <c r="V109" s="397"/>
      <c r="W109" s="397"/>
      <c r="X109" s="397"/>
      <c r="Y109" s="397"/>
      <c r="Z109" s="397"/>
    </row>
    <row r="110" ht="12.75" customHeight="1">
      <c r="A110" s="397"/>
      <c r="B110" s="397"/>
      <c r="C110" s="397"/>
      <c r="D110" s="397"/>
      <c r="E110" s="397"/>
      <c r="F110" s="397"/>
      <c r="G110" s="397"/>
      <c r="H110" s="397"/>
      <c r="I110" s="397"/>
      <c r="J110" s="397"/>
      <c r="K110" s="397"/>
      <c r="L110" s="397"/>
      <c r="M110" s="397"/>
      <c r="N110" s="397"/>
      <c r="O110" s="397"/>
      <c r="P110" s="397"/>
      <c r="Q110" s="397"/>
      <c r="R110" s="397"/>
      <c r="S110" s="397"/>
      <c r="T110" s="397"/>
      <c r="U110" s="397"/>
      <c r="V110" s="397"/>
      <c r="W110" s="397"/>
      <c r="X110" s="397"/>
      <c r="Y110" s="397"/>
      <c r="Z110" s="397"/>
    </row>
    <row r="111" ht="12.75" customHeight="1">
      <c r="A111" s="397"/>
      <c r="B111" s="397"/>
      <c r="C111" s="397"/>
      <c r="D111" s="397"/>
      <c r="E111" s="397"/>
      <c r="F111" s="397"/>
      <c r="G111" s="397"/>
      <c r="H111" s="397"/>
      <c r="I111" s="397"/>
      <c r="J111" s="397"/>
      <c r="K111" s="397"/>
      <c r="L111" s="397"/>
      <c r="M111" s="397"/>
      <c r="N111" s="397"/>
      <c r="O111" s="397"/>
      <c r="P111" s="397"/>
      <c r="Q111" s="397"/>
      <c r="R111" s="397"/>
      <c r="S111" s="397"/>
      <c r="T111" s="397"/>
      <c r="U111" s="397"/>
      <c r="V111" s="397"/>
      <c r="W111" s="397"/>
      <c r="X111" s="397"/>
      <c r="Y111" s="397"/>
      <c r="Z111" s="397"/>
    </row>
    <row r="112" ht="12.75" customHeight="1">
      <c r="A112" s="397"/>
      <c r="B112" s="397"/>
      <c r="C112" s="397"/>
      <c r="D112" s="397"/>
      <c r="E112" s="397"/>
      <c r="F112" s="397"/>
      <c r="G112" s="397"/>
      <c r="H112" s="397"/>
      <c r="I112" s="397"/>
      <c r="J112" s="397"/>
      <c r="K112" s="397"/>
      <c r="L112" s="397"/>
      <c r="M112" s="397"/>
      <c r="N112" s="397"/>
      <c r="O112" s="397"/>
      <c r="P112" s="397"/>
      <c r="Q112" s="397"/>
      <c r="R112" s="397"/>
      <c r="S112" s="397"/>
      <c r="T112" s="397"/>
      <c r="U112" s="397"/>
      <c r="V112" s="397"/>
      <c r="W112" s="397"/>
      <c r="X112" s="397"/>
      <c r="Y112" s="397"/>
      <c r="Z112" s="397"/>
    </row>
    <row r="113" ht="12.75" customHeight="1">
      <c r="A113" s="397"/>
      <c r="B113" s="397"/>
      <c r="C113" s="397"/>
      <c r="D113" s="397"/>
      <c r="E113" s="397"/>
      <c r="F113" s="397"/>
      <c r="G113" s="397"/>
      <c r="H113" s="397"/>
      <c r="I113" s="397"/>
      <c r="J113" s="397"/>
      <c r="K113" s="397"/>
      <c r="L113" s="397"/>
      <c r="M113" s="397"/>
      <c r="N113" s="397"/>
      <c r="O113" s="397"/>
      <c r="P113" s="397"/>
      <c r="Q113" s="397"/>
      <c r="R113" s="397"/>
      <c r="S113" s="397"/>
      <c r="T113" s="397"/>
      <c r="U113" s="397"/>
      <c r="V113" s="397"/>
      <c r="W113" s="397"/>
      <c r="X113" s="397"/>
      <c r="Y113" s="397"/>
      <c r="Z113" s="397"/>
    </row>
    <row r="114" ht="12.75" customHeight="1">
      <c r="A114" s="397"/>
      <c r="B114" s="397"/>
      <c r="C114" s="397"/>
      <c r="D114" s="397"/>
      <c r="E114" s="397"/>
      <c r="F114" s="397"/>
      <c r="G114" s="397"/>
      <c r="H114" s="397"/>
      <c r="I114" s="397"/>
      <c r="J114" s="397"/>
      <c r="K114" s="397"/>
      <c r="L114" s="397"/>
      <c r="M114" s="397"/>
      <c r="N114" s="397"/>
      <c r="O114" s="397"/>
      <c r="P114" s="397"/>
      <c r="Q114" s="397"/>
      <c r="R114" s="397"/>
      <c r="S114" s="397"/>
      <c r="T114" s="397"/>
      <c r="U114" s="397"/>
      <c r="V114" s="397"/>
      <c r="W114" s="397"/>
      <c r="X114" s="397"/>
      <c r="Y114" s="397"/>
      <c r="Z114" s="397"/>
    </row>
    <row r="115" ht="12.75" customHeight="1">
      <c r="A115" s="397"/>
      <c r="B115" s="397"/>
      <c r="C115" s="397"/>
      <c r="D115" s="397"/>
      <c r="E115" s="397"/>
      <c r="F115" s="397"/>
      <c r="G115" s="397"/>
      <c r="H115" s="397"/>
      <c r="I115" s="397"/>
      <c r="J115" s="397"/>
      <c r="K115" s="397"/>
      <c r="L115" s="397"/>
      <c r="M115" s="397"/>
      <c r="N115" s="397"/>
      <c r="O115" s="397"/>
      <c r="P115" s="397"/>
      <c r="Q115" s="397"/>
      <c r="R115" s="397"/>
      <c r="S115" s="397"/>
      <c r="T115" s="397"/>
      <c r="U115" s="397"/>
      <c r="V115" s="397"/>
      <c r="W115" s="397"/>
      <c r="X115" s="397"/>
      <c r="Y115" s="397"/>
      <c r="Z115" s="397"/>
    </row>
    <row r="116" ht="12.75" customHeight="1">
      <c r="A116" s="397"/>
      <c r="B116" s="397"/>
      <c r="C116" s="397"/>
      <c r="D116" s="397"/>
      <c r="E116" s="397"/>
      <c r="F116" s="397"/>
      <c r="G116" s="397"/>
      <c r="H116" s="397"/>
      <c r="I116" s="397"/>
      <c r="J116" s="397"/>
      <c r="K116" s="397"/>
      <c r="L116" s="397"/>
      <c r="M116" s="397"/>
      <c r="N116" s="397"/>
      <c r="O116" s="397"/>
      <c r="P116" s="397"/>
      <c r="Q116" s="397"/>
      <c r="R116" s="397"/>
      <c r="S116" s="397"/>
      <c r="T116" s="397"/>
      <c r="U116" s="397"/>
      <c r="V116" s="397"/>
      <c r="W116" s="397"/>
      <c r="X116" s="397"/>
      <c r="Y116" s="397"/>
      <c r="Z116" s="397"/>
    </row>
    <row r="117" ht="12.75" customHeight="1">
      <c r="A117" s="397"/>
      <c r="B117" s="397"/>
      <c r="C117" s="397"/>
      <c r="D117" s="397"/>
      <c r="E117" s="397"/>
      <c r="F117" s="397"/>
      <c r="G117" s="397"/>
      <c r="H117" s="397"/>
      <c r="I117" s="397"/>
      <c r="J117" s="397"/>
      <c r="K117" s="397"/>
      <c r="L117" s="397"/>
      <c r="M117" s="397"/>
      <c r="N117" s="397"/>
      <c r="O117" s="397"/>
      <c r="P117" s="397"/>
      <c r="Q117" s="397"/>
      <c r="R117" s="397"/>
      <c r="S117" s="397"/>
      <c r="T117" s="397"/>
      <c r="U117" s="397"/>
      <c r="V117" s="397"/>
      <c r="W117" s="397"/>
      <c r="X117" s="397"/>
      <c r="Y117" s="397"/>
      <c r="Z117" s="397"/>
    </row>
    <row r="118" ht="12.75" customHeight="1">
      <c r="A118" s="397"/>
      <c r="B118" s="397"/>
      <c r="C118" s="397"/>
      <c r="D118" s="397"/>
      <c r="E118" s="397"/>
      <c r="F118" s="397"/>
      <c r="G118" s="397"/>
      <c r="H118" s="397"/>
      <c r="I118" s="397"/>
      <c r="J118" s="397"/>
      <c r="K118" s="397"/>
      <c r="L118" s="397"/>
      <c r="M118" s="397"/>
      <c r="N118" s="397"/>
      <c r="O118" s="397"/>
      <c r="P118" s="397"/>
      <c r="Q118" s="397"/>
      <c r="R118" s="397"/>
      <c r="S118" s="397"/>
      <c r="T118" s="397"/>
      <c r="U118" s="397"/>
      <c r="V118" s="397"/>
      <c r="W118" s="397"/>
      <c r="X118" s="397"/>
      <c r="Y118" s="397"/>
      <c r="Z118" s="397"/>
    </row>
    <row r="119" ht="12.75" customHeight="1">
      <c r="A119" s="397"/>
      <c r="B119" s="397"/>
      <c r="C119" s="397"/>
      <c r="D119" s="397"/>
      <c r="E119" s="397"/>
      <c r="F119" s="397"/>
      <c r="G119" s="397"/>
      <c r="H119" s="397"/>
      <c r="I119" s="397"/>
      <c r="J119" s="397"/>
      <c r="K119" s="397"/>
      <c r="L119" s="397"/>
      <c r="M119" s="397"/>
      <c r="N119" s="397"/>
      <c r="O119" s="397"/>
      <c r="P119" s="397"/>
      <c r="Q119" s="397"/>
      <c r="R119" s="397"/>
      <c r="S119" s="397"/>
      <c r="T119" s="397"/>
      <c r="U119" s="397"/>
      <c r="V119" s="397"/>
      <c r="W119" s="397"/>
      <c r="X119" s="397"/>
      <c r="Y119" s="397"/>
      <c r="Z119" s="397"/>
    </row>
    <row r="120" ht="12.75" customHeight="1">
      <c r="A120" s="397"/>
      <c r="B120" s="397"/>
      <c r="C120" s="397"/>
      <c r="D120" s="397"/>
      <c r="E120" s="397"/>
      <c r="F120" s="397"/>
      <c r="G120" s="397"/>
      <c r="H120" s="397"/>
      <c r="I120" s="397"/>
      <c r="J120" s="397"/>
      <c r="K120" s="397"/>
      <c r="L120" s="397"/>
      <c r="M120" s="397"/>
      <c r="N120" s="397"/>
      <c r="O120" s="397"/>
      <c r="P120" s="397"/>
      <c r="Q120" s="397"/>
      <c r="R120" s="397"/>
      <c r="S120" s="397"/>
      <c r="T120" s="397"/>
      <c r="U120" s="397"/>
      <c r="V120" s="397"/>
      <c r="W120" s="397"/>
      <c r="X120" s="397"/>
      <c r="Y120" s="397"/>
      <c r="Z120" s="397"/>
    </row>
    <row r="121" ht="12.75" customHeight="1">
      <c r="A121" s="397"/>
      <c r="B121" s="397"/>
      <c r="C121" s="397"/>
      <c r="D121" s="397"/>
      <c r="E121" s="397"/>
      <c r="F121" s="397"/>
      <c r="G121" s="397"/>
      <c r="H121" s="397"/>
      <c r="I121" s="397"/>
      <c r="J121" s="397"/>
      <c r="K121" s="397"/>
      <c r="L121" s="397"/>
      <c r="M121" s="397"/>
      <c r="N121" s="397"/>
      <c r="O121" s="397"/>
      <c r="P121" s="397"/>
      <c r="Q121" s="397"/>
      <c r="R121" s="397"/>
      <c r="S121" s="397"/>
      <c r="T121" s="397"/>
      <c r="U121" s="397"/>
      <c r="V121" s="397"/>
      <c r="W121" s="397"/>
      <c r="X121" s="397"/>
      <c r="Y121" s="397"/>
      <c r="Z121" s="397"/>
    </row>
    <row r="122" ht="12.75" customHeight="1">
      <c r="A122" s="397"/>
      <c r="B122" s="397"/>
      <c r="C122" s="397"/>
      <c r="D122" s="397"/>
      <c r="E122" s="397"/>
      <c r="F122" s="397"/>
      <c r="G122" s="397"/>
      <c r="H122" s="397"/>
      <c r="I122" s="397"/>
      <c r="J122" s="397"/>
      <c r="K122" s="397"/>
      <c r="L122" s="397"/>
      <c r="M122" s="397"/>
      <c r="N122" s="397"/>
      <c r="O122" s="397"/>
      <c r="P122" s="397"/>
      <c r="Q122" s="397"/>
      <c r="R122" s="397"/>
      <c r="S122" s="397"/>
      <c r="T122" s="397"/>
      <c r="U122" s="397"/>
      <c r="V122" s="397"/>
      <c r="W122" s="397"/>
      <c r="X122" s="397"/>
      <c r="Y122" s="397"/>
      <c r="Z122" s="397"/>
    </row>
    <row r="123" ht="12.75" customHeight="1">
      <c r="A123" s="397"/>
      <c r="B123" s="397"/>
      <c r="C123" s="397"/>
      <c r="D123" s="397"/>
      <c r="E123" s="397"/>
      <c r="F123" s="397"/>
      <c r="G123" s="397"/>
      <c r="H123" s="397"/>
      <c r="I123" s="397"/>
      <c r="J123" s="397"/>
      <c r="K123" s="397"/>
      <c r="L123" s="397"/>
      <c r="M123" s="397"/>
      <c r="N123" s="397"/>
      <c r="O123" s="397"/>
      <c r="P123" s="397"/>
      <c r="Q123" s="397"/>
      <c r="R123" s="397"/>
      <c r="S123" s="397"/>
      <c r="T123" s="397"/>
      <c r="U123" s="397"/>
      <c r="V123" s="397"/>
      <c r="W123" s="397"/>
      <c r="X123" s="397"/>
      <c r="Y123" s="397"/>
      <c r="Z123" s="397"/>
    </row>
    <row r="124" ht="12.75" customHeight="1">
      <c r="A124" s="397"/>
      <c r="B124" s="397"/>
      <c r="C124" s="397"/>
      <c r="D124" s="397"/>
      <c r="E124" s="397"/>
      <c r="F124" s="397"/>
      <c r="G124" s="397"/>
      <c r="H124" s="397"/>
      <c r="I124" s="397"/>
      <c r="J124" s="397"/>
      <c r="K124" s="397"/>
      <c r="L124" s="397"/>
      <c r="M124" s="397"/>
      <c r="N124" s="397"/>
      <c r="O124" s="397"/>
      <c r="P124" s="397"/>
      <c r="Q124" s="397"/>
      <c r="R124" s="397"/>
      <c r="S124" s="397"/>
      <c r="T124" s="397"/>
      <c r="U124" s="397"/>
      <c r="V124" s="397"/>
      <c r="W124" s="397"/>
      <c r="X124" s="397"/>
      <c r="Y124" s="397"/>
      <c r="Z124" s="397"/>
    </row>
    <row r="125" ht="12.75" customHeight="1">
      <c r="A125" s="397"/>
      <c r="B125" s="397"/>
      <c r="C125" s="397"/>
      <c r="D125" s="397"/>
      <c r="E125" s="397"/>
      <c r="F125" s="397"/>
      <c r="G125" s="397"/>
      <c r="H125" s="397"/>
      <c r="I125" s="397"/>
      <c r="J125" s="397"/>
      <c r="K125" s="397"/>
      <c r="L125" s="397"/>
      <c r="M125" s="397"/>
      <c r="N125" s="397"/>
      <c r="O125" s="397"/>
      <c r="P125" s="397"/>
      <c r="Q125" s="397"/>
      <c r="R125" s="397"/>
      <c r="S125" s="397"/>
      <c r="T125" s="397"/>
      <c r="U125" s="397"/>
      <c r="V125" s="397"/>
      <c r="W125" s="397"/>
      <c r="X125" s="397"/>
      <c r="Y125" s="397"/>
      <c r="Z125" s="397"/>
    </row>
    <row r="126" ht="12.75" customHeight="1">
      <c r="A126" s="397"/>
      <c r="B126" s="397"/>
      <c r="C126" s="397"/>
      <c r="D126" s="397"/>
      <c r="E126" s="397"/>
      <c r="F126" s="397"/>
      <c r="G126" s="397"/>
      <c r="H126" s="397"/>
      <c r="I126" s="397"/>
      <c r="J126" s="397"/>
      <c r="K126" s="397"/>
      <c r="L126" s="397"/>
      <c r="M126" s="397"/>
      <c r="N126" s="397"/>
      <c r="O126" s="397"/>
      <c r="P126" s="397"/>
      <c r="Q126" s="397"/>
      <c r="R126" s="397"/>
      <c r="S126" s="397"/>
      <c r="T126" s="397"/>
      <c r="U126" s="397"/>
      <c r="V126" s="397"/>
      <c r="W126" s="397"/>
      <c r="X126" s="397"/>
      <c r="Y126" s="397"/>
      <c r="Z126" s="397"/>
    </row>
    <row r="127" ht="12.75" customHeight="1">
      <c r="A127" s="397"/>
      <c r="B127" s="397"/>
      <c r="C127" s="397"/>
      <c r="D127" s="397"/>
      <c r="E127" s="397"/>
      <c r="F127" s="397"/>
      <c r="G127" s="397"/>
      <c r="H127" s="397"/>
      <c r="I127" s="397"/>
      <c r="J127" s="397"/>
      <c r="K127" s="397"/>
      <c r="L127" s="397"/>
      <c r="M127" s="397"/>
      <c r="N127" s="397"/>
      <c r="O127" s="397"/>
      <c r="P127" s="397"/>
      <c r="Q127" s="397"/>
      <c r="R127" s="397"/>
      <c r="S127" s="397"/>
      <c r="T127" s="397"/>
      <c r="U127" s="397"/>
      <c r="V127" s="397"/>
      <c r="W127" s="397"/>
      <c r="X127" s="397"/>
      <c r="Y127" s="397"/>
      <c r="Z127" s="397"/>
    </row>
    <row r="128" ht="12.75" customHeight="1">
      <c r="A128" s="397"/>
      <c r="B128" s="397"/>
      <c r="C128" s="397"/>
      <c r="D128" s="397"/>
      <c r="E128" s="397"/>
      <c r="F128" s="397"/>
      <c r="G128" s="397"/>
      <c r="H128" s="397"/>
      <c r="I128" s="397"/>
      <c r="J128" s="397"/>
      <c r="K128" s="397"/>
      <c r="L128" s="397"/>
      <c r="M128" s="397"/>
      <c r="N128" s="397"/>
      <c r="O128" s="397"/>
      <c r="P128" s="397"/>
      <c r="Q128" s="397"/>
      <c r="R128" s="397"/>
      <c r="S128" s="397"/>
      <c r="T128" s="397"/>
      <c r="U128" s="397"/>
      <c r="V128" s="397"/>
      <c r="W128" s="397"/>
      <c r="X128" s="397"/>
      <c r="Y128" s="397"/>
      <c r="Z128" s="397"/>
    </row>
    <row r="129" ht="12.75" customHeight="1">
      <c r="A129" s="397"/>
      <c r="B129" s="397"/>
      <c r="C129" s="397"/>
      <c r="D129" s="397"/>
      <c r="E129" s="397"/>
      <c r="F129" s="397"/>
      <c r="G129" s="397"/>
      <c r="H129" s="397"/>
      <c r="I129" s="397"/>
      <c r="J129" s="397"/>
      <c r="K129" s="397"/>
      <c r="L129" s="397"/>
      <c r="M129" s="397"/>
      <c r="N129" s="397"/>
      <c r="O129" s="397"/>
      <c r="P129" s="397"/>
      <c r="Q129" s="397"/>
      <c r="R129" s="397"/>
      <c r="S129" s="397"/>
      <c r="T129" s="397"/>
      <c r="U129" s="397"/>
      <c r="V129" s="397"/>
      <c r="W129" s="397"/>
      <c r="X129" s="397"/>
      <c r="Y129" s="397"/>
      <c r="Z129" s="397"/>
    </row>
    <row r="130" ht="12.75" customHeight="1">
      <c r="A130" s="397"/>
      <c r="B130" s="397"/>
      <c r="C130" s="397"/>
      <c r="D130" s="397"/>
      <c r="E130" s="397"/>
      <c r="F130" s="397"/>
      <c r="G130" s="397"/>
      <c r="H130" s="397"/>
      <c r="I130" s="397"/>
      <c r="J130" s="397"/>
      <c r="K130" s="397"/>
      <c r="L130" s="397"/>
      <c r="M130" s="397"/>
      <c r="N130" s="397"/>
      <c r="O130" s="397"/>
      <c r="P130" s="397"/>
      <c r="Q130" s="397"/>
      <c r="R130" s="397"/>
      <c r="S130" s="397"/>
      <c r="T130" s="397"/>
      <c r="U130" s="397"/>
      <c r="V130" s="397"/>
      <c r="W130" s="397"/>
      <c r="X130" s="397"/>
      <c r="Y130" s="397"/>
      <c r="Z130" s="397"/>
    </row>
    <row r="131" ht="12.75" customHeight="1">
      <c r="A131" s="397"/>
      <c r="B131" s="397"/>
      <c r="C131" s="397"/>
      <c r="D131" s="397"/>
      <c r="E131" s="397"/>
      <c r="F131" s="397"/>
      <c r="G131" s="397"/>
      <c r="H131" s="397"/>
      <c r="I131" s="397"/>
      <c r="J131" s="397"/>
      <c r="K131" s="397"/>
      <c r="L131" s="397"/>
      <c r="M131" s="397"/>
      <c r="N131" s="397"/>
      <c r="O131" s="397"/>
      <c r="P131" s="397"/>
      <c r="Q131" s="397"/>
      <c r="R131" s="397"/>
      <c r="S131" s="397"/>
      <c r="T131" s="397"/>
      <c r="U131" s="397"/>
      <c r="V131" s="397"/>
      <c r="W131" s="397"/>
      <c r="X131" s="397"/>
      <c r="Y131" s="397"/>
      <c r="Z131" s="397"/>
    </row>
    <row r="132" ht="12.75" customHeight="1">
      <c r="A132" s="397"/>
      <c r="B132" s="397"/>
      <c r="C132" s="397"/>
      <c r="D132" s="397"/>
      <c r="E132" s="397"/>
      <c r="F132" s="397"/>
      <c r="G132" s="397"/>
      <c r="H132" s="397"/>
      <c r="I132" s="397"/>
      <c r="J132" s="397"/>
      <c r="K132" s="397"/>
      <c r="L132" s="397"/>
      <c r="M132" s="397"/>
      <c r="N132" s="397"/>
      <c r="O132" s="397"/>
      <c r="P132" s="397"/>
      <c r="Q132" s="397"/>
      <c r="R132" s="397"/>
      <c r="S132" s="397"/>
      <c r="T132" s="397"/>
      <c r="U132" s="397"/>
      <c r="V132" s="397"/>
      <c r="W132" s="397"/>
      <c r="X132" s="397"/>
      <c r="Y132" s="397"/>
      <c r="Z132" s="397"/>
    </row>
    <row r="133" ht="12.75" customHeight="1">
      <c r="A133" s="397"/>
      <c r="B133" s="397"/>
      <c r="C133" s="397"/>
      <c r="D133" s="397"/>
      <c r="E133" s="397"/>
      <c r="F133" s="397"/>
      <c r="G133" s="397"/>
      <c r="H133" s="397"/>
      <c r="I133" s="397"/>
      <c r="J133" s="397"/>
      <c r="K133" s="397"/>
      <c r="L133" s="397"/>
      <c r="M133" s="397"/>
      <c r="N133" s="397"/>
      <c r="O133" s="397"/>
      <c r="P133" s="397"/>
      <c r="Q133" s="397"/>
      <c r="R133" s="397"/>
      <c r="S133" s="397"/>
      <c r="T133" s="397"/>
      <c r="U133" s="397"/>
      <c r="V133" s="397"/>
      <c r="W133" s="397"/>
      <c r="X133" s="397"/>
      <c r="Y133" s="397"/>
      <c r="Z133" s="397"/>
    </row>
    <row r="134" ht="12.75" customHeight="1">
      <c r="A134" s="397"/>
      <c r="B134" s="397"/>
      <c r="C134" s="397"/>
      <c r="D134" s="397"/>
      <c r="E134" s="397"/>
      <c r="F134" s="397"/>
      <c r="G134" s="397"/>
      <c r="H134" s="397"/>
      <c r="I134" s="397"/>
      <c r="J134" s="397"/>
      <c r="K134" s="397"/>
      <c r="L134" s="397"/>
      <c r="M134" s="397"/>
      <c r="N134" s="397"/>
      <c r="O134" s="397"/>
      <c r="P134" s="397"/>
      <c r="Q134" s="397"/>
      <c r="R134" s="397"/>
      <c r="S134" s="397"/>
      <c r="T134" s="397"/>
      <c r="U134" s="397"/>
      <c r="V134" s="397"/>
      <c r="W134" s="397"/>
      <c r="X134" s="397"/>
      <c r="Y134" s="397"/>
      <c r="Z134" s="397"/>
    </row>
    <row r="135" ht="12.75" customHeight="1">
      <c r="A135" s="397"/>
      <c r="B135" s="397"/>
      <c r="C135" s="397"/>
      <c r="D135" s="397"/>
      <c r="E135" s="397"/>
      <c r="F135" s="397"/>
      <c r="G135" s="397"/>
      <c r="H135" s="397"/>
      <c r="I135" s="397"/>
      <c r="J135" s="397"/>
      <c r="K135" s="397"/>
      <c r="L135" s="397"/>
      <c r="M135" s="397"/>
      <c r="N135" s="397"/>
      <c r="O135" s="397"/>
      <c r="P135" s="397"/>
      <c r="Q135" s="397"/>
      <c r="R135" s="397"/>
      <c r="S135" s="397"/>
      <c r="T135" s="397"/>
      <c r="U135" s="397"/>
      <c r="V135" s="397"/>
      <c r="W135" s="397"/>
      <c r="X135" s="397"/>
      <c r="Y135" s="397"/>
      <c r="Z135" s="397"/>
    </row>
    <row r="136" ht="12.75" customHeight="1">
      <c r="A136" s="397"/>
      <c r="B136" s="397"/>
      <c r="C136" s="397"/>
      <c r="D136" s="397"/>
      <c r="E136" s="397"/>
      <c r="F136" s="397"/>
      <c r="G136" s="397"/>
      <c r="H136" s="397"/>
      <c r="I136" s="397"/>
      <c r="J136" s="397"/>
      <c r="K136" s="397"/>
      <c r="L136" s="397"/>
      <c r="M136" s="397"/>
      <c r="N136" s="397"/>
      <c r="O136" s="397"/>
      <c r="P136" s="397"/>
      <c r="Q136" s="397"/>
      <c r="R136" s="397"/>
      <c r="S136" s="397"/>
      <c r="T136" s="397"/>
      <c r="U136" s="397"/>
      <c r="V136" s="397"/>
      <c r="W136" s="397"/>
      <c r="X136" s="397"/>
      <c r="Y136" s="397"/>
      <c r="Z136" s="397"/>
    </row>
    <row r="137" ht="12.75" customHeight="1">
      <c r="A137" s="397"/>
      <c r="B137" s="397"/>
      <c r="C137" s="397"/>
      <c r="D137" s="397"/>
      <c r="E137" s="397"/>
      <c r="F137" s="397"/>
      <c r="G137" s="397"/>
      <c r="H137" s="397"/>
      <c r="I137" s="397"/>
      <c r="J137" s="397"/>
      <c r="K137" s="397"/>
      <c r="L137" s="397"/>
      <c r="M137" s="397"/>
      <c r="N137" s="397"/>
      <c r="O137" s="397"/>
      <c r="P137" s="397"/>
      <c r="Q137" s="397"/>
      <c r="R137" s="397"/>
      <c r="S137" s="397"/>
      <c r="T137" s="397"/>
      <c r="U137" s="397"/>
      <c r="V137" s="397"/>
      <c r="W137" s="397"/>
      <c r="X137" s="397"/>
      <c r="Y137" s="397"/>
      <c r="Z137" s="397"/>
    </row>
    <row r="138" ht="12.75" customHeight="1">
      <c r="A138" s="397"/>
      <c r="B138" s="397"/>
      <c r="C138" s="397"/>
      <c r="D138" s="397"/>
      <c r="E138" s="397"/>
      <c r="F138" s="397"/>
      <c r="G138" s="397"/>
      <c r="H138" s="397"/>
      <c r="I138" s="397"/>
      <c r="J138" s="397"/>
      <c r="K138" s="397"/>
      <c r="L138" s="397"/>
      <c r="M138" s="397"/>
      <c r="N138" s="397"/>
      <c r="O138" s="397"/>
      <c r="P138" s="397"/>
      <c r="Q138" s="397"/>
      <c r="R138" s="397"/>
      <c r="S138" s="397"/>
      <c r="T138" s="397"/>
      <c r="U138" s="397"/>
      <c r="V138" s="397"/>
      <c r="W138" s="397"/>
      <c r="X138" s="397"/>
      <c r="Y138" s="397"/>
      <c r="Z138" s="397"/>
    </row>
    <row r="139" ht="12.75" customHeight="1">
      <c r="A139" s="397"/>
      <c r="B139" s="397"/>
      <c r="C139" s="397"/>
      <c r="D139" s="397"/>
      <c r="E139" s="397"/>
      <c r="F139" s="397"/>
      <c r="G139" s="397"/>
      <c r="H139" s="397"/>
      <c r="I139" s="397"/>
      <c r="J139" s="397"/>
      <c r="K139" s="397"/>
      <c r="L139" s="397"/>
      <c r="M139" s="397"/>
      <c r="N139" s="397"/>
      <c r="O139" s="397"/>
      <c r="P139" s="397"/>
      <c r="Q139" s="397"/>
      <c r="R139" s="397"/>
      <c r="S139" s="397"/>
      <c r="T139" s="397"/>
      <c r="U139" s="397"/>
      <c r="V139" s="397"/>
      <c r="W139" s="397"/>
      <c r="X139" s="397"/>
      <c r="Y139" s="397"/>
      <c r="Z139" s="397"/>
    </row>
    <row r="140" ht="12.75" customHeight="1">
      <c r="A140" s="397"/>
      <c r="B140" s="397"/>
      <c r="C140" s="397"/>
      <c r="D140" s="397"/>
      <c r="E140" s="397"/>
      <c r="F140" s="397"/>
      <c r="G140" s="397"/>
      <c r="H140" s="397"/>
      <c r="I140" s="397"/>
      <c r="J140" s="397"/>
      <c r="K140" s="397"/>
      <c r="L140" s="397"/>
      <c r="M140" s="397"/>
      <c r="N140" s="397"/>
      <c r="O140" s="397"/>
      <c r="P140" s="397"/>
      <c r="Q140" s="397"/>
      <c r="R140" s="397"/>
      <c r="S140" s="397"/>
      <c r="T140" s="397"/>
      <c r="U140" s="397"/>
      <c r="V140" s="397"/>
      <c r="W140" s="397"/>
      <c r="X140" s="397"/>
      <c r="Y140" s="397"/>
      <c r="Z140" s="397"/>
    </row>
    <row r="141" ht="12.75" customHeight="1">
      <c r="A141" s="397"/>
      <c r="B141" s="397"/>
      <c r="C141" s="397"/>
      <c r="D141" s="397"/>
      <c r="E141" s="397"/>
      <c r="F141" s="397"/>
      <c r="G141" s="397"/>
      <c r="H141" s="397"/>
      <c r="I141" s="397"/>
      <c r="J141" s="397"/>
      <c r="K141" s="397"/>
      <c r="L141" s="397"/>
      <c r="M141" s="397"/>
      <c r="N141" s="397"/>
      <c r="O141" s="397"/>
      <c r="P141" s="397"/>
      <c r="Q141" s="397"/>
      <c r="R141" s="397"/>
      <c r="S141" s="397"/>
      <c r="T141" s="397"/>
      <c r="U141" s="397"/>
      <c r="V141" s="397"/>
      <c r="W141" s="397"/>
      <c r="X141" s="397"/>
      <c r="Y141" s="397"/>
      <c r="Z141" s="397"/>
    </row>
    <row r="142" ht="12.75" customHeight="1">
      <c r="A142" s="397"/>
      <c r="B142" s="397"/>
      <c r="C142" s="397"/>
      <c r="D142" s="397"/>
      <c r="E142" s="397"/>
      <c r="F142" s="397"/>
      <c r="G142" s="397"/>
      <c r="H142" s="397"/>
      <c r="I142" s="397"/>
      <c r="J142" s="397"/>
      <c r="K142" s="397"/>
      <c r="L142" s="397"/>
      <c r="M142" s="397"/>
      <c r="N142" s="397"/>
      <c r="O142" s="397"/>
      <c r="P142" s="397"/>
      <c r="Q142" s="397"/>
      <c r="R142" s="397"/>
      <c r="S142" s="397"/>
      <c r="T142" s="397"/>
      <c r="U142" s="397"/>
      <c r="V142" s="397"/>
      <c r="W142" s="397"/>
      <c r="X142" s="397"/>
      <c r="Y142" s="397"/>
      <c r="Z142" s="397"/>
    </row>
    <row r="143" ht="12.75" customHeight="1">
      <c r="A143" s="397"/>
      <c r="B143" s="397"/>
      <c r="C143" s="397"/>
      <c r="D143" s="397"/>
      <c r="E143" s="397"/>
      <c r="F143" s="397"/>
      <c r="G143" s="397"/>
      <c r="H143" s="397"/>
      <c r="I143" s="397"/>
      <c r="J143" s="397"/>
      <c r="K143" s="397"/>
      <c r="L143" s="397"/>
      <c r="M143" s="397"/>
      <c r="N143" s="397"/>
      <c r="O143" s="397"/>
      <c r="P143" s="397"/>
      <c r="Q143" s="397"/>
      <c r="R143" s="397"/>
      <c r="S143" s="397"/>
      <c r="T143" s="397"/>
      <c r="U143" s="397"/>
      <c r="V143" s="397"/>
      <c r="W143" s="397"/>
      <c r="X143" s="397"/>
      <c r="Y143" s="397"/>
      <c r="Z143" s="397"/>
    </row>
    <row r="144" ht="12.75" customHeight="1">
      <c r="A144" s="397"/>
      <c r="B144" s="397"/>
      <c r="C144" s="397"/>
      <c r="D144" s="397"/>
      <c r="E144" s="397"/>
      <c r="F144" s="397"/>
      <c r="G144" s="397"/>
      <c r="H144" s="397"/>
      <c r="I144" s="397"/>
      <c r="J144" s="397"/>
      <c r="K144" s="397"/>
      <c r="L144" s="397"/>
      <c r="M144" s="397"/>
      <c r="N144" s="397"/>
      <c r="O144" s="397"/>
      <c r="P144" s="397"/>
      <c r="Q144" s="397"/>
      <c r="R144" s="397"/>
      <c r="S144" s="397"/>
      <c r="T144" s="397"/>
      <c r="U144" s="397"/>
      <c r="V144" s="397"/>
      <c r="W144" s="397"/>
      <c r="X144" s="397"/>
      <c r="Y144" s="397"/>
      <c r="Z144" s="397"/>
    </row>
    <row r="145" ht="12.75" customHeight="1">
      <c r="A145" s="397"/>
      <c r="B145" s="397"/>
      <c r="C145" s="397"/>
      <c r="D145" s="397"/>
      <c r="E145" s="397"/>
      <c r="F145" s="397"/>
      <c r="G145" s="397"/>
      <c r="H145" s="397"/>
      <c r="I145" s="397"/>
      <c r="J145" s="397"/>
      <c r="K145" s="397"/>
      <c r="L145" s="397"/>
      <c r="M145" s="397"/>
      <c r="N145" s="397"/>
      <c r="O145" s="397"/>
      <c r="P145" s="397"/>
      <c r="Q145" s="397"/>
      <c r="R145" s="397"/>
      <c r="S145" s="397"/>
      <c r="T145" s="397"/>
      <c r="U145" s="397"/>
      <c r="V145" s="397"/>
      <c r="W145" s="397"/>
      <c r="X145" s="397"/>
      <c r="Y145" s="397"/>
      <c r="Z145" s="397"/>
    </row>
    <row r="146" ht="12.75" customHeight="1">
      <c r="A146" s="397"/>
      <c r="B146" s="397"/>
      <c r="C146" s="397"/>
      <c r="D146" s="397"/>
      <c r="E146" s="397"/>
      <c r="F146" s="397"/>
      <c r="G146" s="397"/>
      <c r="H146" s="397"/>
      <c r="I146" s="397"/>
      <c r="J146" s="397"/>
      <c r="K146" s="397"/>
      <c r="L146" s="397"/>
      <c r="M146" s="397"/>
      <c r="N146" s="397"/>
      <c r="O146" s="397"/>
      <c r="P146" s="397"/>
      <c r="Q146" s="397"/>
      <c r="R146" s="397"/>
      <c r="S146" s="397"/>
      <c r="T146" s="397"/>
      <c r="U146" s="397"/>
      <c r="V146" s="397"/>
      <c r="W146" s="397"/>
      <c r="X146" s="397"/>
      <c r="Y146" s="397"/>
      <c r="Z146" s="397"/>
    </row>
    <row r="147" ht="12.75" customHeight="1">
      <c r="A147" s="397"/>
      <c r="B147" s="397"/>
      <c r="C147" s="397"/>
      <c r="D147" s="397"/>
      <c r="E147" s="397"/>
      <c r="F147" s="397"/>
      <c r="G147" s="397"/>
      <c r="H147" s="397"/>
      <c r="I147" s="397"/>
      <c r="J147" s="397"/>
      <c r="K147" s="397"/>
      <c r="L147" s="397"/>
      <c r="M147" s="397"/>
      <c r="N147" s="397"/>
      <c r="O147" s="397"/>
      <c r="P147" s="397"/>
      <c r="Q147" s="397"/>
      <c r="R147" s="397"/>
      <c r="S147" s="397"/>
      <c r="T147" s="397"/>
      <c r="U147" s="397"/>
      <c r="V147" s="397"/>
      <c r="W147" s="397"/>
      <c r="X147" s="397"/>
      <c r="Y147" s="397"/>
      <c r="Z147" s="397"/>
    </row>
    <row r="148" ht="12.75" customHeight="1">
      <c r="A148" s="397"/>
      <c r="B148" s="397"/>
      <c r="C148" s="397"/>
      <c r="D148" s="397"/>
      <c r="E148" s="397"/>
      <c r="F148" s="397"/>
      <c r="G148" s="397"/>
      <c r="H148" s="397"/>
      <c r="I148" s="397"/>
      <c r="J148" s="397"/>
      <c r="K148" s="397"/>
      <c r="L148" s="397"/>
      <c r="M148" s="397"/>
      <c r="N148" s="397"/>
      <c r="O148" s="397"/>
      <c r="P148" s="397"/>
      <c r="Q148" s="397"/>
      <c r="R148" s="397"/>
      <c r="S148" s="397"/>
      <c r="T148" s="397"/>
      <c r="U148" s="397"/>
      <c r="V148" s="397"/>
      <c r="W148" s="397"/>
      <c r="X148" s="397"/>
      <c r="Y148" s="397"/>
      <c r="Z148" s="397"/>
    </row>
    <row r="149" ht="12.75" customHeight="1">
      <c r="A149" s="397"/>
      <c r="B149" s="397"/>
      <c r="C149" s="397"/>
      <c r="D149" s="397"/>
      <c r="E149" s="397"/>
      <c r="F149" s="397"/>
      <c r="G149" s="397"/>
      <c r="H149" s="397"/>
      <c r="I149" s="397"/>
      <c r="J149" s="397"/>
      <c r="K149" s="397"/>
      <c r="L149" s="397"/>
      <c r="M149" s="397"/>
      <c r="N149" s="397"/>
      <c r="O149" s="397"/>
      <c r="P149" s="397"/>
      <c r="Q149" s="397"/>
      <c r="R149" s="397"/>
      <c r="S149" s="397"/>
      <c r="T149" s="397"/>
      <c r="U149" s="397"/>
      <c r="V149" s="397"/>
      <c r="W149" s="397"/>
      <c r="X149" s="397"/>
      <c r="Y149" s="397"/>
      <c r="Z149" s="397"/>
    </row>
    <row r="150" ht="12.75" customHeight="1">
      <c r="A150" s="397"/>
      <c r="B150" s="397"/>
      <c r="C150" s="397"/>
      <c r="D150" s="397"/>
      <c r="E150" s="397"/>
      <c r="F150" s="397"/>
      <c r="G150" s="397"/>
      <c r="H150" s="397"/>
      <c r="I150" s="397"/>
      <c r="J150" s="397"/>
      <c r="K150" s="397"/>
      <c r="L150" s="397"/>
      <c r="M150" s="397"/>
      <c r="N150" s="397"/>
      <c r="O150" s="397"/>
      <c r="P150" s="397"/>
      <c r="Q150" s="397"/>
      <c r="R150" s="397"/>
      <c r="S150" s="397"/>
      <c r="T150" s="397"/>
      <c r="U150" s="397"/>
      <c r="V150" s="397"/>
      <c r="W150" s="397"/>
      <c r="X150" s="397"/>
      <c r="Y150" s="397"/>
      <c r="Z150" s="397"/>
    </row>
    <row r="151" ht="12.75" customHeight="1">
      <c r="A151" s="397"/>
      <c r="B151" s="397"/>
      <c r="C151" s="397"/>
      <c r="D151" s="397"/>
      <c r="E151" s="397"/>
      <c r="F151" s="397"/>
      <c r="G151" s="397"/>
      <c r="H151" s="397"/>
      <c r="I151" s="397"/>
      <c r="J151" s="397"/>
      <c r="K151" s="397"/>
      <c r="L151" s="397"/>
      <c r="M151" s="397"/>
      <c r="N151" s="397"/>
      <c r="O151" s="397"/>
      <c r="P151" s="397"/>
      <c r="Q151" s="397"/>
      <c r="R151" s="397"/>
      <c r="S151" s="397"/>
      <c r="T151" s="397"/>
      <c r="U151" s="397"/>
      <c r="V151" s="397"/>
      <c r="W151" s="397"/>
      <c r="X151" s="397"/>
      <c r="Y151" s="397"/>
      <c r="Z151" s="397"/>
    </row>
    <row r="152" ht="12.75" customHeight="1">
      <c r="A152" s="397"/>
      <c r="B152" s="397"/>
      <c r="C152" s="397"/>
      <c r="D152" s="397"/>
      <c r="E152" s="397"/>
      <c r="F152" s="397"/>
      <c r="G152" s="397"/>
      <c r="H152" s="397"/>
      <c r="I152" s="397"/>
      <c r="J152" s="397"/>
      <c r="K152" s="397"/>
      <c r="L152" s="397"/>
      <c r="M152" s="397"/>
      <c r="N152" s="397"/>
      <c r="O152" s="397"/>
      <c r="P152" s="397"/>
      <c r="Q152" s="397"/>
      <c r="R152" s="397"/>
      <c r="S152" s="397"/>
      <c r="T152" s="397"/>
      <c r="U152" s="397"/>
      <c r="V152" s="397"/>
      <c r="W152" s="397"/>
      <c r="X152" s="397"/>
      <c r="Y152" s="397"/>
      <c r="Z152" s="397"/>
    </row>
    <row r="153" ht="12.75" customHeight="1">
      <c r="A153" s="397"/>
      <c r="B153" s="397"/>
      <c r="C153" s="397"/>
      <c r="D153" s="397"/>
      <c r="E153" s="397"/>
      <c r="F153" s="397"/>
      <c r="G153" s="397"/>
      <c r="H153" s="397"/>
      <c r="I153" s="397"/>
      <c r="J153" s="397"/>
      <c r="K153" s="397"/>
      <c r="L153" s="397"/>
      <c r="M153" s="397"/>
      <c r="N153" s="397"/>
      <c r="O153" s="397"/>
      <c r="P153" s="397"/>
      <c r="Q153" s="397"/>
      <c r="R153" s="397"/>
      <c r="S153" s="397"/>
      <c r="T153" s="397"/>
      <c r="U153" s="397"/>
      <c r="V153" s="397"/>
      <c r="W153" s="397"/>
      <c r="X153" s="397"/>
      <c r="Y153" s="397"/>
      <c r="Z153" s="397"/>
    </row>
    <row r="154" ht="12.75" customHeight="1">
      <c r="A154" s="397"/>
      <c r="B154" s="397"/>
      <c r="C154" s="397"/>
      <c r="D154" s="397"/>
      <c r="E154" s="397"/>
      <c r="F154" s="397"/>
      <c r="G154" s="397"/>
      <c r="H154" s="397"/>
      <c r="I154" s="397"/>
      <c r="J154" s="397"/>
      <c r="K154" s="397"/>
      <c r="L154" s="397"/>
      <c r="M154" s="397"/>
      <c r="N154" s="397"/>
      <c r="O154" s="397"/>
      <c r="P154" s="397"/>
      <c r="Q154" s="397"/>
      <c r="R154" s="397"/>
      <c r="S154" s="397"/>
      <c r="T154" s="397"/>
      <c r="U154" s="397"/>
      <c r="V154" s="397"/>
      <c r="W154" s="397"/>
      <c r="X154" s="397"/>
      <c r="Y154" s="397"/>
      <c r="Z154" s="397"/>
    </row>
    <row r="155" ht="12.75" customHeight="1">
      <c r="A155" s="397"/>
      <c r="B155" s="397"/>
      <c r="C155" s="397"/>
      <c r="D155" s="397"/>
      <c r="E155" s="397"/>
      <c r="F155" s="397"/>
      <c r="G155" s="397"/>
      <c r="H155" s="397"/>
      <c r="I155" s="397"/>
      <c r="J155" s="397"/>
      <c r="K155" s="397"/>
      <c r="L155" s="397"/>
      <c r="M155" s="397"/>
      <c r="N155" s="397"/>
      <c r="O155" s="397"/>
      <c r="P155" s="397"/>
      <c r="Q155" s="397"/>
      <c r="R155" s="397"/>
      <c r="S155" s="397"/>
      <c r="T155" s="397"/>
      <c r="U155" s="397"/>
      <c r="V155" s="397"/>
      <c r="W155" s="397"/>
      <c r="X155" s="397"/>
      <c r="Y155" s="397"/>
      <c r="Z155" s="397"/>
    </row>
    <row r="156" ht="12.75" customHeight="1">
      <c r="A156" s="397"/>
      <c r="B156" s="397"/>
      <c r="C156" s="397"/>
      <c r="D156" s="397"/>
      <c r="E156" s="397"/>
      <c r="F156" s="397"/>
      <c r="G156" s="397"/>
      <c r="H156" s="397"/>
      <c r="I156" s="397"/>
      <c r="J156" s="397"/>
      <c r="K156" s="397"/>
      <c r="L156" s="397"/>
      <c r="M156" s="397"/>
      <c r="N156" s="397"/>
      <c r="O156" s="397"/>
      <c r="P156" s="397"/>
      <c r="Q156" s="397"/>
      <c r="R156" s="397"/>
      <c r="S156" s="397"/>
      <c r="T156" s="397"/>
      <c r="U156" s="397"/>
      <c r="V156" s="397"/>
      <c r="W156" s="397"/>
      <c r="X156" s="397"/>
      <c r="Y156" s="397"/>
      <c r="Z156" s="397"/>
    </row>
    <row r="157" ht="12.75" customHeight="1">
      <c r="A157" s="397"/>
      <c r="B157" s="397"/>
      <c r="C157" s="397"/>
      <c r="D157" s="397"/>
      <c r="E157" s="397"/>
      <c r="F157" s="397"/>
      <c r="G157" s="397"/>
      <c r="H157" s="397"/>
      <c r="I157" s="397"/>
      <c r="J157" s="397"/>
      <c r="K157" s="397"/>
      <c r="L157" s="397"/>
      <c r="M157" s="397"/>
      <c r="N157" s="397"/>
      <c r="O157" s="397"/>
      <c r="P157" s="397"/>
      <c r="Q157" s="397"/>
      <c r="R157" s="397"/>
      <c r="S157" s="397"/>
      <c r="T157" s="397"/>
      <c r="U157" s="397"/>
      <c r="V157" s="397"/>
      <c r="W157" s="397"/>
      <c r="X157" s="397"/>
      <c r="Y157" s="397"/>
      <c r="Z157" s="397"/>
    </row>
    <row r="158" ht="12.75" customHeight="1">
      <c r="A158" s="397"/>
      <c r="B158" s="397"/>
      <c r="C158" s="397"/>
      <c r="D158" s="397"/>
      <c r="E158" s="397"/>
      <c r="F158" s="397"/>
      <c r="G158" s="397"/>
      <c r="H158" s="397"/>
      <c r="I158" s="397"/>
      <c r="J158" s="397"/>
      <c r="K158" s="397"/>
      <c r="L158" s="397"/>
      <c r="M158" s="397"/>
      <c r="N158" s="397"/>
      <c r="O158" s="397"/>
      <c r="P158" s="397"/>
      <c r="Q158" s="397"/>
      <c r="R158" s="397"/>
      <c r="S158" s="397"/>
      <c r="T158" s="397"/>
      <c r="U158" s="397"/>
      <c r="V158" s="397"/>
      <c r="W158" s="397"/>
      <c r="X158" s="397"/>
      <c r="Y158" s="397"/>
      <c r="Z158" s="397"/>
    </row>
    <row r="159" ht="12.75" customHeight="1">
      <c r="A159" s="397"/>
      <c r="B159" s="397"/>
      <c r="C159" s="397"/>
      <c r="D159" s="397"/>
      <c r="E159" s="397"/>
      <c r="F159" s="397"/>
      <c r="G159" s="397"/>
      <c r="H159" s="397"/>
      <c r="I159" s="397"/>
      <c r="J159" s="397"/>
      <c r="K159" s="397"/>
      <c r="L159" s="397"/>
      <c r="M159" s="397"/>
      <c r="N159" s="397"/>
      <c r="O159" s="397"/>
      <c r="P159" s="397"/>
      <c r="Q159" s="397"/>
      <c r="R159" s="397"/>
      <c r="S159" s="397"/>
      <c r="T159" s="397"/>
      <c r="U159" s="397"/>
      <c r="V159" s="397"/>
      <c r="W159" s="397"/>
      <c r="X159" s="397"/>
      <c r="Y159" s="397"/>
      <c r="Z159" s="397"/>
    </row>
    <row r="160" ht="12.75" customHeight="1">
      <c r="A160" s="397"/>
      <c r="B160" s="397"/>
      <c r="C160" s="397"/>
      <c r="D160" s="397"/>
      <c r="E160" s="397"/>
      <c r="F160" s="397"/>
      <c r="G160" s="397"/>
      <c r="H160" s="397"/>
      <c r="I160" s="397"/>
      <c r="J160" s="397"/>
      <c r="K160" s="397"/>
      <c r="L160" s="397"/>
      <c r="M160" s="397"/>
      <c r="N160" s="397"/>
      <c r="O160" s="397"/>
      <c r="P160" s="397"/>
      <c r="Q160" s="397"/>
      <c r="R160" s="397"/>
      <c r="S160" s="397"/>
      <c r="T160" s="397"/>
      <c r="U160" s="397"/>
      <c r="V160" s="397"/>
      <c r="W160" s="397"/>
      <c r="X160" s="397"/>
      <c r="Y160" s="397"/>
      <c r="Z160" s="397"/>
    </row>
    <row r="161" ht="12.75" customHeight="1">
      <c r="A161" s="397"/>
      <c r="B161" s="397"/>
      <c r="C161" s="397"/>
      <c r="D161" s="397"/>
      <c r="E161" s="397"/>
      <c r="F161" s="397"/>
      <c r="G161" s="397"/>
      <c r="H161" s="397"/>
      <c r="I161" s="397"/>
      <c r="J161" s="397"/>
      <c r="K161" s="397"/>
      <c r="L161" s="397"/>
      <c r="M161" s="397"/>
      <c r="N161" s="397"/>
      <c r="O161" s="397"/>
      <c r="P161" s="397"/>
      <c r="Q161" s="397"/>
      <c r="R161" s="397"/>
      <c r="S161" s="397"/>
      <c r="T161" s="397"/>
      <c r="U161" s="397"/>
      <c r="V161" s="397"/>
      <c r="W161" s="397"/>
      <c r="X161" s="397"/>
      <c r="Y161" s="397"/>
      <c r="Z161" s="397"/>
    </row>
    <row r="162" ht="12.75" customHeight="1">
      <c r="A162" s="397"/>
      <c r="B162" s="397"/>
      <c r="C162" s="397"/>
      <c r="D162" s="397"/>
      <c r="E162" s="397"/>
      <c r="F162" s="397"/>
      <c r="G162" s="397"/>
      <c r="H162" s="397"/>
      <c r="I162" s="397"/>
      <c r="J162" s="397"/>
      <c r="K162" s="397"/>
      <c r="L162" s="397"/>
      <c r="M162" s="397"/>
      <c r="N162" s="397"/>
      <c r="O162" s="397"/>
      <c r="P162" s="397"/>
      <c r="Q162" s="397"/>
      <c r="R162" s="397"/>
      <c r="S162" s="397"/>
      <c r="T162" s="397"/>
      <c r="U162" s="397"/>
      <c r="V162" s="397"/>
      <c r="W162" s="397"/>
      <c r="X162" s="397"/>
      <c r="Y162" s="397"/>
      <c r="Z162" s="397"/>
    </row>
    <row r="163" ht="12.75" customHeight="1">
      <c r="A163" s="397"/>
      <c r="B163" s="397"/>
      <c r="C163" s="397"/>
      <c r="D163" s="397"/>
      <c r="E163" s="397"/>
      <c r="F163" s="397"/>
      <c r="G163" s="397"/>
      <c r="H163" s="397"/>
      <c r="I163" s="397"/>
      <c r="J163" s="397"/>
      <c r="K163" s="397"/>
      <c r="L163" s="397"/>
      <c r="M163" s="397"/>
      <c r="N163" s="397"/>
      <c r="O163" s="397"/>
      <c r="P163" s="397"/>
      <c r="Q163" s="397"/>
      <c r="R163" s="397"/>
      <c r="S163" s="397"/>
      <c r="T163" s="397"/>
      <c r="U163" s="397"/>
      <c r="V163" s="397"/>
      <c r="W163" s="397"/>
      <c r="X163" s="397"/>
      <c r="Y163" s="397"/>
      <c r="Z163" s="397"/>
    </row>
    <row r="164" ht="12.75" customHeight="1">
      <c r="A164" s="397"/>
      <c r="B164" s="397"/>
      <c r="C164" s="397"/>
      <c r="D164" s="397"/>
      <c r="E164" s="397"/>
      <c r="F164" s="397"/>
      <c r="G164" s="397"/>
      <c r="H164" s="397"/>
      <c r="I164" s="397"/>
      <c r="J164" s="397"/>
      <c r="K164" s="397"/>
      <c r="L164" s="397"/>
      <c r="M164" s="397"/>
      <c r="N164" s="397"/>
      <c r="O164" s="397"/>
      <c r="P164" s="397"/>
      <c r="Q164" s="397"/>
      <c r="R164" s="397"/>
      <c r="S164" s="397"/>
      <c r="T164" s="397"/>
      <c r="U164" s="397"/>
      <c r="V164" s="397"/>
      <c r="W164" s="397"/>
      <c r="X164" s="397"/>
      <c r="Y164" s="397"/>
      <c r="Z164" s="397"/>
    </row>
    <row r="165" ht="12.75" customHeight="1">
      <c r="A165" s="397"/>
      <c r="B165" s="397"/>
      <c r="C165" s="397"/>
      <c r="D165" s="397"/>
      <c r="E165" s="397"/>
      <c r="F165" s="397"/>
      <c r="G165" s="397"/>
      <c r="H165" s="397"/>
      <c r="I165" s="397"/>
      <c r="J165" s="397"/>
      <c r="K165" s="397"/>
      <c r="L165" s="397"/>
      <c r="M165" s="397"/>
      <c r="N165" s="397"/>
      <c r="O165" s="397"/>
      <c r="P165" s="397"/>
      <c r="Q165" s="397"/>
      <c r="R165" s="397"/>
      <c r="S165" s="397"/>
      <c r="T165" s="397"/>
      <c r="U165" s="397"/>
      <c r="V165" s="397"/>
      <c r="W165" s="397"/>
      <c r="X165" s="397"/>
      <c r="Y165" s="397"/>
      <c r="Z165" s="397"/>
    </row>
    <row r="166" ht="12.75" customHeight="1">
      <c r="A166" s="397"/>
      <c r="B166" s="397"/>
      <c r="C166" s="397"/>
      <c r="D166" s="397"/>
      <c r="E166" s="397"/>
      <c r="F166" s="397"/>
      <c r="G166" s="397"/>
      <c r="H166" s="397"/>
      <c r="I166" s="397"/>
      <c r="J166" s="397"/>
      <c r="K166" s="397"/>
      <c r="L166" s="397"/>
      <c r="M166" s="397"/>
      <c r="N166" s="397"/>
      <c r="O166" s="397"/>
      <c r="P166" s="397"/>
      <c r="Q166" s="397"/>
      <c r="R166" s="397"/>
      <c r="S166" s="397"/>
      <c r="T166" s="397"/>
      <c r="U166" s="397"/>
      <c r="V166" s="397"/>
      <c r="W166" s="397"/>
      <c r="X166" s="397"/>
      <c r="Y166" s="397"/>
      <c r="Z166" s="397"/>
    </row>
    <row r="167" ht="12.75" customHeight="1">
      <c r="A167" s="397"/>
      <c r="B167" s="397"/>
      <c r="C167" s="397"/>
      <c r="D167" s="397"/>
      <c r="E167" s="397"/>
      <c r="F167" s="397"/>
      <c r="G167" s="397"/>
      <c r="H167" s="397"/>
      <c r="I167" s="397"/>
      <c r="J167" s="397"/>
      <c r="K167" s="397"/>
      <c r="L167" s="397"/>
      <c r="M167" s="397"/>
      <c r="N167" s="397"/>
      <c r="O167" s="397"/>
      <c r="P167" s="397"/>
      <c r="Q167" s="397"/>
      <c r="R167" s="397"/>
      <c r="S167" s="397"/>
      <c r="T167" s="397"/>
      <c r="U167" s="397"/>
      <c r="V167" s="397"/>
      <c r="W167" s="397"/>
      <c r="X167" s="397"/>
      <c r="Y167" s="397"/>
      <c r="Z167" s="397"/>
    </row>
    <row r="168" ht="12.75" customHeight="1">
      <c r="A168" s="397"/>
      <c r="B168" s="397"/>
      <c r="C168" s="397"/>
      <c r="D168" s="397"/>
      <c r="E168" s="397"/>
      <c r="F168" s="397"/>
      <c r="G168" s="397"/>
      <c r="H168" s="397"/>
      <c r="I168" s="397"/>
      <c r="J168" s="397"/>
      <c r="K168" s="397"/>
      <c r="L168" s="397"/>
      <c r="M168" s="397"/>
      <c r="N168" s="397"/>
      <c r="O168" s="397"/>
      <c r="P168" s="397"/>
      <c r="Q168" s="397"/>
      <c r="R168" s="397"/>
      <c r="S168" s="397"/>
      <c r="T168" s="397"/>
      <c r="U168" s="397"/>
      <c r="V168" s="397"/>
      <c r="W168" s="397"/>
      <c r="X168" s="397"/>
      <c r="Y168" s="397"/>
      <c r="Z168" s="397"/>
    </row>
    <row r="169" ht="12.75" customHeight="1">
      <c r="A169" s="397"/>
      <c r="B169" s="397"/>
      <c r="C169" s="397"/>
      <c r="D169" s="397"/>
      <c r="E169" s="397"/>
      <c r="F169" s="397"/>
      <c r="G169" s="397"/>
      <c r="H169" s="397"/>
      <c r="I169" s="397"/>
      <c r="J169" s="397"/>
      <c r="K169" s="397"/>
      <c r="L169" s="397"/>
      <c r="M169" s="397"/>
      <c r="N169" s="397"/>
      <c r="O169" s="397"/>
      <c r="P169" s="397"/>
      <c r="Q169" s="397"/>
      <c r="R169" s="397"/>
      <c r="S169" s="397"/>
      <c r="T169" s="397"/>
      <c r="U169" s="397"/>
      <c r="V169" s="397"/>
      <c r="W169" s="397"/>
      <c r="X169" s="397"/>
      <c r="Y169" s="397"/>
      <c r="Z169" s="397"/>
    </row>
    <row r="170" ht="12.75" customHeight="1">
      <c r="A170" s="397"/>
      <c r="B170" s="397"/>
      <c r="C170" s="397"/>
      <c r="D170" s="397"/>
      <c r="E170" s="397"/>
      <c r="F170" s="397"/>
      <c r="G170" s="397"/>
      <c r="H170" s="397"/>
      <c r="I170" s="397"/>
      <c r="J170" s="397"/>
      <c r="K170" s="397"/>
      <c r="L170" s="397"/>
      <c r="M170" s="397"/>
      <c r="N170" s="397"/>
      <c r="O170" s="397"/>
      <c r="P170" s="397"/>
      <c r="Q170" s="397"/>
      <c r="R170" s="397"/>
      <c r="S170" s="397"/>
      <c r="T170" s="397"/>
      <c r="U170" s="397"/>
      <c r="V170" s="397"/>
      <c r="W170" s="397"/>
      <c r="X170" s="397"/>
      <c r="Y170" s="397"/>
      <c r="Z170" s="397"/>
    </row>
    <row r="171" ht="12.75" customHeight="1">
      <c r="A171" s="397"/>
      <c r="B171" s="397"/>
      <c r="C171" s="397"/>
      <c r="D171" s="397"/>
      <c r="E171" s="397"/>
      <c r="F171" s="397"/>
      <c r="G171" s="397"/>
      <c r="H171" s="397"/>
      <c r="I171" s="397"/>
      <c r="J171" s="397"/>
      <c r="K171" s="397"/>
      <c r="L171" s="397"/>
      <c r="M171" s="397"/>
      <c r="N171" s="397"/>
      <c r="O171" s="397"/>
      <c r="P171" s="397"/>
      <c r="Q171" s="397"/>
      <c r="R171" s="397"/>
      <c r="S171" s="397"/>
      <c r="T171" s="397"/>
      <c r="U171" s="397"/>
      <c r="V171" s="397"/>
      <c r="W171" s="397"/>
      <c r="X171" s="397"/>
      <c r="Y171" s="397"/>
      <c r="Z171" s="397"/>
    </row>
    <row r="172" ht="12.75" customHeight="1">
      <c r="A172" s="397"/>
      <c r="B172" s="397"/>
      <c r="C172" s="397"/>
      <c r="D172" s="397"/>
      <c r="E172" s="397"/>
      <c r="F172" s="397"/>
      <c r="G172" s="397"/>
      <c r="H172" s="397"/>
      <c r="I172" s="397"/>
      <c r="J172" s="397"/>
      <c r="K172" s="397"/>
      <c r="L172" s="397"/>
      <c r="M172" s="397"/>
      <c r="N172" s="397"/>
      <c r="O172" s="397"/>
      <c r="P172" s="397"/>
      <c r="Q172" s="397"/>
      <c r="R172" s="397"/>
      <c r="S172" s="397"/>
      <c r="T172" s="397"/>
      <c r="U172" s="397"/>
      <c r="V172" s="397"/>
      <c r="W172" s="397"/>
      <c r="X172" s="397"/>
      <c r="Y172" s="397"/>
      <c r="Z172" s="397"/>
    </row>
    <row r="173" ht="12.75" customHeight="1">
      <c r="A173" s="397"/>
      <c r="B173" s="397"/>
      <c r="C173" s="397"/>
      <c r="D173" s="397"/>
      <c r="E173" s="397"/>
      <c r="F173" s="397"/>
      <c r="G173" s="397"/>
      <c r="H173" s="397"/>
      <c r="I173" s="397"/>
      <c r="J173" s="397"/>
      <c r="K173" s="397"/>
      <c r="L173" s="397"/>
      <c r="M173" s="397"/>
      <c r="N173" s="397"/>
      <c r="O173" s="397"/>
      <c r="P173" s="397"/>
      <c r="Q173" s="397"/>
      <c r="R173" s="397"/>
      <c r="S173" s="397"/>
      <c r="T173" s="397"/>
      <c r="U173" s="397"/>
      <c r="V173" s="397"/>
      <c r="W173" s="397"/>
      <c r="X173" s="397"/>
      <c r="Y173" s="397"/>
      <c r="Z173" s="397"/>
    </row>
    <row r="174" ht="12.75" customHeight="1">
      <c r="A174" s="397"/>
      <c r="B174" s="397"/>
      <c r="C174" s="397"/>
      <c r="D174" s="397"/>
      <c r="E174" s="397"/>
      <c r="F174" s="397"/>
      <c r="G174" s="397"/>
      <c r="H174" s="397"/>
      <c r="I174" s="397"/>
      <c r="J174" s="397"/>
      <c r="K174" s="397"/>
      <c r="L174" s="397"/>
      <c r="M174" s="397"/>
      <c r="N174" s="397"/>
      <c r="O174" s="397"/>
      <c r="P174" s="397"/>
      <c r="Q174" s="397"/>
      <c r="R174" s="397"/>
      <c r="S174" s="397"/>
      <c r="T174" s="397"/>
      <c r="U174" s="397"/>
      <c r="V174" s="397"/>
      <c r="W174" s="397"/>
      <c r="X174" s="397"/>
      <c r="Y174" s="397"/>
      <c r="Z174" s="397"/>
    </row>
    <row r="175" ht="12.75" customHeight="1">
      <c r="A175" s="397"/>
      <c r="B175" s="397"/>
      <c r="C175" s="397"/>
      <c r="D175" s="397"/>
      <c r="E175" s="397"/>
      <c r="F175" s="397"/>
      <c r="G175" s="397"/>
      <c r="H175" s="397"/>
      <c r="I175" s="397"/>
      <c r="J175" s="397"/>
      <c r="K175" s="397"/>
      <c r="L175" s="397"/>
      <c r="M175" s="397"/>
      <c r="N175" s="397"/>
      <c r="O175" s="397"/>
      <c r="P175" s="397"/>
      <c r="Q175" s="397"/>
      <c r="R175" s="397"/>
      <c r="S175" s="397"/>
      <c r="T175" s="397"/>
      <c r="U175" s="397"/>
      <c r="V175" s="397"/>
      <c r="W175" s="397"/>
      <c r="X175" s="397"/>
      <c r="Y175" s="397"/>
      <c r="Z175" s="397"/>
    </row>
    <row r="176" ht="12.75" customHeight="1">
      <c r="A176" s="397"/>
      <c r="B176" s="397"/>
      <c r="C176" s="397"/>
      <c r="D176" s="397"/>
      <c r="E176" s="397"/>
      <c r="F176" s="397"/>
      <c r="G176" s="397"/>
      <c r="H176" s="397"/>
      <c r="I176" s="397"/>
      <c r="J176" s="397"/>
      <c r="K176" s="397"/>
      <c r="L176" s="397"/>
      <c r="M176" s="397"/>
      <c r="N176" s="397"/>
      <c r="O176" s="397"/>
      <c r="P176" s="397"/>
      <c r="Q176" s="397"/>
      <c r="R176" s="397"/>
      <c r="S176" s="397"/>
      <c r="T176" s="397"/>
      <c r="U176" s="397"/>
      <c r="V176" s="397"/>
      <c r="W176" s="397"/>
      <c r="X176" s="397"/>
      <c r="Y176" s="397"/>
      <c r="Z176" s="397"/>
    </row>
    <row r="177" ht="12.75" customHeight="1">
      <c r="A177" s="397"/>
      <c r="B177" s="397"/>
      <c r="C177" s="397"/>
      <c r="D177" s="397"/>
      <c r="E177" s="397"/>
      <c r="F177" s="397"/>
      <c r="G177" s="397"/>
      <c r="H177" s="397"/>
      <c r="I177" s="397"/>
      <c r="J177" s="397"/>
      <c r="K177" s="397"/>
      <c r="L177" s="397"/>
      <c r="M177" s="397"/>
      <c r="N177" s="397"/>
      <c r="O177" s="397"/>
      <c r="P177" s="397"/>
      <c r="Q177" s="397"/>
      <c r="R177" s="397"/>
      <c r="S177" s="397"/>
      <c r="T177" s="397"/>
      <c r="U177" s="397"/>
      <c r="V177" s="397"/>
      <c r="W177" s="397"/>
      <c r="X177" s="397"/>
      <c r="Y177" s="397"/>
      <c r="Z177" s="397"/>
    </row>
    <row r="178" ht="12.75" customHeight="1">
      <c r="A178" s="397"/>
      <c r="B178" s="397"/>
      <c r="C178" s="397"/>
      <c r="D178" s="397"/>
      <c r="E178" s="397"/>
      <c r="F178" s="397"/>
      <c r="G178" s="397"/>
      <c r="H178" s="397"/>
      <c r="I178" s="397"/>
      <c r="J178" s="397"/>
      <c r="K178" s="397"/>
      <c r="L178" s="397"/>
      <c r="M178" s="397"/>
      <c r="N178" s="397"/>
      <c r="O178" s="397"/>
      <c r="P178" s="397"/>
      <c r="Q178" s="397"/>
      <c r="R178" s="397"/>
      <c r="S178" s="397"/>
      <c r="T178" s="397"/>
      <c r="U178" s="397"/>
      <c r="V178" s="397"/>
      <c r="W178" s="397"/>
      <c r="X178" s="397"/>
      <c r="Y178" s="397"/>
      <c r="Z178" s="397"/>
    </row>
    <row r="179" ht="12.75" customHeight="1">
      <c r="A179" s="397"/>
      <c r="B179" s="397"/>
      <c r="C179" s="397"/>
      <c r="D179" s="397"/>
      <c r="E179" s="397"/>
      <c r="F179" s="397"/>
      <c r="G179" s="397"/>
      <c r="H179" s="397"/>
      <c r="I179" s="397"/>
      <c r="J179" s="397"/>
      <c r="K179" s="397"/>
      <c r="L179" s="397"/>
      <c r="M179" s="397"/>
      <c r="N179" s="397"/>
      <c r="O179" s="397"/>
      <c r="P179" s="397"/>
      <c r="Q179" s="397"/>
      <c r="R179" s="397"/>
      <c r="S179" s="397"/>
      <c r="T179" s="397"/>
      <c r="U179" s="397"/>
      <c r="V179" s="397"/>
      <c r="W179" s="397"/>
      <c r="X179" s="397"/>
      <c r="Y179" s="397"/>
      <c r="Z179" s="397"/>
    </row>
    <row r="180" ht="12.75" customHeight="1">
      <c r="A180" s="397"/>
      <c r="B180" s="397"/>
      <c r="C180" s="397"/>
      <c r="D180" s="397"/>
      <c r="E180" s="397"/>
      <c r="F180" s="397"/>
      <c r="G180" s="397"/>
      <c r="H180" s="397"/>
      <c r="I180" s="397"/>
      <c r="J180" s="397"/>
      <c r="K180" s="397"/>
      <c r="L180" s="397"/>
      <c r="M180" s="397"/>
      <c r="N180" s="397"/>
      <c r="O180" s="397"/>
      <c r="P180" s="397"/>
      <c r="Q180" s="397"/>
      <c r="R180" s="397"/>
      <c r="S180" s="397"/>
      <c r="T180" s="397"/>
      <c r="U180" s="397"/>
      <c r="V180" s="397"/>
      <c r="W180" s="397"/>
      <c r="X180" s="397"/>
      <c r="Y180" s="397"/>
      <c r="Z180" s="397"/>
    </row>
    <row r="181" ht="12.75" customHeight="1">
      <c r="A181" s="397"/>
      <c r="B181" s="397"/>
      <c r="C181" s="397"/>
      <c r="D181" s="397"/>
      <c r="E181" s="397"/>
      <c r="F181" s="397"/>
      <c r="G181" s="397"/>
      <c r="H181" s="397"/>
      <c r="I181" s="397"/>
      <c r="J181" s="397"/>
      <c r="K181" s="397"/>
      <c r="L181" s="397"/>
      <c r="M181" s="397"/>
      <c r="N181" s="397"/>
      <c r="O181" s="397"/>
      <c r="P181" s="397"/>
      <c r="Q181" s="397"/>
      <c r="R181" s="397"/>
      <c r="S181" s="397"/>
      <c r="T181" s="397"/>
      <c r="U181" s="397"/>
      <c r="V181" s="397"/>
      <c r="W181" s="397"/>
      <c r="X181" s="397"/>
      <c r="Y181" s="397"/>
      <c r="Z181" s="397"/>
    </row>
    <row r="182" ht="12.75" customHeight="1">
      <c r="A182" s="397"/>
      <c r="B182" s="397"/>
      <c r="C182" s="397"/>
      <c r="D182" s="397"/>
      <c r="E182" s="397"/>
      <c r="F182" s="397"/>
      <c r="G182" s="397"/>
      <c r="H182" s="397"/>
      <c r="I182" s="397"/>
      <c r="J182" s="397"/>
      <c r="K182" s="397"/>
      <c r="L182" s="397"/>
      <c r="M182" s="397"/>
      <c r="N182" s="397"/>
      <c r="O182" s="397"/>
      <c r="P182" s="397"/>
      <c r="Q182" s="397"/>
      <c r="R182" s="397"/>
      <c r="S182" s="397"/>
      <c r="T182" s="397"/>
      <c r="U182" s="397"/>
      <c r="V182" s="397"/>
      <c r="W182" s="397"/>
      <c r="X182" s="397"/>
      <c r="Y182" s="397"/>
      <c r="Z182" s="397"/>
    </row>
    <row r="183" ht="12.75" customHeight="1">
      <c r="A183" s="397"/>
      <c r="B183" s="397"/>
      <c r="C183" s="397"/>
      <c r="D183" s="397"/>
      <c r="E183" s="397"/>
      <c r="F183" s="397"/>
      <c r="G183" s="397"/>
      <c r="H183" s="397"/>
      <c r="I183" s="397"/>
      <c r="J183" s="397"/>
      <c r="K183" s="397"/>
      <c r="L183" s="397"/>
      <c r="M183" s="397"/>
      <c r="N183" s="397"/>
      <c r="O183" s="397"/>
      <c r="P183" s="397"/>
      <c r="Q183" s="397"/>
      <c r="R183" s="397"/>
      <c r="S183" s="397"/>
      <c r="T183" s="397"/>
      <c r="U183" s="397"/>
      <c r="V183" s="397"/>
      <c r="W183" s="397"/>
      <c r="X183" s="397"/>
      <c r="Y183" s="397"/>
      <c r="Z183" s="397"/>
    </row>
    <row r="184" ht="12.75" customHeight="1">
      <c r="A184" s="397"/>
      <c r="B184" s="397"/>
      <c r="C184" s="397"/>
      <c r="D184" s="397"/>
      <c r="E184" s="397"/>
      <c r="F184" s="397"/>
      <c r="G184" s="397"/>
      <c r="H184" s="397"/>
      <c r="I184" s="397"/>
      <c r="J184" s="397"/>
      <c r="K184" s="397"/>
      <c r="L184" s="397"/>
      <c r="M184" s="397"/>
      <c r="N184" s="397"/>
      <c r="O184" s="397"/>
      <c r="P184" s="397"/>
      <c r="Q184" s="397"/>
      <c r="R184" s="397"/>
      <c r="S184" s="397"/>
      <c r="T184" s="397"/>
      <c r="U184" s="397"/>
      <c r="V184" s="397"/>
      <c r="W184" s="397"/>
      <c r="X184" s="397"/>
      <c r="Y184" s="397"/>
      <c r="Z184" s="397"/>
    </row>
    <row r="185" ht="12.75" customHeight="1">
      <c r="A185" s="397"/>
      <c r="B185" s="397"/>
      <c r="C185" s="397"/>
      <c r="D185" s="397"/>
      <c r="E185" s="397"/>
      <c r="F185" s="397"/>
      <c r="G185" s="397"/>
      <c r="H185" s="397"/>
      <c r="I185" s="397"/>
      <c r="J185" s="397"/>
      <c r="K185" s="397"/>
      <c r="L185" s="397"/>
      <c r="M185" s="397"/>
      <c r="N185" s="397"/>
      <c r="O185" s="397"/>
      <c r="P185" s="397"/>
      <c r="Q185" s="397"/>
      <c r="R185" s="397"/>
      <c r="S185" s="397"/>
      <c r="T185" s="397"/>
      <c r="U185" s="397"/>
      <c r="V185" s="397"/>
      <c r="W185" s="397"/>
      <c r="X185" s="397"/>
      <c r="Y185" s="397"/>
      <c r="Z185" s="397"/>
    </row>
    <row r="186" ht="12.75" customHeight="1">
      <c r="A186" s="397"/>
      <c r="B186" s="397"/>
      <c r="C186" s="397"/>
      <c r="D186" s="397"/>
      <c r="E186" s="397"/>
      <c r="F186" s="397"/>
      <c r="G186" s="397"/>
      <c r="H186" s="397"/>
      <c r="I186" s="397"/>
      <c r="J186" s="397"/>
      <c r="K186" s="397"/>
      <c r="L186" s="397"/>
      <c r="M186" s="397"/>
      <c r="N186" s="397"/>
      <c r="O186" s="397"/>
      <c r="P186" s="397"/>
      <c r="Q186" s="397"/>
      <c r="R186" s="397"/>
      <c r="S186" s="397"/>
      <c r="T186" s="397"/>
      <c r="U186" s="397"/>
      <c r="V186" s="397"/>
      <c r="W186" s="397"/>
      <c r="X186" s="397"/>
      <c r="Y186" s="397"/>
      <c r="Z186" s="397"/>
    </row>
    <row r="187" ht="12.75" customHeight="1">
      <c r="A187" s="397"/>
      <c r="B187" s="397"/>
      <c r="C187" s="397"/>
      <c r="D187" s="397"/>
      <c r="E187" s="397"/>
      <c r="F187" s="397"/>
      <c r="G187" s="397"/>
      <c r="H187" s="397"/>
      <c r="I187" s="397"/>
      <c r="J187" s="397"/>
      <c r="K187" s="397"/>
      <c r="L187" s="397"/>
      <c r="M187" s="397"/>
      <c r="N187" s="397"/>
      <c r="O187" s="397"/>
      <c r="P187" s="397"/>
      <c r="Q187" s="397"/>
      <c r="R187" s="397"/>
      <c r="S187" s="397"/>
      <c r="T187" s="397"/>
      <c r="U187" s="397"/>
      <c r="V187" s="397"/>
      <c r="W187" s="397"/>
      <c r="X187" s="397"/>
      <c r="Y187" s="397"/>
      <c r="Z187" s="397"/>
    </row>
    <row r="188" ht="12.75" customHeight="1">
      <c r="A188" s="397"/>
      <c r="B188" s="397"/>
      <c r="C188" s="397"/>
      <c r="D188" s="397"/>
      <c r="E188" s="397"/>
      <c r="F188" s="397"/>
      <c r="G188" s="397"/>
      <c r="H188" s="397"/>
      <c r="I188" s="397"/>
      <c r="J188" s="397"/>
      <c r="K188" s="397"/>
      <c r="L188" s="397"/>
      <c r="M188" s="397"/>
      <c r="N188" s="397"/>
      <c r="O188" s="397"/>
      <c r="P188" s="397"/>
      <c r="Q188" s="397"/>
      <c r="R188" s="397"/>
      <c r="S188" s="397"/>
      <c r="T188" s="397"/>
      <c r="U188" s="397"/>
      <c r="V188" s="397"/>
      <c r="W188" s="397"/>
      <c r="X188" s="397"/>
      <c r="Y188" s="397"/>
      <c r="Z188" s="397"/>
    </row>
    <row r="189" ht="12.75" customHeight="1">
      <c r="A189" s="397"/>
      <c r="B189" s="397"/>
      <c r="C189" s="397"/>
      <c r="D189" s="397"/>
      <c r="E189" s="397"/>
      <c r="F189" s="397"/>
      <c r="G189" s="397"/>
      <c r="H189" s="397"/>
      <c r="I189" s="397"/>
      <c r="J189" s="397"/>
      <c r="K189" s="397"/>
      <c r="L189" s="397"/>
      <c r="M189" s="397"/>
      <c r="N189" s="397"/>
      <c r="O189" s="397"/>
      <c r="P189" s="397"/>
      <c r="Q189" s="397"/>
      <c r="R189" s="397"/>
      <c r="S189" s="397"/>
      <c r="T189" s="397"/>
      <c r="U189" s="397"/>
      <c r="V189" s="397"/>
      <c r="W189" s="397"/>
      <c r="X189" s="397"/>
      <c r="Y189" s="397"/>
      <c r="Z189" s="397"/>
    </row>
    <row r="190" ht="12.75" customHeight="1">
      <c r="A190" s="397"/>
      <c r="B190" s="397"/>
      <c r="C190" s="397"/>
      <c r="D190" s="397"/>
      <c r="E190" s="397"/>
      <c r="F190" s="397"/>
      <c r="G190" s="397"/>
      <c r="H190" s="397"/>
      <c r="I190" s="397"/>
      <c r="J190" s="397"/>
      <c r="K190" s="397"/>
      <c r="L190" s="397"/>
      <c r="M190" s="397"/>
      <c r="N190" s="397"/>
      <c r="O190" s="397"/>
      <c r="P190" s="397"/>
      <c r="Q190" s="397"/>
      <c r="R190" s="397"/>
      <c r="S190" s="397"/>
      <c r="T190" s="397"/>
      <c r="U190" s="397"/>
      <c r="V190" s="397"/>
      <c r="W190" s="397"/>
      <c r="X190" s="397"/>
      <c r="Y190" s="397"/>
      <c r="Z190" s="397"/>
    </row>
    <row r="191" ht="12.75" customHeight="1">
      <c r="A191" s="397"/>
      <c r="B191" s="397"/>
      <c r="C191" s="397"/>
      <c r="D191" s="397"/>
      <c r="E191" s="397"/>
      <c r="F191" s="397"/>
      <c r="G191" s="397"/>
      <c r="H191" s="397"/>
      <c r="I191" s="397"/>
      <c r="J191" s="397"/>
      <c r="K191" s="397"/>
      <c r="L191" s="397"/>
      <c r="M191" s="397"/>
      <c r="N191" s="397"/>
      <c r="O191" s="397"/>
      <c r="P191" s="397"/>
      <c r="Q191" s="397"/>
      <c r="R191" s="397"/>
      <c r="S191" s="397"/>
      <c r="T191" s="397"/>
      <c r="U191" s="397"/>
      <c r="V191" s="397"/>
      <c r="W191" s="397"/>
      <c r="X191" s="397"/>
      <c r="Y191" s="397"/>
      <c r="Z191" s="397"/>
    </row>
    <row r="192" ht="12.75" customHeight="1">
      <c r="A192" s="397"/>
      <c r="B192" s="397"/>
      <c r="C192" s="397"/>
      <c r="D192" s="397"/>
      <c r="E192" s="397"/>
      <c r="F192" s="397"/>
      <c r="G192" s="397"/>
      <c r="H192" s="397"/>
      <c r="I192" s="397"/>
      <c r="J192" s="397"/>
      <c r="K192" s="397"/>
      <c r="L192" s="397"/>
      <c r="M192" s="397"/>
      <c r="N192" s="397"/>
      <c r="O192" s="397"/>
      <c r="P192" s="397"/>
      <c r="Q192" s="397"/>
      <c r="R192" s="397"/>
      <c r="S192" s="397"/>
      <c r="T192" s="397"/>
      <c r="U192" s="397"/>
      <c r="V192" s="397"/>
      <c r="W192" s="397"/>
      <c r="X192" s="397"/>
      <c r="Y192" s="397"/>
      <c r="Z192" s="397"/>
    </row>
    <row r="193" ht="12.75" customHeight="1">
      <c r="A193" s="397"/>
      <c r="B193" s="397"/>
      <c r="C193" s="397"/>
      <c r="D193" s="397"/>
      <c r="E193" s="397"/>
      <c r="F193" s="397"/>
      <c r="G193" s="397"/>
      <c r="H193" s="397"/>
      <c r="I193" s="397"/>
      <c r="J193" s="397"/>
      <c r="K193" s="397"/>
      <c r="L193" s="397"/>
      <c r="M193" s="397"/>
      <c r="N193" s="397"/>
      <c r="O193" s="397"/>
      <c r="P193" s="397"/>
      <c r="Q193" s="397"/>
      <c r="R193" s="397"/>
      <c r="S193" s="397"/>
      <c r="T193" s="397"/>
      <c r="U193" s="397"/>
      <c r="V193" s="397"/>
      <c r="W193" s="397"/>
      <c r="X193" s="397"/>
      <c r="Y193" s="397"/>
      <c r="Z193" s="397"/>
    </row>
    <row r="194" ht="12.75" customHeight="1">
      <c r="A194" s="397"/>
      <c r="B194" s="397"/>
      <c r="C194" s="397"/>
      <c r="D194" s="397"/>
      <c r="E194" s="397"/>
      <c r="F194" s="397"/>
      <c r="G194" s="397"/>
      <c r="H194" s="397"/>
      <c r="I194" s="397"/>
      <c r="J194" s="397"/>
      <c r="K194" s="397"/>
      <c r="L194" s="397"/>
      <c r="M194" s="397"/>
      <c r="N194" s="397"/>
      <c r="O194" s="397"/>
      <c r="P194" s="397"/>
      <c r="Q194" s="397"/>
      <c r="R194" s="397"/>
      <c r="S194" s="397"/>
      <c r="T194" s="397"/>
      <c r="U194" s="397"/>
      <c r="V194" s="397"/>
      <c r="W194" s="397"/>
      <c r="X194" s="397"/>
      <c r="Y194" s="397"/>
      <c r="Z194" s="397"/>
    </row>
    <row r="195" ht="12.75" customHeight="1">
      <c r="A195" s="397"/>
      <c r="B195" s="397"/>
      <c r="C195" s="397"/>
      <c r="D195" s="397"/>
      <c r="E195" s="397"/>
      <c r="F195" s="397"/>
      <c r="G195" s="397"/>
      <c r="H195" s="397"/>
      <c r="I195" s="397"/>
      <c r="J195" s="397"/>
      <c r="K195" s="397"/>
      <c r="L195" s="397"/>
      <c r="M195" s="397"/>
      <c r="N195" s="397"/>
      <c r="O195" s="397"/>
      <c r="P195" s="397"/>
      <c r="Q195" s="397"/>
      <c r="R195" s="397"/>
      <c r="S195" s="397"/>
      <c r="T195" s="397"/>
      <c r="U195" s="397"/>
      <c r="V195" s="397"/>
      <c r="W195" s="397"/>
      <c r="X195" s="397"/>
      <c r="Y195" s="397"/>
      <c r="Z195" s="397"/>
    </row>
    <row r="196" ht="12.75" customHeight="1">
      <c r="A196" s="397"/>
      <c r="B196" s="397"/>
      <c r="C196" s="397"/>
      <c r="D196" s="397"/>
      <c r="E196" s="397"/>
      <c r="F196" s="397"/>
      <c r="G196" s="397"/>
      <c r="H196" s="397"/>
      <c r="I196" s="397"/>
      <c r="J196" s="397"/>
      <c r="K196" s="397"/>
      <c r="L196" s="397"/>
      <c r="M196" s="397"/>
      <c r="N196" s="397"/>
      <c r="O196" s="397"/>
      <c r="P196" s="397"/>
      <c r="Q196" s="397"/>
      <c r="R196" s="397"/>
      <c r="S196" s="397"/>
      <c r="T196" s="397"/>
      <c r="U196" s="397"/>
      <c r="V196" s="397"/>
      <c r="W196" s="397"/>
      <c r="X196" s="397"/>
      <c r="Y196" s="397"/>
      <c r="Z196" s="397"/>
    </row>
    <row r="197" ht="12.75" customHeight="1">
      <c r="A197" s="397"/>
      <c r="B197" s="397"/>
      <c r="C197" s="397"/>
      <c r="D197" s="397"/>
      <c r="E197" s="397"/>
      <c r="F197" s="397"/>
      <c r="G197" s="397"/>
      <c r="H197" s="397"/>
      <c r="I197" s="397"/>
      <c r="J197" s="397"/>
      <c r="K197" s="397"/>
      <c r="L197" s="397"/>
      <c r="M197" s="397"/>
      <c r="N197" s="397"/>
      <c r="O197" s="397"/>
      <c r="P197" s="397"/>
      <c r="Q197" s="397"/>
      <c r="R197" s="397"/>
      <c r="S197" s="397"/>
      <c r="T197" s="397"/>
      <c r="U197" s="397"/>
      <c r="V197" s="397"/>
      <c r="W197" s="397"/>
      <c r="X197" s="397"/>
      <c r="Y197" s="397"/>
      <c r="Z197" s="397"/>
    </row>
    <row r="198" ht="12.75" customHeight="1">
      <c r="A198" s="397"/>
      <c r="B198" s="397"/>
      <c r="C198" s="397"/>
      <c r="D198" s="397"/>
      <c r="E198" s="397"/>
      <c r="F198" s="397"/>
      <c r="G198" s="397"/>
      <c r="H198" s="397"/>
      <c r="I198" s="397"/>
      <c r="J198" s="397"/>
      <c r="K198" s="397"/>
      <c r="L198" s="397"/>
      <c r="M198" s="397"/>
      <c r="N198" s="397"/>
      <c r="O198" s="397"/>
      <c r="P198" s="397"/>
      <c r="Q198" s="397"/>
      <c r="R198" s="397"/>
      <c r="S198" s="397"/>
      <c r="T198" s="397"/>
      <c r="U198" s="397"/>
      <c r="V198" s="397"/>
      <c r="W198" s="397"/>
      <c r="X198" s="397"/>
      <c r="Y198" s="397"/>
      <c r="Z198" s="397"/>
    </row>
    <row r="199" ht="12.75" customHeight="1">
      <c r="A199" s="397"/>
      <c r="B199" s="397"/>
      <c r="C199" s="397"/>
      <c r="D199" s="397"/>
      <c r="E199" s="397"/>
      <c r="F199" s="397"/>
      <c r="G199" s="397"/>
      <c r="H199" s="397"/>
      <c r="I199" s="397"/>
      <c r="J199" s="397"/>
      <c r="K199" s="397"/>
      <c r="L199" s="397"/>
      <c r="M199" s="397"/>
      <c r="N199" s="397"/>
      <c r="O199" s="397"/>
      <c r="P199" s="397"/>
      <c r="Q199" s="397"/>
      <c r="R199" s="397"/>
      <c r="S199" s="397"/>
      <c r="T199" s="397"/>
      <c r="U199" s="397"/>
      <c r="V199" s="397"/>
      <c r="W199" s="397"/>
      <c r="X199" s="397"/>
      <c r="Y199" s="397"/>
      <c r="Z199" s="397"/>
    </row>
    <row r="200" ht="12.75" customHeight="1">
      <c r="A200" s="397"/>
      <c r="B200" s="397"/>
      <c r="C200" s="397"/>
      <c r="D200" s="397"/>
      <c r="E200" s="397"/>
      <c r="F200" s="397"/>
      <c r="G200" s="397"/>
      <c r="H200" s="397"/>
      <c r="I200" s="397"/>
      <c r="J200" s="397"/>
      <c r="K200" s="397"/>
      <c r="L200" s="397"/>
      <c r="M200" s="397"/>
      <c r="N200" s="397"/>
      <c r="O200" s="397"/>
      <c r="P200" s="397"/>
      <c r="Q200" s="397"/>
      <c r="R200" s="397"/>
      <c r="S200" s="397"/>
      <c r="T200" s="397"/>
      <c r="U200" s="397"/>
      <c r="V200" s="397"/>
      <c r="W200" s="397"/>
      <c r="X200" s="397"/>
      <c r="Y200" s="397"/>
      <c r="Z200" s="397"/>
    </row>
    <row r="201" ht="12.75" customHeight="1">
      <c r="A201" s="397"/>
      <c r="B201" s="397"/>
      <c r="C201" s="397"/>
      <c r="D201" s="397"/>
      <c r="E201" s="397"/>
      <c r="F201" s="397"/>
      <c r="G201" s="397"/>
      <c r="H201" s="397"/>
      <c r="I201" s="397"/>
      <c r="J201" s="397"/>
      <c r="K201" s="397"/>
      <c r="L201" s="397"/>
      <c r="M201" s="397"/>
      <c r="N201" s="397"/>
      <c r="O201" s="397"/>
      <c r="P201" s="397"/>
      <c r="Q201" s="397"/>
      <c r="R201" s="397"/>
      <c r="S201" s="397"/>
      <c r="T201" s="397"/>
      <c r="U201" s="397"/>
      <c r="V201" s="397"/>
      <c r="W201" s="397"/>
      <c r="X201" s="397"/>
      <c r="Y201" s="397"/>
      <c r="Z201" s="397"/>
    </row>
    <row r="202" ht="12.75" customHeight="1">
      <c r="A202" s="397"/>
      <c r="B202" s="397"/>
      <c r="C202" s="397"/>
      <c r="D202" s="397"/>
      <c r="E202" s="397"/>
      <c r="F202" s="397"/>
      <c r="G202" s="397"/>
      <c r="H202" s="397"/>
      <c r="I202" s="397"/>
      <c r="J202" s="397"/>
      <c r="K202" s="397"/>
      <c r="L202" s="397"/>
      <c r="M202" s="397"/>
      <c r="N202" s="397"/>
      <c r="O202" s="397"/>
      <c r="P202" s="397"/>
      <c r="Q202" s="397"/>
      <c r="R202" s="397"/>
      <c r="S202" s="397"/>
      <c r="T202" s="397"/>
      <c r="U202" s="397"/>
      <c r="V202" s="397"/>
      <c r="W202" s="397"/>
      <c r="X202" s="397"/>
      <c r="Y202" s="397"/>
      <c r="Z202" s="397"/>
    </row>
    <row r="203" ht="12.75" customHeight="1">
      <c r="A203" s="397"/>
      <c r="B203" s="397"/>
      <c r="C203" s="397"/>
      <c r="D203" s="397"/>
      <c r="E203" s="397"/>
      <c r="F203" s="397"/>
      <c r="G203" s="397"/>
      <c r="H203" s="397"/>
      <c r="I203" s="397"/>
      <c r="J203" s="397"/>
      <c r="K203" s="397"/>
      <c r="L203" s="397"/>
      <c r="M203" s="397"/>
      <c r="N203" s="397"/>
      <c r="O203" s="397"/>
      <c r="P203" s="397"/>
      <c r="Q203" s="397"/>
      <c r="R203" s="397"/>
      <c r="S203" s="397"/>
      <c r="T203" s="397"/>
      <c r="U203" s="397"/>
      <c r="V203" s="397"/>
      <c r="W203" s="397"/>
      <c r="X203" s="397"/>
      <c r="Y203" s="397"/>
      <c r="Z203" s="397"/>
    </row>
    <row r="204" ht="12.75" customHeight="1">
      <c r="A204" s="397"/>
      <c r="B204" s="397"/>
      <c r="C204" s="397"/>
      <c r="D204" s="397"/>
      <c r="E204" s="397"/>
      <c r="F204" s="397"/>
      <c r="G204" s="397"/>
      <c r="H204" s="397"/>
      <c r="I204" s="397"/>
      <c r="J204" s="397"/>
      <c r="K204" s="397"/>
      <c r="L204" s="397"/>
      <c r="M204" s="397"/>
      <c r="N204" s="397"/>
      <c r="O204" s="397"/>
      <c r="P204" s="397"/>
      <c r="Q204" s="397"/>
      <c r="R204" s="397"/>
      <c r="S204" s="397"/>
      <c r="T204" s="397"/>
      <c r="U204" s="397"/>
      <c r="V204" s="397"/>
      <c r="W204" s="397"/>
      <c r="X204" s="397"/>
      <c r="Y204" s="397"/>
      <c r="Z204" s="397"/>
    </row>
    <row r="205" ht="12.75" customHeight="1">
      <c r="A205" s="397"/>
      <c r="B205" s="397"/>
      <c r="C205" s="397"/>
      <c r="D205" s="397"/>
      <c r="E205" s="397"/>
      <c r="F205" s="397"/>
      <c r="G205" s="397"/>
      <c r="H205" s="397"/>
      <c r="I205" s="397"/>
      <c r="J205" s="397"/>
      <c r="K205" s="397"/>
      <c r="L205" s="397"/>
      <c r="M205" s="397"/>
      <c r="N205" s="397"/>
      <c r="O205" s="397"/>
      <c r="P205" s="397"/>
      <c r="Q205" s="397"/>
      <c r="R205" s="397"/>
      <c r="S205" s="397"/>
      <c r="T205" s="397"/>
      <c r="U205" s="397"/>
      <c r="V205" s="397"/>
      <c r="W205" s="397"/>
      <c r="X205" s="397"/>
      <c r="Y205" s="397"/>
      <c r="Z205" s="397"/>
    </row>
    <row r="206" ht="12.75" customHeight="1">
      <c r="A206" s="397"/>
      <c r="B206" s="397"/>
      <c r="C206" s="397"/>
      <c r="D206" s="397"/>
      <c r="E206" s="397"/>
      <c r="F206" s="397"/>
      <c r="G206" s="397"/>
      <c r="H206" s="397"/>
      <c r="I206" s="397"/>
      <c r="J206" s="397"/>
      <c r="K206" s="397"/>
      <c r="L206" s="397"/>
      <c r="M206" s="397"/>
      <c r="N206" s="397"/>
      <c r="O206" s="397"/>
      <c r="P206" s="397"/>
      <c r="Q206" s="397"/>
      <c r="R206" s="397"/>
      <c r="S206" s="397"/>
      <c r="T206" s="397"/>
      <c r="U206" s="397"/>
      <c r="V206" s="397"/>
      <c r="W206" s="397"/>
      <c r="X206" s="397"/>
      <c r="Y206" s="397"/>
      <c r="Z206" s="397"/>
    </row>
    <row r="207" ht="12.75" customHeight="1">
      <c r="A207" s="397"/>
      <c r="B207" s="397"/>
      <c r="C207" s="397"/>
      <c r="D207" s="397"/>
      <c r="E207" s="397"/>
      <c r="F207" s="397"/>
      <c r="G207" s="397"/>
      <c r="H207" s="397"/>
      <c r="I207" s="397"/>
      <c r="J207" s="397"/>
      <c r="K207" s="397"/>
      <c r="L207" s="397"/>
      <c r="M207" s="397"/>
      <c r="N207" s="397"/>
      <c r="O207" s="397"/>
      <c r="P207" s="397"/>
      <c r="Q207" s="397"/>
      <c r="R207" s="397"/>
      <c r="S207" s="397"/>
      <c r="T207" s="397"/>
      <c r="U207" s="397"/>
      <c r="V207" s="397"/>
      <c r="W207" s="397"/>
      <c r="X207" s="397"/>
      <c r="Y207" s="397"/>
      <c r="Z207" s="397"/>
    </row>
    <row r="208" ht="12.75" customHeight="1">
      <c r="A208" s="397"/>
      <c r="B208" s="397"/>
      <c r="C208" s="397"/>
      <c r="D208" s="397"/>
      <c r="E208" s="397"/>
      <c r="F208" s="397"/>
      <c r="G208" s="397"/>
      <c r="H208" s="397"/>
      <c r="I208" s="397"/>
      <c r="J208" s="397"/>
      <c r="K208" s="397"/>
      <c r="L208" s="397"/>
      <c r="M208" s="397"/>
      <c r="N208" s="397"/>
      <c r="O208" s="397"/>
      <c r="P208" s="397"/>
      <c r="Q208" s="397"/>
      <c r="R208" s="397"/>
      <c r="S208" s="397"/>
      <c r="T208" s="397"/>
      <c r="U208" s="397"/>
      <c r="V208" s="397"/>
      <c r="W208" s="397"/>
      <c r="X208" s="397"/>
      <c r="Y208" s="397"/>
      <c r="Z208" s="397"/>
    </row>
    <row r="209" ht="12.75" customHeight="1">
      <c r="A209" s="397"/>
      <c r="B209" s="397"/>
      <c r="C209" s="397"/>
      <c r="D209" s="397"/>
      <c r="E209" s="397"/>
      <c r="F209" s="397"/>
      <c r="G209" s="397"/>
      <c r="H209" s="397"/>
      <c r="I209" s="397"/>
      <c r="J209" s="397"/>
      <c r="K209" s="397"/>
      <c r="L209" s="397"/>
      <c r="M209" s="397"/>
      <c r="N209" s="397"/>
      <c r="O209" s="397"/>
      <c r="P209" s="397"/>
      <c r="Q209" s="397"/>
      <c r="R209" s="397"/>
      <c r="S209" s="397"/>
      <c r="T209" s="397"/>
      <c r="U209" s="397"/>
      <c r="V209" s="397"/>
      <c r="W209" s="397"/>
      <c r="X209" s="397"/>
      <c r="Y209" s="397"/>
      <c r="Z209" s="397"/>
    </row>
    <row r="210" ht="12.75" customHeight="1">
      <c r="A210" s="397"/>
      <c r="B210" s="397"/>
      <c r="C210" s="397"/>
      <c r="D210" s="397"/>
      <c r="E210" s="397"/>
      <c r="F210" s="397"/>
      <c r="G210" s="397"/>
      <c r="H210" s="397"/>
      <c r="I210" s="397"/>
      <c r="J210" s="397"/>
      <c r="K210" s="397"/>
      <c r="L210" s="397"/>
      <c r="M210" s="397"/>
      <c r="N210" s="397"/>
      <c r="O210" s="397"/>
      <c r="P210" s="397"/>
      <c r="Q210" s="397"/>
      <c r="R210" s="397"/>
      <c r="S210" s="397"/>
      <c r="T210" s="397"/>
      <c r="U210" s="397"/>
      <c r="V210" s="397"/>
      <c r="W210" s="397"/>
      <c r="X210" s="397"/>
      <c r="Y210" s="397"/>
      <c r="Z210" s="397"/>
    </row>
    <row r="211" ht="12.75" customHeight="1">
      <c r="A211" s="397"/>
      <c r="B211" s="397"/>
      <c r="C211" s="397"/>
      <c r="D211" s="397"/>
      <c r="E211" s="397"/>
      <c r="F211" s="397"/>
      <c r="G211" s="397"/>
      <c r="H211" s="397"/>
      <c r="I211" s="397"/>
      <c r="J211" s="397"/>
      <c r="K211" s="397"/>
      <c r="L211" s="397"/>
      <c r="M211" s="397"/>
      <c r="N211" s="397"/>
      <c r="O211" s="397"/>
      <c r="P211" s="397"/>
      <c r="Q211" s="397"/>
      <c r="R211" s="397"/>
      <c r="S211" s="397"/>
      <c r="T211" s="397"/>
      <c r="U211" s="397"/>
      <c r="V211" s="397"/>
      <c r="W211" s="397"/>
      <c r="X211" s="397"/>
      <c r="Y211" s="397"/>
      <c r="Z211" s="397"/>
    </row>
    <row r="212" ht="12.75" customHeight="1">
      <c r="A212" s="397"/>
      <c r="B212" s="397"/>
      <c r="C212" s="397"/>
      <c r="D212" s="397"/>
      <c r="E212" s="397"/>
      <c r="F212" s="397"/>
      <c r="G212" s="397"/>
      <c r="H212" s="397"/>
      <c r="I212" s="397"/>
      <c r="J212" s="397"/>
      <c r="K212" s="397"/>
      <c r="L212" s="397"/>
      <c r="M212" s="397"/>
      <c r="N212" s="397"/>
      <c r="O212" s="397"/>
      <c r="P212" s="397"/>
      <c r="Q212" s="397"/>
      <c r="R212" s="397"/>
      <c r="S212" s="397"/>
      <c r="T212" s="397"/>
      <c r="U212" s="397"/>
      <c r="V212" s="397"/>
      <c r="W212" s="397"/>
      <c r="X212" s="397"/>
      <c r="Y212" s="397"/>
      <c r="Z212" s="397"/>
    </row>
    <row r="213" ht="12.75" customHeight="1">
      <c r="A213" s="397"/>
      <c r="B213" s="397"/>
      <c r="C213" s="397"/>
      <c r="D213" s="397"/>
      <c r="E213" s="397"/>
      <c r="F213" s="397"/>
      <c r="G213" s="397"/>
      <c r="H213" s="397"/>
      <c r="I213" s="397"/>
      <c r="J213" s="397"/>
      <c r="K213" s="397"/>
      <c r="L213" s="397"/>
      <c r="M213" s="397"/>
      <c r="N213" s="397"/>
      <c r="O213" s="397"/>
      <c r="P213" s="397"/>
      <c r="Q213" s="397"/>
      <c r="R213" s="397"/>
      <c r="S213" s="397"/>
      <c r="T213" s="397"/>
      <c r="U213" s="397"/>
      <c r="V213" s="397"/>
      <c r="W213" s="397"/>
      <c r="X213" s="397"/>
      <c r="Y213" s="397"/>
      <c r="Z213" s="397"/>
    </row>
    <row r="214" ht="12.75" customHeight="1">
      <c r="A214" s="397"/>
      <c r="B214" s="397"/>
      <c r="C214" s="397"/>
      <c r="D214" s="397"/>
      <c r="E214" s="397"/>
      <c r="F214" s="397"/>
      <c r="G214" s="397"/>
      <c r="H214" s="397"/>
      <c r="I214" s="397"/>
      <c r="J214" s="397"/>
      <c r="K214" s="397"/>
      <c r="L214" s="397"/>
      <c r="M214" s="397"/>
      <c r="N214" s="397"/>
      <c r="O214" s="397"/>
      <c r="P214" s="397"/>
      <c r="Q214" s="397"/>
      <c r="R214" s="397"/>
      <c r="S214" s="397"/>
      <c r="T214" s="397"/>
      <c r="U214" s="397"/>
      <c r="V214" s="397"/>
      <c r="W214" s="397"/>
      <c r="X214" s="397"/>
      <c r="Y214" s="397"/>
      <c r="Z214" s="397"/>
    </row>
    <row r="215" ht="12.75" customHeight="1">
      <c r="A215" s="397"/>
      <c r="B215" s="397"/>
      <c r="C215" s="397"/>
      <c r="D215" s="397"/>
      <c r="E215" s="397"/>
      <c r="F215" s="397"/>
      <c r="G215" s="397"/>
      <c r="H215" s="397"/>
      <c r="I215" s="397"/>
      <c r="J215" s="397"/>
      <c r="K215" s="397"/>
      <c r="L215" s="397"/>
      <c r="M215" s="397"/>
      <c r="N215" s="397"/>
      <c r="O215" s="397"/>
      <c r="P215" s="397"/>
      <c r="Q215" s="397"/>
      <c r="R215" s="397"/>
      <c r="S215" s="397"/>
      <c r="T215" s="397"/>
      <c r="U215" s="397"/>
      <c r="V215" s="397"/>
      <c r="W215" s="397"/>
      <c r="X215" s="397"/>
      <c r="Y215" s="397"/>
      <c r="Z215" s="397"/>
    </row>
    <row r="216" ht="12.75" customHeight="1">
      <c r="A216" s="397"/>
      <c r="B216" s="397"/>
      <c r="C216" s="397"/>
      <c r="D216" s="397"/>
      <c r="E216" s="397"/>
      <c r="F216" s="397"/>
      <c r="G216" s="397"/>
      <c r="H216" s="397"/>
      <c r="I216" s="397"/>
      <c r="J216" s="397"/>
      <c r="K216" s="397"/>
      <c r="L216" s="397"/>
      <c r="M216" s="397"/>
      <c r="N216" s="397"/>
      <c r="O216" s="397"/>
      <c r="P216" s="397"/>
      <c r="Q216" s="397"/>
      <c r="R216" s="397"/>
      <c r="S216" s="397"/>
      <c r="T216" s="397"/>
      <c r="U216" s="397"/>
      <c r="V216" s="397"/>
      <c r="W216" s="397"/>
      <c r="X216" s="397"/>
      <c r="Y216" s="397"/>
      <c r="Z216" s="397"/>
    </row>
    <row r="217" ht="12.75" customHeight="1">
      <c r="A217" s="397"/>
      <c r="B217" s="397"/>
      <c r="C217" s="397"/>
      <c r="D217" s="397"/>
      <c r="E217" s="397"/>
      <c r="F217" s="397"/>
      <c r="G217" s="397"/>
      <c r="H217" s="397"/>
      <c r="I217" s="397"/>
      <c r="J217" s="397"/>
      <c r="K217" s="397"/>
      <c r="L217" s="397"/>
      <c r="M217" s="397"/>
      <c r="N217" s="397"/>
      <c r="O217" s="397"/>
      <c r="P217" s="397"/>
      <c r="Q217" s="397"/>
      <c r="R217" s="397"/>
      <c r="S217" s="397"/>
      <c r="T217" s="397"/>
      <c r="U217" s="397"/>
      <c r="V217" s="397"/>
      <c r="W217" s="397"/>
      <c r="X217" s="397"/>
      <c r="Y217" s="397"/>
      <c r="Z217" s="397"/>
    </row>
    <row r="218" ht="12.75" customHeight="1">
      <c r="A218" s="397"/>
      <c r="B218" s="397"/>
      <c r="C218" s="397"/>
      <c r="D218" s="397"/>
      <c r="E218" s="397"/>
      <c r="F218" s="397"/>
      <c r="G218" s="397"/>
      <c r="H218" s="397"/>
      <c r="I218" s="397"/>
      <c r="J218" s="397"/>
      <c r="K218" s="397"/>
      <c r="L218" s="397"/>
      <c r="M218" s="397"/>
      <c r="N218" s="397"/>
      <c r="O218" s="397"/>
      <c r="P218" s="397"/>
      <c r="Q218" s="397"/>
      <c r="R218" s="397"/>
      <c r="S218" s="397"/>
      <c r="T218" s="397"/>
      <c r="U218" s="397"/>
      <c r="V218" s="397"/>
      <c r="W218" s="397"/>
      <c r="X218" s="397"/>
      <c r="Y218" s="397"/>
      <c r="Z218" s="397"/>
    </row>
    <row r="219" ht="12.75" customHeight="1">
      <c r="A219" s="397"/>
      <c r="B219" s="397"/>
      <c r="C219" s="397"/>
      <c r="D219" s="397"/>
      <c r="E219" s="397"/>
      <c r="F219" s="397"/>
      <c r="G219" s="397"/>
      <c r="H219" s="397"/>
      <c r="I219" s="397"/>
      <c r="J219" s="397"/>
      <c r="K219" s="397"/>
      <c r="L219" s="397"/>
      <c r="M219" s="397"/>
      <c r="N219" s="397"/>
      <c r="O219" s="397"/>
      <c r="P219" s="397"/>
      <c r="Q219" s="397"/>
      <c r="R219" s="397"/>
      <c r="S219" s="397"/>
      <c r="T219" s="397"/>
      <c r="U219" s="397"/>
      <c r="V219" s="397"/>
      <c r="W219" s="397"/>
      <c r="X219" s="397"/>
      <c r="Y219" s="397"/>
      <c r="Z219" s="397"/>
    </row>
    <row r="220" ht="12.75" customHeight="1">
      <c r="A220" s="397"/>
      <c r="B220" s="397"/>
      <c r="C220" s="397"/>
      <c r="D220" s="397"/>
      <c r="E220" s="397"/>
      <c r="F220" s="397"/>
      <c r="G220" s="397"/>
      <c r="H220" s="397"/>
      <c r="I220" s="397"/>
      <c r="J220" s="397"/>
      <c r="K220" s="397"/>
      <c r="L220" s="397"/>
      <c r="M220" s="397"/>
      <c r="N220" s="397"/>
      <c r="O220" s="397"/>
      <c r="P220" s="397"/>
      <c r="Q220" s="397"/>
      <c r="R220" s="397"/>
      <c r="S220" s="397"/>
      <c r="T220" s="397"/>
      <c r="U220" s="397"/>
      <c r="V220" s="397"/>
      <c r="W220" s="397"/>
      <c r="X220" s="397"/>
      <c r="Y220" s="397"/>
      <c r="Z220" s="397"/>
    </row>
    <row r="221" ht="12.75" customHeight="1">
      <c r="A221" s="397"/>
      <c r="B221" s="397"/>
      <c r="C221" s="397"/>
      <c r="D221" s="397"/>
      <c r="E221" s="397"/>
      <c r="F221" s="397"/>
      <c r="G221" s="397"/>
      <c r="H221" s="397"/>
      <c r="I221" s="397"/>
      <c r="J221" s="397"/>
      <c r="K221" s="397"/>
      <c r="L221" s="397"/>
      <c r="M221" s="397"/>
      <c r="N221" s="397"/>
      <c r="O221" s="397"/>
      <c r="P221" s="397"/>
      <c r="Q221" s="397"/>
      <c r="R221" s="397"/>
      <c r="S221" s="397"/>
      <c r="T221" s="397"/>
      <c r="U221" s="397"/>
      <c r="V221" s="397"/>
      <c r="W221" s="397"/>
      <c r="X221" s="397"/>
      <c r="Y221" s="397"/>
      <c r="Z221" s="397"/>
    </row>
    <row r="222" ht="12.75" customHeight="1">
      <c r="A222" s="397"/>
      <c r="B222" s="397"/>
      <c r="C222" s="397"/>
      <c r="D222" s="397"/>
      <c r="E222" s="397"/>
      <c r="F222" s="397"/>
      <c r="G222" s="397"/>
      <c r="H222" s="397"/>
      <c r="I222" s="397"/>
      <c r="J222" s="397"/>
      <c r="K222" s="397"/>
      <c r="L222" s="397"/>
      <c r="M222" s="397"/>
      <c r="N222" s="397"/>
      <c r="O222" s="397"/>
      <c r="P222" s="397"/>
      <c r="Q222" s="397"/>
      <c r="R222" s="397"/>
      <c r="S222" s="397"/>
      <c r="T222" s="397"/>
      <c r="U222" s="397"/>
      <c r="V222" s="397"/>
      <c r="W222" s="397"/>
      <c r="X222" s="397"/>
      <c r="Y222" s="397"/>
      <c r="Z222" s="397"/>
    </row>
    <row r="223" ht="12.75" customHeight="1">
      <c r="A223" s="397"/>
      <c r="B223" s="397"/>
      <c r="C223" s="397"/>
      <c r="D223" s="397"/>
      <c r="E223" s="397"/>
      <c r="F223" s="397"/>
      <c r="G223" s="397"/>
      <c r="H223" s="397"/>
      <c r="I223" s="397"/>
      <c r="J223" s="397"/>
      <c r="K223" s="397"/>
      <c r="L223" s="397"/>
      <c r="M223" s="397"/>
      <c r="N223" s="397"/>
      <c r="O223" s="397"/>
      <c r="P223" s="397"/>
      <c r="Q223" s="397"/>
      <c r="R223" s="397"/>
      <c r="S223" s="397"/>
      <c r="T223" s="397"/>
      <c r="U223" s="397"/>
      <c r="V223" s="397"/>
      <c r="W223" s="397"/>
      <c r="X223" s="397"/>
      <c r="Y223" s="397"/>
      <c r="Z223" s="397"/>
    </row>
    <row r="224" ht="12.75" customHeight="1">
      <c r="A224" s="397"/>
      <c r="B224" s="397"/>
      <c r="C224" s="397"/>
      <c r="D224" s="397"/>
      <c r="E224" s="397"/>
      <c r="F224" s="397"/>
      <c r="G224" s="397"/>
      <c r="H224" s="397"/>
      <c r="I224" s="397"/>
      <c r="J224" s="397"/>
      <c r="K224" s="397"/>
      <c r="L224" s="397"/>
      <c r="M224" s="397"/>
      <c r="N224" s="397"/>
      <c r="O224" s="397"/>
      <c r="P224" s="397"/>
      <c r="Q224" s="397"/>
      <c r="R224" s="397"/>
      <c r="S224" s="397"/>
      <c r="T224" s="397"/>
      <c r="U224" s="397"/>
      <c r="V224" s="397"/>
      <c r="W224" s="397"/>
      <c r="X224" s="397"/>
      <c r="Y224" s="397"/>
      <c r="Z224" s="397"/>
    </row>
    <row r="225" ht="12.75" customHeight="1">
      <c r="A225" s="397"/>
      <c r="B225" s="397"/>
      <c r="C225" s="397"/>
      <c r="D225" s="397"/>
      <c r="E225" s="397"/>
      <c r="F225" s="397"/>
      <c r="G225" s="397"/>
      <c r="H225" s="397"/>
      <c r="I225" s="397"/>
      <c r="J225" s="397"/>
      <c r="K225" s="397"/>
      <c r="L225" s="397"/>
      <c r="M225" s="397"/>
      <c r="N225" s="397"/>
      <c r="O225" s="397"/>
      <c r="P225" s="397"/>
      <c r="Q225" s="397"/>
      <c r="R225" s="397"/>
      <c r="S225" s="397"/>
      <c r="T225" s="397"/>
      <c r="U225" s="397"/>
      <c r="V225" s="397"/>
      <c r="W225" s="397"/>
      <c r="X225" s="397"/>
      <c r="Y225" s="397"/>
      <c r="Z225" s="397"/>
    </row>
    <row r="226" ht="12.75" customHeight="1">
      <c r="A226" s="397"/>
      <c r="B226" s="397"/>
      <c r="C226" s="397"/>
      <c r="D226" s="397"/>
      <c r="E226" s="397"/>
      <c r="F226" s="397"/>
      <c r="G226" s="397"/>
      <c r="H226" s="397"/>
      <c r="I226" s="397"/>
      <c r="J226" s="397"/>
      <c r="K226" s="397"/>
      <c r="L226" s="397"/>
      <c r="M226" s="397"/>
      <c r="N226" s="397"/>
      <c r="O226" s="397"/>
      <c r="P226" s="397"/>
      <c r="Q226" s="397"/>
      <c r="R226" s="397"/>
      <c r="S226" s="397"/>
      <c r="T226" s="397"/>
      <c r="U226" s="397"/>
      <c r="V226" s="397"/>
      <c r="W226" s="397"/>
      <c r="X226" s="397"/>
      <c r="Y226" s="397"/>
      <c r="Z226" s="397"/>
    </row>
    <row r="227" ht="12.75" customHeight="1">
      <c r="A227" s="397"/>
      <c r="B227" s="397"/>
      <c r="C227" s="397"/>
      <c r="D227" s="397"/>
      <c r="E227" s="397"/>
      <c r="F227" s="397"/>
      <c r="G227" s="397"/>
      <c r="H227" s="397"/>
      <c r="I227" s="397"/>
      <c r="J227" s="397"/>
      <c r="K227" s="397"/>
      <c r="L227" s="397"/>
      <c r="M227" s="397"/>
      <c r="N227" s="397"/>
      <c r="O227" s="397"/>
      <c r="P227" s="397"/>
      <c r="Q227" s="397"/>
      <c r="R227" s="397"/>
      <c r="S227" s="397"/>
      <c r="T227" s="397"/>
      <c r="U227" s="397"/>
      <c r="V227" s="397"/>
      <c r="W227" s="397"/>
      <c r="X227" s="397"/>
      <c r="Y227" s="397"/>
      <c r="Z227" s="397"/>
    </row>
    <row r="228" ht="12.75" customHeight="1">
      <c r="A228" s="397"/>
      <c r="B228" s="397"/>
      <c r="C228" s="397"/>
      <c r="D228" s="397"/>
      <c r="E228" s="397"/>
      <c r="F228" s="397"/>
      <c r="G228" s="397"/>
      <c r="H228" s="397"/>
      <c r="I228" s="397"/>
      <c r="J228" s="397"/>
      <c r="K228" s="397"/>
      <c r="L228" s="397"/>
      <c r="M228" s="397"/>
      <c r="N228" s="397"/>
      <c r="O228" s="397"/>
      <c r="P228" s="397"/>
      <c r="Q228" s="397"/>
      <c r="R228" s="397"/>
      <c r="S228" s="397"/>
      <c r="T228" s="397"/>
      <c r="U228" s="397"/>
      <c r="V228" s="397"/>
      <c r="W228" s="397"/>
      <c r="X228" s="397"/>
      <c r="Y228" s="397"/>
      <c r="Z228" s="397"/>
    </row>
    <row r="229" ht="12.75" customHeight="1">
      <c r="A229" s="397"/>
      <c r="B229" s="397"/>
      <c r="C229" s="397"/>
      <c r="D229" s="397"/>
      <c r="E229" s="397"/>
      <c r="F229" s="397"/>
      <c r="G229" s="397"/>
      <c r="H229" s="397"/>
      <c r="I229" s="397"/>
      <c r="J229" s="397"/>
      <c r="K229" s="397"/>
      <c r="L229" s="397"/>
      <c r="M229" s="397"/>
      <c r="N229" s="397"/>
      <c r="O229" s="397"/>
      <c r="P229" s="397"/>
      <c r="Q229" s="397"/>
      <c r="R229" s="397"/>
      <c r="S229" s="397"/>
      <c r="T229" s="397"/>
      <c r="U229" s="397"/>
      <c r="V229" s="397"/>
      <c r="W229" s="397"/>
      <c r="X229" s="397"/>
      <c r="Y229" s="397"/>
      <c r="Z229" s="397"/>
    </row>
    <row r="230" ht="12.75" customHeight="1">
      <c r="A230" s="397"/>
      <c r="B230" s="397"/>
      <c r="C230" s="397"/>
      <c r="D230" s="397"/>
      <c r="E230" s="397"/>
      <c r="F230" s="397"/>
      <c r="G230" s="397"/>
      <c r="H230" s="397"/>
      <c r="I230" s="397"/>
      <c r="J230" s="397"/>
      <c r="K230" s="397"/>
      <c r="L230" s="397"/>
      <c r="M230" s="397"/>
      <c r="N230" s="397"/>
      <c r="O230" s="397"/>
      <c r="P230" s="397"/>
      <c r="Q230" s="397"/>
      <c r="R230" s="397"/>
      <c r="S230" s="397"/>
      <c r="T230" s="397"/>
      <c r="U230" s="397"/>
      <c r="V230" s="397"/>
      <c r="W230" s="397"/>
      <c r="X230" s="397"/>
      <c r="Y230" s="397"/>
      <c r="Z230" s="397"/>
    </row>
    <row r="231" ht="12.75" customHeight="1">
      <c r="A231" s="397"/>
      <c r="B231" s="397"/>
      <c r="C231" s="397"/>
      <c r="D231" s="397"/>
      <c r="E231" s="397"/>
      <c r="F231" s="397"/>
      <c r="G231" s="397"/>
      <c r="H231" s="397"/>
      <c r="I231" s="397"/>
      <c r="J231" s="397"/>
      <c r="K231" s="397"/>
      <c r="L231" s="397"/>
      <c r="M231" s="397"/>
      <c r="N231" s="397"/>
      <c r="O231" s="397"/>
      <c r="P231" s="397"/>
      <c r="Q231" s="397"/>
      <c r="R231" s="397"/>
      <c r="S231" s="397"/>
      <c r="T231" s="397"/>
      <c r="U231" s="397"/>
      <c r="V231" s="397"/>
      <c r="W231" s="397"/>
      <c r="X231" s="397"/>
      <c r="Y231" s="397"/>
      <c r="Z231" s="397"/>
    </row>
    <row r="232" ht="12.75" customHeight="1">
      <c r="A232" s="397"/>
      <c r="B232" s="397"/>
      <c r="C232" s="397"/>
      <c r="D232" s="397"/>
      <c r="E232" s="397"/>
      <c r="F232" s="397"/>
      <c r="G232" s="397"/>
      <c r="H232" s="397"/>
      <c r="I232" s="397"/>
      <c r="J232" s="397"/>
      <c r="K232" s="397"/>
      <c r="L232" s="397"/>
      <c r="M232" s="397"/>
      <c r="N232" s="397"/>
      <c r="O232" s="397"/>
      <c r="P232" s="397"/>
      <c r="Q232" s="397"/>
      <c r="R232" s="397"/>
      <c r="S232" s="397"/>
      <c r="T232" s="397"/>
      <c r="U232" s="397"/>
      <c r="V232" s="397"/>
      <c r="W232" s="397"/>
      <c r="X232" s="397"/>
      <c r="Y232" s="397"/>
      <c r="Z232" s="397"/>
    </row>
    <row r="233" ht="12.75" customHeight="1">
      <c r="A233" s="397"/>
      <c r="B233" s="397"/>
      <c r="C233" s="397"/>
      <c r="D233" s="397"/>
      <c r="E233" s="397"/>
      <c r="F233" s="397"/>
      <c r="G233" s="397"/>
      <c r="H233" s="397"/>
      <c r="I233" s="397"/>
      <c r="J233" s="397"/>
      <c r="K233" s="397"/>
      <c r="L233" s="397"/>
      <c r="M233" s="397"/>
      <c r="N233" s="397"/>
      <c r="O233" s="397"/>
      <c r="P233" s="397"/>
      <c r="Q233" s="397"/>
      <c r="R233" s="397"/>
      <c r="S233" s="397"/>
      <c r="T233" s="397"/>
      <c r="U233" s="397"/>
      <c r="V233" s="397"/>
      <c r="W233" s="397"/>
      <c r="X233" s="397"/>
      <c r="Y233" s="397"/>
      <c r="Z233" s="397"/>
    </row>
    <row r="234" ht="12.75" customHeight="1">
      <c r="A234" s="397"/>
      <c r="B234" s="397"/>
      <c r="C234" s="397"/>
      <c r="D234" s="397"/>
      <c r="E234" s="397"/>
      <c r="F234" s="397"/>
      <c r="G234" s="397"/>
      <c r="H234" s="397"/>
      <c r="I234" s="397"/>
      <c r="J234" s="397"/>
      <c r="K234" s="397"/>
      <c r="L234" s="397"/>
      <c r="M234" s="397"/>
      <c r="N234" s="397"/>
      <c r="O234" s="397"/>
      <c r="P234" s="397"/>
      <c r="Q234" s="397"/>
      <c r="R234" s="397"/>
      <c r="S234" s="397"/>
      <c r="T234" s="397"/>
      <c r="U234" s="397"/>
      <c r="V234" s="397"/>
      <c r="W234" s="397"/>
      <c r="X234" s="397"/>
      <c r="Y234" s="397"/>
      <c r="Z234" s="397"/>
    </row>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B21:B22"/>
    <mergeCell ref="A34:B34"/>
    <mergeCell ref="A1:F1"/>
    <mergeCell ref="I1:L1"/>
    <mergeCell ref="I5:K11"/>
    <mergeCell ref="A21:A22"/>
    <mergeCell ref="C21:F21"/>
    <mergeCell ref="G21:G22"/>
    <mergeCell ref="H21:L21"/>
  </mergeCells>
  <printOptions/>
  <pageMargins bottom="1.0" footer="0.0" header="0.0" left="0.75" right="0.75" top="1.0"/>
  <pageSetup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61C00"/>
    <pageSetUpPr fitToPage="1"/>
  </sheetPr>
  <sheetViews>
    <sheetView workbookViewId="0"/>
  </sheetViews>
  <sheetFormatPr customHeight="1" defaultColWidth="12.63" defaultRowHeight="15.0"/>
  <cols>
    <col customWidth="1" min="1" max="1" width="3.75"/>
    <col customWidth="1" min="2" max="2" width="13.13"/>
    <col customWidth="1" min="3" max="3" width="10.63"/>
    <col customWidth="1" min="4" max="4" width="12.75"/>
    <col customWidth="1" min="5" max="5" width="11.25"/>
    <col customWidth="1" min="6" max="8" width="9.38"/>
    <col customWidth="1" min="9" max="9" width="10.25"/>
    <col customWidth="1" min="10" max="10" width="11.0"/>
    <col customWidth="1" min="11" max="11" width="9.13"/>
    <col customWidth="1" min="12" max="12" width="15.13"/>
    <col customWidth="1" min="13" max="13" width="10.75"/>
    <col customWidth="1" min="14" max="14" width="10.0"/>
    <col customWidth="1" min="15" max="15" width="10.25"/>
    <col customWidth="1" min="16" max="25" width="9.13"/>
    <col customWidth="1" min="26" max="26" width="8.63"/>
  </cols>
  <sheetData>
    <row r="1" ht="15.75" customHeight="1">
      <c r="A1" s="639" t="s">
        <v>401</v>
      </c>
      <c r="G1" s="9"/>
      <c r="H1" s="9"/>
      <c r="I1" s="173" t="s">
        <v>402</v>
      </c>
      <c r="S1" s="9"/>
      <c r="T1" s="9"/>
      <c r="U1" s="9"/>
      <c r="V1" s="9"/>
      <c r="W1" s="9"/>
      <c r="X1" s="9"/>
      <c r="Y1" s="9"/>
      <c r="Z1" s="9"/>
    </row>
    <row r="2" ht="15.75" customHeight="1">
      <c r="A2" s="9"/>
      <c r="B2" s="9"/>
      <c r="C2" s="9"/>
      <c r="D2" s="9"/>
      <c r="E2" s="9"/>
      <c r="F2" s="9"/>
      <c r="G2" s="9"/>
      <c r="H2" s="9"/>
      <c r="I2" s="9"/>
      <c r="J2" s="9"/>
      <c r="K2" s="9"/>
      <c r="L2" s="9"/>
      <c r="M2" s="9"/>
      <c r="N2" s="9"/>
      <c r="O2" s="9"/>
      <c r="P2" s="9"/>
      <c r="Q2" s="9"/>
      <c r="R2" s="9"/>
      <c r="S2" s="9"/>
      <c r="T2" s="9"/>
      <c r="U2" s="9"/>
      <c r="V2" s="9"/>
      <c r="W2" s="9"/>
      <c r="X2" s="9"/>
      <c r="Y2" s="9"/>
      <c r="Z2" s="9"/>
    </row>
    <row r="3" ht="15.75" customHeight="1">
      <c r="A3" s="9"/>
      <c r="B3" s="9"/>
      <c r="C3" s="9"/>
      <c r="D3" s="9"/>
      <c r="E3" s="9"/>
      <c r="F3" s="9"/>
      <c r="G3" s="9"/>
      <c r="H3" s="9"/>
      <c r="I3" s="9"/>
      <c r="J3" s="9"/>
      <c r="K3" s="9"/>
      <c r="L3" s="9"/>
      <c r="M3" s="9"/>
      <c r="N3" s="9"/>
      <c r="O3" s="9"/>
      <c r="P3" s="9"/>
      <c r="Q3" s="9"/>
      <c r="R3" s="9"/>
      <c r="S3" s="9"/>
      <c r="T3" s="9"/>
      <c r="U3" s="9"/>
      <c r="V3" s="9"/>
      <c r="W3" s="9"/>
      <c r="X3" s="9"/>
      <c r="Y3" s="9"/>
      <c r="Z3" s="9"/>
    </row>
    <row r="4" ht="15.75" customHeight="1">
      <c r="A4" s="640"/>
      <c r="B4" s="641" t="s">
        <v>172</v>
      </c>
      <c r="C4" s="642" t="s">
        <v>5</v>
      </c>
      <c r="D4" s="643" t="s">
        <v>6</v>
      </c>
      <c r="E4" s="643" t="s">
        <v>18</v>
      </c>
      <c r="F4" s="643" t="s">
        <v>83</v>
      </c>
      <c r="G4" s="643" t="s">
        <v>182</v>
      </c>
      <c r="H4" s="643" t="s">
        <v>85</v>
      </c>
      <c r="I4" s="643" t="s">
        <v>86</v>
      </c>
      <c r="J4" s="644" t="s">
        <v>117</v>
      </c>
      <c r="K4" s="9"/>
      <c r="L4" s="497" t="s">
        <v>403</v>
      </c>
      <c r="M4" s="498"/>
      <c r="N4" s="498"/>
      <c r="O4" s="499"/>
      <c r="P4" s="499"/>
      <c r="Q4" s="499"/>
      <c r="R4" s="499"/>
      <c r="S4" s="499"/>
      <c r="T4" s="500"/>
      <c r="U4" s="9"/>
      <c r="V4" s="9"/>
      <c r="W4" s="9"/>
      <c r="X4" s="9"/>
      <c r="Y4" s="9"/>
      <c r="Z4" s="9"/>
    </row>
    <row r="5" ht="15.75" customHeight="1">
      <c r="A5" s="640"/>
      <c r="B5" s="645" t="s">
        <v>157</v>
      </c>
      <c r="C5" s="646">
        <f>'CV Coop Sector Alloc'!J5</f>
        <v>3978.241</v>
      </c>
      <c r="D5" s="137">
        <f>'CV Coop Sector Alloc'!K5</f>
        <v>474.254</v>
      </c>
      <c r="E5" s="137">
        <f>'CV Coop Sector Alloc'!L5</f>
        <v>754.885</v>
      </c>
      <c r="F5" s="137">
        <f>'CV Coop Sector Alloc'!M5</f>
        <v>164.359</v>
      </c>
      <c r="G5" s="137">
        <f>'CV Coop Sector Alloc'!N5</f>
        <v>145.774</v>
      </c>
      <c r="H5" s="137">
        <f>'CV Coop Sector Alloc'!O5</f>
        <v>11.507</v>
      </c>
      <c r="I5" s="137">
        <f>'CV Coop Sector Alloc'!P5</f>
        <v>29.182</v>
      </c>
      <c r="J5" s="647">
        <f t="shared" ref="J5:J9" si="1">SUM(C5:I5)</f>
        <v>5558.202</v>
      </c>
      <c r="K5" s="9"/>
      <c r="L5" s="518"/>
      <c r="M5" s="498" t="s">
        <v>5</v>
      </c>
      <c r="N5" s="498" t="s">
        <v>6</v>
      </c>
      <c r="O5" s="498" t="s">
        <v>8</v>
      </c>
      <c r="P5" s="122" t="s">
        <v>181</v>
      </c>
      <c r="Q5" s="122" t="s">
        <v>127</v>
      </c>
      <c r="R5" s="122" t="s">
        <v>129</v>
      </c>
      <c r="S5" s="498" t="s">
        <v>85</v>
      </c>
      <c r="T5" s="648" t="s">
        <v>86</v>
      </c>
      <c r="U5" s="9"/>
      <c r="V5" s="9"/>
      <c r="W5" s="9"/>
      <c r="X5" s="9"/>
      <c r="Y5" s="9"/>
      <c r="Z5" s="9"/>
    </row>
    <row r="6" ht="15.75" customHeight="1">
      <c r="A6" s="640"/>
      <c r="B6" s="649" t="s">
        <v>158</v>
      </c>
      <c r="C6" s="646">
        <f>'CV Coop Sector Alloc'!J6</f>
        <v>2527.059</v>
      </c>
      <c r="D6" s="137">
        <f>'CV Coop Sector Alloc'!K6</f>
        <v>291.378</v>
      </c>
      <c r="E6" s="137">
        <f>'CV Coop Sector Alloc'!L6</f>
        <v>565.949</v>
      </c>
      <c r="F6" s="137">
        <f>'CV Coop Sector Alloc'!M6</f>
        <v>106.588</v>
      </c>
      <c r="G6" s="137">
        <f>'CV Coop Sector Alloc'!N6</f>
        <v>94.536</v>
      </c>
      <c r="H6" s="137">
        <f>'CV Coop Sector Alloc'!O6</f>
        <v>7.462</v>
      </c>
      <c r="I6" s="137">
        <f>'CV Coop Sector Alloc'!P6</f>
        <v>18.925</v>
      </c>
      <c r="J6" s="650">
        <f t="shared" si="1"/>
        <v>3611.897</v>
      </c>
      <c r="K6" s="9"/>
      <c r="L6" s="651" t="s">
        <v>317</v>
      </c>
      <c r="M6" s="510">
        <f>'CP Coop Sector Alloc'!L4</f>
        <v>9544.927609</v>
      </c>
      <c r="N6" s="510">
        <f>'CP Coop Sector Alloc'!M4</f>
        <v>1352.579207</v>
      </c>
      <c r="O6" s="510">
        <f>'CP Coop Sector Alloc'!N4</f>
        <v>2081.68493</v>
      </c>
      <c r="P6" s="510">
        <f>'CP Coop Sector Alloc'!O4</f>
        <v>193.9977</v>
      </c>
      <c r="Q6" s="510">
        <f>'CP Coop Sector Alloc'!P4</f>
        <v>75.6</v>
      </c>
      <c r="R6" s="510">
        <f>'CP Coop Sector Alloc'!Q4</f>
        <v>215.4642</v>
      </c>
      <c r="S6" s="510">
        <f>'CP Coop Sector Alloc'!R4</f>
        <v>156.35</v>
      </c>
      <c r="T6" s="511">
        <f>'CP Coop Sector Alloc'!S4</f>
        <v>74.1125</v>
      </c>
      <c r="U6" s="9"/>
      <c r="V6" s="9"/>
      <c r="W6" s="9"/>
      <c r="X6" s="9"/>
      <c r="Y6" s="9"/>
      <c r="Z6" s="9"/>
    </row>
    <row r="7" ht="15.75" customHeight="1">
      <c r="A7" s="640"/>
      <c r="B7" s="649" t="s">
        <v>47</v>
      </c>
      <c r="C7" s="646">
        <f>'CV Coop Sector Alloc'!J7</f>
        <v>3119.942</v>
      </c>
      <c r="D7" s="137">
        <f>'CV Coop Sector Alloc'!K7</f>
        <v>467.725</v>
      </c>
      <c r="E7" s="137">
        <f>'CV Coop Sector Alloc'!L7</f>
        <v>834.738</v>
      </c>
      <c r="F7" s="137">
        <f>'CV Coop Sector Alloc'!M7</f>
        <v>145.476</v>
      </c>
      <c r="G7" s="137">
        <f>'CV Coop Sector Alloc'!N7</f>
        <v>129.026</v>
      </c>
      <c r="H7" s="137">
        <f>'CV Coop Sector Alloc'!O7</f>
        <v>10.185</v>
      </c>
      <c r="I7" s="137">
        <f>'CV Coop Sector Alloc'!P7</f>
        <v>25.829</v>
      </c>
      <c r="J7" s="650">
        <f t="shared" si="1"/>
        <v>4732.921</v>
      </c>
      <c r="K7" s="9"/>
      <c r="L7" s="495"/>
      <c r="M7" s="137"/>
      <c r="N7" s="137"/>
      <c r="O7" s="137"/>
      <c r="P7" s="137"/>
      <c r="Q7" s="137"/>
      <c r="R7" s="137"/>
      <c r="S7" s="137"/>
      <c r="T7" s="137"/>
      <c r="U7" s="9"/>
      <c r="V7" s="9"/>
      <c r="W7" s="9"/>
      <c r="X7" s="9"/>
      <c r="Y7" s="9"/>
      <c r="Z7" s="9"/>
    </row>
    <row r="8" ht="15.75" customHeight="1">
      <c r="A8" s="640"/>
      <c r="B8" s="649" t="s">
        <v>89</v>
      </c>
      <c r="C8" s="646">
        <f>'CV Coop Sector Alloc'!J8</f>
        <v>5395.462</v>
      </c>
      <c r="D8" s="137">
        <f>'CV Coop Sector Alloc'!K8</f>
        <v>789.062</v>
      </c>
      <c r="E8" s="137">
        <f>'CV Coop Sector Alloc'!L8</f>
        <v>1280.741</v>
      </c>
      <c r="F8" s="137">
        <f>'CV Coop Sector Alloc'!M8</f>
        <v>244.218</v>
      </c>
      <c r="G8" s="137">
        <f>'CV Coop Sector Alloc'!N8</f>
        <v>216.602</v>
      </c>
      <c r="H8" s="137">
        <f>'CV Coop Sector Alloc'!O8</f>
        <v>17.099</v>
      </c>
      <c r="I8" s="137">
        <f>'CV Coop Sector Alloc'!P8</f>
        <v>43.361</v>
      </c>
      <c r="J8" s="650">
        <f t="shared" si="1"/>
        <v>7986.545</v>
      </c>
      <c r="K8" s="9"/>
      <c r="L8" s="497" t="s">
        <v>171</v>
      </c>
      <c r="M8" s="528"/>
      <c r="N8" s="528"/>
      <c r="O8" s="652"/>
      <c r="P8" s="652"/>
      <c r="Q8" s="652"/>
      <c r="R8" s="652"/>
      <c r="S8" s="652"/>
      <c r="T8" s="653"/>
      <c r="U8" s="9"/>
      <c r="V8" s="512"/>
      <c r="W8" s="9"/>
      <c r="X8" s="9"/>
      <c r="Y8" s="9"/>
      <c r="Z8" s="9"/>
    </row>
    <row r="9" ht="15.75" customHeight="1">
      <c r="A9" s="640"/>
      <c r="B9" s="654" t="s">
        <v>159</v>
      </c>
      <c r="C9" s="646">
        <f>'CV Coop Sector Alloc'!J9</f>
        <v>0</v>
      </c>
      <c r="D9" s="137">
        <f>'CV Coop Sector Alloc'!K9</f>
        <v>0</v>
      </c>
      <c r="E9" s="137">
        <f>'CV Coop Sector Alloc'!L9</f>
        <v>0</v>
      </c>
      <c r="F9" s="137">
        <f>'CV Coop Sector Alloc'!M9</f>
        <v>0</v>
      </c>
      <c r="G9" s="137">
        <f>'CV Coop Sector Alloc'!N9</f>
        <v>0</v>
      </c>
      <c r="H9" s="137">
        <f>'CV Coop Sector Alloc'!O9</f>
        <v>0</v>
      </c>
      <c r="I9" s="137">
        <f>'CV Coop Sector Alloc'!P9</f>
        <v>0</v>
      </c>
      <c r="J9" s="655">
        <f t="shared" si="1"/>
        <v>0</v>
      </c>
      <c r="K9" s="9"/>
      <c r="L9" s="504"/>
      <c r="M9" s="656" t="s">
        <v>5</v>
      </c>
      <c r="N9" s="656" t="s">
        <v>6</v>
      </c>
      <c r="O9" s="656" t="s">
        <v>8</v>
      </c>
      <c r="P9" s="89" t="s">
        <v>181</v>
      </c>
      <c r="Q9" s="89" t="s">
        <v>127</v>
      </c>
      <c r="R9" s="89" t="s">
        <v>129</v>
      </c>
      <c r="S9" s="656" t="s">
        <v>85</v>
      </c>
      <c r="T9" s="657" t="s">
        <v>86</v>
      </c>
      <c r="U9" s="9"/>
      <c r="V9" s="9"/>
      <c r="W9" s="9"/>
      <c r="X9" s="9"/>
      <c r="Y9" s="9"/>
      <c r="Z9" s="9"/>
    </row>
    <row r="10" ht="15.75" customHeight="1">
      <c r="A10" s="640"/>
      <c r="B10" s="658" t="s">
        <v>117</v>
      </c>
      <c r="C10" s="659">
        <f t="shared" ref="C10:J10" si="2">SUM(C5:C9)</f>
        <v>15020.704</v>
      </c>
      <c r="D10" s="89">
        <f t="shared" si="2"/>
        <v>2022.419</v>
      </c>
      <c r="E10" s="89">
        <f t="shared" si="2"/>
        <v>3436.313</v>
      </c>
      <c r="F10" s="89">
        <f t="shared" si="2"/>
        <v>660.641</v>
      </c>
      <c r="G10" s="89">
        <f t="shared" si="2"/>
        <v>585.938</v>
      </c>
      <c r="H10" s="89">
        <f t="shared" si="2"/>
        <v>46.253</v>
      </c>
      <c r="I10" s="89">
        <f t="shared" si="2"/>
        <v>117.297</v>
      </c>
      <c r="J10" s="660">
        <f t="shared" si="2"/>
        <v>21889.565</v>
      </c>
      <c r="K10" s="9"/>
      <c r="L10" s="651" t="s">
        <v>317</v>
      </c>
      <c r="M10" s="661">
        <v>9683.294</v>
      </c>
      <c r="N10" s="662">
        <v>1352.579</v>
      </c>
      <c r="O10" s="662">
        <v>2081.685</v>
      </c>
      <c r="P10" s="662">
        <v>342.014</v>
      </c>
      <c r="Q10" s="662">
        <v>75.6</v>
      </c>
      <c r="R10" s="662">
        <v>211.343</v>
      </c>
      <c r="S10" s="662">
        <v>156.35</v>
      </c>
      <c r="T10" s="662">
        <v>74.1</v>
      </c>
      <c r="U10" s="9"/>
      <c r="V10" s="9"/>
      <c r="W10" s="9"/>
      <c r="X10" s="9"/>
      <c r="Y10" s="9"/>
      <c r="Z10" s="9"/>
    </row>
    <row r="11" ht="15.75" customHeight="1">
      <c r="A11" s="640"/>
      <c r="B11" s="512"/>
      <c r="C11" s="523"/>
      <c r="D11" s="523"/>
      <c r="E11" s="523"/>
      <c r="F11" s="523"/>
      <c r="G11" s="523"/>
      <c r="H11" s="523"/>
      <c r="I11" s="523"/>
      <c r="J11" s="523"/>
      <c r="K11" s="9"/>
      <c r="L11" s="495"/>
      <c r="M11" s="137"/>
      <c r="N11" s="137"/>
      <c r="O11" s="137"/>
      <c r="P11" s="137"/>
      <c r="Q11" s="137"/>
      <c r="R11" s="137"/>
      <c r="S11" s="137"/>
      <c r="T11" s="137"/>
      <c r="U11" s="9"/>
      <c r="V11" s="9"/>
      <c r="W11" s="9"/>
      <c r="X11" s="9"/>
      <c r="Y11" s="9"/>
      <c r="Z11" s="9"/>
    </row>
    <row r="12" ht="15.75" customHeight="1">
      <c r="A12" s="640"/>
      <c r="B12" s="641" t="s">
        <v>171</v>
      </c>
      <c r="C12" s="642" t="s">
        <v>5</v>
      </c>
      <c r="D12" s="643" t="s">
        <v>6</v>
      </c>
      <c r="E12" s="643" t="s">
        <v>18</v>
      </c>
      <c r="F12" s="643" t="s">
        <v>83</v>
      </c>
      <c r="G12" s="643" t="s">
        <v>182</v>
      </c>
      <c r="H12" s="643" t="s">
        <v>85</v>
      </c>
      <c r="I12" s="643" t="s">
        <v>86</v>
      </c>
      <c r="J12" s="644" t="s">
        <v>117</v>
      </c>
      <c r="K12" s="9"/>
      <c r="L12" s="497" t="s">
        <v>173</v>
      </c>
      <c r="M12" s="528"/>
      <c r="N12" s="528"/>
      <c r="O12" s="652"/>
      <c r="P12" s="652"/>
      <c r="Q12" s="652"/>
      <c r="R12" s="652"/>
      <c r="S12" s="652"/>
      <c r="T12" s="653"/>
      <c r="U12" s="9"/>
      <c r="V12" s="9"/>
      <c r="W12" s="9"/>
      <c r="X12" s="9"/>
      <c r="Y12" s="9"/>
      <c r="Z12" s="9"/>
    </row>
    <row r="13" ht="15.75" customHeight="1">
      <c r="A13" s="640"/>
      <c r="B13" s="645" t="s">
        <v>157</v>
      </c>
      <c r="C13" s="661">
        <v>3978.241</v>
      </c>
      <c r="D13" s="662">
        <v>474.254</v>
      </c>
      <c r="E13" s="662">
        <v>754.885</v>
      </c>
      <c r="F13" s="662">
        <v>164.359</v>
      </c>
      <c r="G13" s="662">
        <v>145.774</v>
      </c>
      <c r="H13" s="662">
        <v>11.507</v>
      </c>
      <c r="I13" s="662">
        <v>29.182</v>
      </c>
      <c r="J13" s="647">
        <f t="shared" ref="J13:J17" si="3">SUM(C13:I13)</f>
        <v>5558.202</v>
      </c>
      <c r="K13" s="9"/>
      <c r="L13" s="518"/>
      <c r="M13" s="528" t="s">
        <v>5</v>
      </c>
      <c r="N13" s="528" t="s">
        <v>6</v>
      </c>
      <c r="O13" s="528" t="s">
        <v>8</v>
      </c>
      <c r="P13" s="535" t="s">
        <v>181</v>
      </c>
      <c r="Q13" s="535" t="s">
        <v>127</v>
      </c>
      <c r="R13" s="535" t="s">
        <v>129</v>
      </c>
      <c r="S13" s="528" t="s">
        <v>85</v>
      </c>
      <c r="T13" s="536" t="s">
        <v>86</v>
      </c>
      <c r="U13" s="9"/>
      <c r="V13" s="9"/>
      <c r="W13" s="9"/>
      <c r="X13" s="9"/>
      <c r="Y13" s="9"/>
      <c r="Z13" s="9"/>
    </row>
    <row r="14" ht="15.75" customHeight="1">
      <c r="B14" s="649" t="s">
        <v>158</v>
      </c>
      <c r="C14" s="661">
        <v>2527.059</v>
      </c>
      <c r="D14" s="662">
        <v>291.378</v>
      </c>
      <c r="E14" s="662">
        <v>565.949</v>
      </c>
      <c r="F14" s="662">
        <v>106.588</v>
      </c>
      <c r="G14" s="662">
        <v>94.536</v>
      </c>
      <c r="H14" s="662">
        <v>7.462</v>
      </c>
      <c r="I14" s="662">
        <v>18.925</v>
      </c>
      <c r="J14" s="650">
        <f t="shared" si="3"/>
        <v>3611.897</v>
      </c>
      <c r="K14" s="9"/>
      <c r="L14" s="651" t="s">
        <v>317</v>
      </c>
      <c r="M14" s="663">
        <f t="shared" ref="M14:T14" si="4">M6-M10</f>
        <v>-138.3663909</v>
      </c>
      <c r="N14" s="663">
        <f t="shared" si="4"/>
        <v>0.000207377781</v>
      </c>
      <c r="O14" s="663">
        <f t="shared" si="4"/>
        <v>-0.00007048279622</v>
      </c>
      <c r="P14" s="663">
        <f t="shared" si="4"/>
        <v>-148.0163</v>
      </c>
      <c r="Q14" s="663">
        <f t="shared" si="4"/>
        <v>0</v>
      </c>
      <c r="R14" s="663">
        <f t="shared" si="4"/>
        <v>4.1212</v>
      </c>
      <c r="S14" s="663">
        <f t="shared" si="4"/>
        <v>0</v>
      </c>
      <c r="T14" s="664">
        <f t="shared" si="4"/>
        <v>0.0125</v>
      </c>
      <c r="U14" s="9"/>
      <c r="V14" s="9"/>
      <c r="W14" s="9"/>
      <c r="X14" s="9"/>
      <c r="Y14" s="9"/>
      <c r="Z14" s="9"/>
    </row>
    <row r="15" ht="15.75" customHeight="1">
      <c r="A15" s="640"/>
      <c r="B15" s="649" t="s">
        <v>47</v>
      </c>
      <c r="C15" s="661">
        <v>3119.942</v>
      </c>
      <c r="D15" s="662">
        <v>467.725</v>
      </c>
      <c r="E15" s="662">
        <v>834.738</v>
      </c>
      <c r="F15" s="662">
        <v>145.476</v>
      </c>
      <c r="G15" s="662">
        <v>129.026</v>
      </c>
      <c r="H15" s="662">
        <v>10.185</v>
      </c>
      <c r="I15" s="662">
        <v>25.829</v>
      </c>
      <c r="J15" s="650">
        <f t="shared" si="3"/>
        <v>4732.921</v>
      </c>
      <c r="K15" s="9"/>
      <c r="L15" s="9"/>
      <c r="M15" s="9"/>
      <c r="N15" s="9"/>
      <c r="O15" s="9"/>
      <c r="P15" s="9"/>
      <c r="Q15" s="9"/>
      <c r="R15" s="9"/>
      <c r="S15" s="9"/>
      <c r="T15" s="9"/>
      <c r="U15" s="9"/>
      <c r="V15" s="9"/>
      <c r="W15" s="9"/>
      <c r="X15" s="9"/>
      <c r="Y15" s="9"/>
      <c r="Z15" s="9"/>
    </row>
    <row r="16" ht="15.75" customHeight="1">
      <c r="A16" s="640"/>
      <c r="B16" s="649" t="s">
        <v>89</v>
      </c>
      <c r="C16" s="661">
        <v>5395.462</v>
      </c>
      <c r="D16" s="662">
        <v>789.062</v>
      </c>
      <c r="E16" s="662">
        <v>1280.741</v>
      </c>
      <c r="F16" s="662">
        <v>244.218</v>
      </c>
      <c r="G16" s="662">
        <v>216.602</v>
      </c>
      <c r="H16" s="662">
        <v>17.099</v>
      </c>
      <c r="I16" s="662">
        <v>43.361</v>
      </c>
      <c r="J16" s="650">
        <f t="shared" si="3"/>
        <v>7986.545</v>
      </c>
      <c r="K16" s="9"/>
      <c r="L16" s="9"/>
      <c r="M16" s="665"/>
      <c r="N16" s="665"/>
      <c r="O16" s="666"/>
      <c r="P16" s="9"/>
      <c r="Q16" s="9"/>
      <c r="R16" s="9"/>
      <c r="S16" s="9"/>
      <c r="T16" s="9"/>
      <c r="U16" s="9"/>
      <c r="V16" s="9"/>
      <c r="W16" s="305"/>
      <c r="X16" s="305"/>
      <c r="Y16" s="9"/>
      <c r="Z16" s="9"/>
    </row>
    <row r="17" ht="19.5" hidden="1" customHeight="1">
      <c r="A17" s="640"/>
      <c r="B17" s="654" t="s">
        <v>159</v>
      </c>
      <c r="C17" s="667"/>
      <c r="D17" s="668"/>
      <c r="E17" s="668"/>
      <c r="F17" s="668"/>
      <c r="G17" s="668"/>
      <c r="H17" s="668"/>
      <c r="I17" s="668"/>
      <c r="J17" s="655">
        <f t="shared" si="3"/>
        <v>0</v>
      </c>
      <c r="K17" s="9"/>
      <c r="L17" s="342"/>
      <c r="M17" s="669"/>
      <c r="N17" s="669"/>
      <c r="O17" s="669"/>
      <c r="P17" s="669"/>
      <c r="Q17" s="669"/>
      <c r="R17" s="669"/>
      <c r="S17" s="357"/>
      <c r="T17" s="342"/>
      <c r="U17" s="342"/>
      <c r="V17" s="9"/>
      <c r="W17" s="305"/>
      <c r="X17" s="305"/>
      <c r="Y17" s="9"/>
      <c r="Z17" s="9"/>
    </row>
    <row r="18" ht="15.75" customHeight="1">
      <c r="A18" s="640"/>
      <c r="B18" s="658" t="s">
        <v>117</v>
      </c>
      <c r="C18" s="659">
        <f t="shared" ref="C18:J18" si="5">SUM(C13:C17)</f>
        <v>15020.704</v>
      </c>
      <c r="D18" s="89">
        <f t="shared" si="5"/>
        <v>2022.419</v>
      </c>
      <c r="E18" s="89">
        <f t="shared" si="5"/>
        <v>3436.313</v>
      </c>
      <c r="F18" s="89">
        <f t="shared" si="5"/>
        <v>660.641</v>
      </c>
      <c r="G18" s="89">
        <f t="shared" si="5"/>
        <v>585.938</v>
      </c>
      <c r="H18" s="89">
        <f t="shared" si="5"/>
        <v>46.253</v>
      </c>
      <c r="I18" s="89">
        <f t="shared" si="5"/>
        <v>117.297</v>
      </c>
      <c r="J18" s="660">
        <f t="shared" si="5"/>
        <v>21889.565</v>
      </c>
      <c r="K18" s="9"/>
      <c r="L18" s="670"/>
      <c r="M18" s="671"/>
      <c r="N18" s="671"/>
      <c r="O18" s="671"/>
      <c r="P18" s="671"/>
      <c r="Q18" s="671"/>
      <c r="R18" s="671"/>
      <c r="S18" s="671"/>
      <c r="T18" s="341"/>
      <c r="U18" s="342"/>
      <c r="V18" s="9"/>
      <c r="W18" s="305"/>
      <c r="X18" s="305"/>
      <c r="Y18" s="9"/>
      <c r="Z18" s="9"/>
    </row>
    <row r="19" ht="15.75" customHeight="1">
      <c r="A19" s="640"/>
      <c r="B19" s="512"/>
      <c r="C19" s="512"/>
      <c r="D19" s="512"/>
      <c r="E19" s="512"/>
      <c r="F19" s="512"/>
      <c r="G19" s="512"/>
      <c r="H19" s="512"/>
      <c r="I19" s="512"/>
      <c r="J19" s="512"/>
      <c r="K19" s="9"/>
      <c r="L19" s="670"/>
      <c r="M19" s="672"/>
      <c r="N19" s="672"/>
      <c r="O19" s="672"/>
      <c r="P19" s="673"/>
      <c r="Q19" s="673"/>
      <c r="R19" s="673"/>
      <c r="S19" s="673"/>
      <c r="T19" s="341"/>
      <c r="U19" s="342"/>
      <c r="V19" s="9"/>
      <c r="W19" s="305"/>
      <c r="X19" s="305"/>
      <c r="Y19" s="9"/>
      <c r="Z19" s="9"/>
    </row>
    <row r="20" ht="26.25" customHeight="1">
      <c r="A20" s="640"/>
      <c r="B20" s="674" t="s">
        <v>404</v>
      </c>
      <c r="C20" s="642" t="s">
        <v>5</v>
      </c>
      <c r="D20" s="643" t="s">
        <v>6</v>
      </c>
      <c r="E20" s="643" t="s">
        <v>18</v>
      </c>
      <c r="F20" s="643" t="s">
        <v>83</v>
      </c>
      <c r="G20" s="643" t="s">
        <v>182</v>
      </c>
      <c r="H20" s="643" t="s">
        <v>85</v>
      </c>
      <c r="I20" s="643" t="s">
        <v>86</v>
      </c>
      <c r="J20" s="644" t="s">
        <v>117</v>
      </c>
      <c r="K20" s="9"/>
      <c r="L20" s="670"/>
      <c r="M20" s="672"/>
      <c r="N20" s="672"/>
      <c r="O20" s="672"/>
      <c r="P20" s="675"/>
      <c r="Q20" s="675"/>
      <c r="R20" s="675"/>
      <c r="S20" s="675"/>
      <c r="T20" s="341"/>
      <c r="U20" s="342"/>
      <c r="V20" s="9"/>
      <c r="W20" s="305"/>
      <c r="X20" s="305"/>
      <c r="Y20" s="9"/>
      <c r="Z20" s="9"/>
    </row>
    <row r="21" ht="28.5" customHeight="1">
      <c r="A21" s="640"/>
      <c r="B21" s="645" t="s">
        <v>157</v>
      </c>
      <c r="C21" s="676">
        <f t="shared" ref="C21:I21" si="6">C5-C13</f>
        <v>0</v>
      </c>
      <c r="D21" s="677">
        <f t="shared" si="6"/>
        <v>0</v>
      </c>
      <c r="E21" s="677">
        <f t="shared" si="6"/>
        <v>0</v>
      </c>
      <c r="F21" s="677">
        <f t="shared" si="6"/>
        <v>0</v>
      </c>
      <c r="G21" s="677">
        <f t="shared" si="6"/>
        <v>0</v>
      </c>
      <c r="H21" s="677">
        <f t="shared" si="6"/>
        <v>0</v>
      </c>
      <c r="I21" s="677">
        <f t="shared" si="6"/>
        <v>0</v>
      </c>
      <c r="J21" s="678">
        <f t="shared" ref="J21:J26" si="8">SUM(C21:I21)</f>
        <v>0</v>
      </c>
      <c r="K21" s="9"/>
      <c r="L21" s="679"/>
      <c r="M21" s="672"/>
      <c r="N21" s="672"/>
      <c r="O21" s="672"/>
      <c r="P21" s="680"/>
      <c r="Q21" s="341"/>
      <c r="R21" s="341"/>
      <c r="S21" s="341"/>
      <c r="T21" s="341"/>
      <c r="U21" s="342"/>
      <c r="V21" s="9"/>
      <c r="W21" s="305"/>
      <c r="X21" s="305"/>
      <c r="Y21" s="9"/>
      <c r="Z21" s="9"/>
    </row>
    <row r="22" ht="15.75" customHeight="1">
      <c r="A22" s="640"/>
      <c r="B22" s="649" t="s">
        <v>158</v>
      </c>
      <c r="C22" s="676">
        <f t="shared" ref="C22:I22" si="7">C6-C14</f>
        <v>0</v>
      </c>
      <c r="D22" s="677">
        <f t="shared" si="7"/>
        <v>0</v>
      </c>
      <c r="E22" s="677">
        <f t="shared" si="7"/>
        <v>0</v>
      </c>
      <c r="F22" s="677">
        <f t="shared" si="7"/>
        <v>0</v>
      </c>
      <c r="G22" s="677">
        <f t="shared" si="7"/>
        <v>0</v>
      </c>
      <c r="H22" s="677">
        <f t="shared" si="7"/>
        <v>0</v>
      </c>
      <c r="I22" s="677">
        <f t="shared" si="7"/>
        <v>0</v>
      </c>
      <c r="J22" s="681">
        <f t="shared" si="8"/>
        <v>0</v>
      </c>
      <c r="K22" s="9"/>
      <c r="L22" s="358"/>
      <c r="M22" s="672"/>
      <c r="N22" s="672"/>
      <c r="O22" s="672"/>
      <c r="P22" s="669"/>
      <c r="Q22" s="669"/>
      <c r="R22" s="669"/>
      <c r="S22" s="669"/>
      <c r="T22" s="357"/>
      <c r="U22" s="342"/>
      <c r="V22" s="9"/>
      <c r="W22" s="305"/>
      <c r="X22" s="305"/>
      <c r="Y22" s="9"/>
      <c r="Z22" s="9"/>
    </row>
    <row r="23" ht="15.75" customHeight="1">
      <c r="A23" s="640"/>
      <c r="B23" s="649" t="s">
        <v>47</v>
      </c>
      <c r="C23" s="676">
        <f t="shared" ref="C23:I23" si="9">C7-C15</f>
        <v>0</v>
      </c>
      <c r="D23" s="677">
        <f t="shared" si="9"/>
        <v>0</v>
      </c>
      <c r="E23" s="677">
        <f t="shared" si="9"/>
        <v>0</v>
      </c>
      <c r="F23" s="677">
        <f t="shared" si="9"/>
        <v>0</v>
      </c>
      <c r="G23" s="677">
        <f t="shared" si="9"/>
        <v>0</v>
      </c>
      <c r="H23" s="677">
        <f t="shared" si="9"/>
        <v>0</v>
      </c>
      <c r="I23" s="677">
        <f t="shared" si="9"/>
        <v>0</v>
      </c>
      <c r="J23" s="681">
        <f t="shared" si="8"/>
        <v>0</v>
      </c>
      <c r="K23" s="9"/>
      <c r="L23" s="670"/>
      <c r="M23" s="672"/>
      <c r="N23" s="672"/>
      <c r="O23" s="672"/>
      <c r="P23" s="671"/>
      <c r="Q23" s="671"/>
      <c r="R23" s="671"/>
      <c r="S23" s="671"/>
      <c r="T23" s="671"/>
      <c r="U23" s="342"/>
      <c r="V23" s="9"/>
      <c r="W23" s="9"/>
      <c r="X23" s="9"/>
      <c r="Y23" s="9"/>
      <c r="Z23" s="9"/>
    </row>
    <row r="24" ht="15.75" customHeight="1">
      <c r="A24" s="640"/>
      <c r="B24" s="649" t="s">
        <v>89</v>
      </c>
      <c r="C24" s="676">
        <f t="shared" ref="C24:I24" si="10">C8-C16</f>
        <v>0</v>
      </c>
      <c r="D24" s="677">
        <f t="shared" si="10"/>
        <v>0</v>
      </c>
      <c r="E24" s="677">
        <f t="shared" si="10"/>
        <v>0</v>
      </c>
      <c r="F24" s="677">
        <f t="shared" si="10"/>
        <v>0</v>
      </c>
      <c r="G24" s="677">
        <f t="shared" si="10"/>
        <v>0</v>
      </c>
      <c r="H24" s="677">
        <f t="shared" si="10"/>
        <v>0</v>
      </c>
      <c r="I24" s="677">
        <f t="shared" si="10"/>
        <v>0</v>
      </c>
      <c r="J24" s="681">
        <f t="shared" si="8"/>
        <v>0</v>
      </c>
      <c r="K24" s="9"/>
      <c r="L24" s="670"/>
      <c r="M24" s="672"/>
      <c r="N24" s="672"/>
      <c r="O24" s="672"/>
      <c r="P24" s="671"/>
      <c r="Q24" s="671"/>
      <c r="R24" s="671"/>
      <c r="S24" s="671"/>
      <c r="T24" s="671"/>
      <c r="U24" s="342"/>
      <c r="V24" s="9"/>
      <c r="W24" s="9"/>
      <c r="X24" s="9"/>
      <c r="Y24" s="9"/>
      <c r="Z24" s="9"/>
    </row>
    <row r="25" ht="19.5" hidden="1" customHeight="1">
      <c r="A25" s="640"/>
      <c r="B25" s="654" t="s">
        <v>159</v>
      </c>
      <c r="C25" s="676">
        <f t="shared" ref="C25:I25" si="11">C9-C17</f>
        <v>0</v>
      </c>
      <c r="D25" s="677">
        <f t="shared" si="11"/>
        <v>0</v>
      </c>
      <c r="E25" s="677">
        <f t="shared" si="11"/>
        <v>0</v>
      </c>
      <c r="F25" s="677">
        <f t="shared" si="11"/>
        <v>0</v>
      </c>
      <c r="G25" s="677">
        <f t="shared" si="11"/>
        <v>0</v>
      </c>
      <c r="H25" s="677">
        <f t="shared" si="11"/>
        <v>0</v>
      </c>
      <c r="I25" s="677">
        <f t="shared" si="11"/>
        <v>0</v>
      </c>
      <c r="J25" s="682">
        <f t="shared" si="8"/>
        <v>0</v>
      </c>
      <c r="K25" s="9"/>
      <c r="L25" s="670"/>
      <c r="P25" s="673"/>
      <c r="Q25" s="673"/>
      <c r="R25" s="673"/>
      <c r="S25" s="673"/>
      <c r="T25" s="673"/>
      <c r="U25" s="342"/>
      <c r="V25" s="9"/>
      <c r="W25" s="9"/>
      <c r="X25" s="9"/>
      <c r="Y25" s="9"/>
      <c r="Z25" s="9"/>
    </row>
    <row r="26" ht="15.75" customHeight="1">
      <c r="A26" s="640"/>
      <c r="B26" s="658" t="s">
        <v>117</v>
      </c>
      <c r="C26" s="683">
        <f t="shared" ref="C26:I26" si="12">SUM(C21:C25)</f>
        <v>0</v>
      </c>
      <c r="D26" s="684">
        <f t="shared" si="12"/>
        <v>0</v>
      </c>
      <c r="E26" s="684">
        <f t="shared" si="12"/>
        <v>0</v>
      </c>
      <c r="F26" s="684">
        <f t="shared" si="12"/>
        <v>0</v>
      </c>
      <c r="G26" s="684">
        <f t="shared" si="12"/>
        <v>0</v>
      </c>
      <c r="H26" s="684">
        <f t="shared" si="12"/>
        <v>0</v>
      </c>
      <c r="I26" s="684">
        <f t="shared" si="12"/>
        <v>0</v>
      </c>
      <c r="J26" s="685">
        <f t="shared" si="8"/>
        <v>0</v>
      </c>
      <c r="K26" s="9"/>
      <c r="L26" s="9"/>
      <c r="M26" s="9"/>
      <c r="N26" s="9"/>
      <c r="O26" s="9"/>
      <c r="P26" s="9"/>
      <c r="Q26" s="9"/>
      <c r="R26" s="9"/>
      <c r="S26" s="9"/>
      <c r="T26" s="9"/>
      <c r="U26" s="9"/>
      <c r="V26" s="9"/>
      <c r="W26" s="9"/>
      <c r="X26" s="9"/>
      <c r="Y26" s="9"/>
      <c r="Z26" s="9"/>
    </row>
    <row r="27" ht="15.75" customHeight="1">
      <c r="A27" s="640"/>
      <c r="B27" s="9"/>
      <c r="C27" s="9"/>
      <c r="D27" s="9"/>
      <c r="E27" s="9"/>
      <c r="F27" s="9"/>
      <c r="G27" s="9"/>
      <c r="H27" s="9"/>
      <c r="I27" s="9"/>
      <c r="J27" s="9"/>
      <c r="K27" s="9"/>
      <c r="L27" s="9"/>
      <c r="M27" s="512"/>
      <c r="N27" s="512"/>
      <c r="O27" s="512"/>
      <c r="P27" s="512"/>
      <c r="Q27" s="512"/>
      <c r="R27" s="512"/>
      <c r="S27" s="512"/>
      <c r="T27" s="512"/>
      <c r="U27" s="9"/>
      <c r="V27" s="9"/>
      <c r="W27" s="9"/>
      <c r="X27" s="9"/>
      <c r="Y27" s="9"/>
      <c r="Z27" s="9"/>
    </row>
    <row r="28" ht="15.75" customHeight="1">
      <c r="A28" s="9"/>
      <c r="B28" s="9"/>
      <c r="C28" s="9"/>
      <c r="D28" s="9"/>
      <c r="E28" s="9"/>
      <c r="F28" s="9"/>
      <c r="G28" s="9"/>
      <c r="H28" s="9"/>
      <c r="I28" s="9"/>
      <c r="J28" s="9"/>
      <c r="K28" s="9"/>
      <c r="L28" s="305"/>
      <c r="M28" s="305"/>
      <c r="N28" s="9"/>
      <c r="O28" s="9"/>
      <c r="P28" s="9"/>
      <c r="Q28" s="9"/>
      <c r="R28" s="9"/>
      <c r="S28" s="9"/>
      <c r="T28" s="9"/>
      <c r="U28" s="9"/>
      <c r="V28" s="9"/>
      <c r="W28" s="9"/>
      <c r="X28" s="9"/>
      <c r="Y28" s="9"/>
      <c r="Z28" s="9"/>
    </row>
    <row r="29" ht="15.75" customHeight="1">
      <c r="A29" s="9"/>
      <c r="B29" s="9"/>
      <c r="C29" s="305"/>
      <c r="D29" s="547"/>
      <c r="E29" s="547"/>
      <c r="F29" s="9"/>
      <c r="G29" s="9"/>
      <c r="H29" s="9"/>
      <c r="I29" s="9"/>
      <c r="J29" s="9"/>
      <c r="K29" s="9"/>
      <c r="L29" s="305"/>
      <c r="M29" s="305"/>
      <c r="N29" s="9"/>
      <c r="O29" s="9"/>
      <c r="P29" s="9"/>
      <c r="Q29" s="9"/>
      <c r="R29" s="9"/>
      <c r="S29" s="9"/>
      <c r="T29" s="9"/>
      <c r="U29" s="9"/>
      <c r="V29" s="9"/>
      <c r="W29" s="9"/>
      <c r="X29" s="9"/>
      <c r="Y29" s="9"/>
      <c r="Z29" s="9"/>
    </row>
    <row r="30" ht="15.75" customHeight="1">
      <c r="A30" s="9"/>
      <c r="B30" s="9"/>
      <c r="C30" s="305"/>
      <c r="D30" s="547"/>
      <c r="E30" s="547"/>
      <c r="F30" s="9"/>
      <c r="G30" s="9"/>
      <c r="H30" s="9"/>
      <c r="I30" s="9"/>
      <c r="J30" s="9"/>
      <c r="K30" s="9"/>
      <c r="L30" s="9"/>
      <c r="M30" s="9"/>
      <c r="N30" s="9"/>
      <c r="O30" s="9"/>
      <c r="P30" s="9"/>
      <c r="Q30" s="9"/>
      <c r="R30" s="9"/>
      <c r="S30" s="9"/>
      <c r="T30" s="9"/>
      <c r="U30" s="9"/>
      <c r="V30" s="9"/>
      <c r="W30" s="9"/>
      <c r="X30" s="9"/>
      <c r="Y30" s="9"/>
      <c r="Z30" s="9"/>
    </row>
    <row r="31" ht="15.75" customHeight="1">
      <c r="A31" s="9"/>
      <c r="B31" s="9"/>
      <c r="C31" s="305"/>
      <c r="D31" s="547"/>
      <c r="E31" s="547"/>
      <c r="F31" s="9"/>
      <c r="G31" s="9"/>
      <c r="H31" s="9"/>
      <c r="I31" s="9"/>
      <c r="J31" s="9"/>
      <c r="K31" s="9"/>
      <c r="L31" s="9"/>
      <c r="M31" s="9"/>
      <c r="N31" s="9"/>
      <c r="O31" s="9"/>
      <c r="P31" s="9"/>
      <c r="Q31" s="9"/>
      <c r="R31" s="9"/>
      <c r="S31" s="9"/>
      <c r="T31" s="9"/>
      <c r="U31" s="9"/>
      <c r="V31" s="9"/>
      <c r="W31" s="9"/>
      <c r="X31" s="9"/>
      <c r="Y31" s="9"/>
      <c r="Z31" s="9"/>
    </row>
    <row r="32" ht="15.75" customHeight="1">
      <c r="A32" s="9"/>
      <c r="B32" s="9"/>
      <c r="C32" s="305"/>
      <c r="D32" s="547"/>
      <c r="E32" s="547"/>
      <c r="F32" s="9"/>
      <c r="G32" s="9"/>
      <c r="H32" s="9"/>
      <c r="I32" s="9"/>
      <c r="J32" s="9"/>
      <c r="K32" s="9"/>
      <c r="L32" s="9"/>
      <c r="M32" s="9"/>
      <c r="N32" s="9"/>
      <c r="O32" s="9"/>
      <c r="P32" s="9"/>
      <c r="Q32" s="9"/>
      <c r="R32" s="9"/>
      <c r="S32" s="9"/>
      <c r="T32" s="9"/>
      <c r="U32" s="9"/>
      <c r="V32" s="9"/>
      <c r="W32" s="9"/>
      <c r="X32" s="9"/>
      <c r="Y32" s="9"/>
      <c r="Z32" s="9"/>
    </row>
    <row r="33" ht="15.75" customHeight="1">
      <c r="A33" s="9"/>
      <c r="B33" s="9"/>
      <c r="C33" s="305"/>
      <c r="D33" s="547"/>
      <c r="E33" s="547"/>
      <c r="F33" s="9"/>
      <c r="G33" s="9"/>
      <c r="H33" s="9"/>
      <c r="I33" s="9"/>
      <c r="J33" s="9"/>
      <c r="K33" s="9"/>
      <c r="L33" s="9"/>
      <c r="M33" s="9"/>
      <c r="N33" s="9"/>
      <c r="O33" s="9"/>
      <c r="P33" s="9"/>
      <c r="Q33" s="9"/>
      <c r="R33" s="9"/>
      <c r="S33" s="9"/>
      <c r="T33" s="9"/>
      <c r="U33" s="9"/>
      <c r="V33" s="9"/>
      <c r="W33" s="9"/>
      <c r="X33" s="9"/>
      <c r="Y33" s="9"/>
      <c r="Z33" s="9"/>
    </row>
    <row r="34" ht="15.75" customHeight="1">
      <c r="A34" s="9"/>
      <c r="B34" s="9"/>
      <c r="C34" s="305"/>
      <c r="D34" s="547"/>
      <c r="E34" s="547"/>
      <c r="F34" s="9"/>
      <c r="G34" s="9"/>
      <c r="H34" s="9"/>
      <c r="I34" s="9"/>
      <c r="J34" s="9"/>
      <c r="K34" s="9"/>
      <c r="L34" s="9"/>
      <c r="M34" s="9"/>
      <c r="N34" s="9"/>
      <c r="O34" s="9"/>
      <c r="P34" s="9"/>
      <c r="Q34" s="9"/>
      <c r="R34" s="9"/>
      <c r="S34" s="9"/>
      <c r="T34" s="9"/>
      <c r="U34" s="9"/>
      <c r="V34" s="9"/>
      <c r="W34" s="9"/>
      <c r="X34" s="9"/>
      <c r="Y34" s="9"/>
      <c r="Z34" s="9"/>
    </row>
    <row r="35" ht="15.75" customHeight="1">
      <c r="A35" s="9"/>
      <c r="B35" s="9"/>
      <c r="C35" s="305"/>
      <c r="D35" s="547"/>
      <c r="E35" s="547"/>
      <c r="F35" s="9"/>
      <c r="G35" s="9"/>
      <c r="H35" s="9"/>
      <c r="I35" s="9"/>
      <c r="J35" s="9"/>
      <c r="K35" s="9"/>
      <c r="L35" s="9"/>
      <c r="M35" s="9"/>
      <c r="N35" s="9"/>
      <c r="O35" s="9"/>
      <c r="P35" s="9"/>
      <c r="Q35" s="9"/>
      <c r="R35" s="9"/>
      <c r="S35" s="9"/>
      <c r="T35" s="9"/>
      <c r="U35" s="9"/>
      <c r="V35" s="9"/>
      <c r="W35" s="9"/>
      <c r="X35" s="9"/>
      <c r="Y35" s="9"/>
      <c r="Z35" s="9"/>
    </row>
    <row r="36" ht="15.75" customHeight="1">
      <c r="A36" s="9"/>
      <c r="B36" s="9"/>
      <c r="C36" s="9"/>
      <c r="D36" s="9"/>
      <c r="E36" s="9"/>
      <c r="F36" s="9"/>
      <c r="G36" s="9"/>
      <c r="H36" s="9"/>
      <c r="I36" s="9"/>
      <c r="J36" s="9"/>
      <c r="K36" s="9"/>
      <c r="L36" s="9"/>
      <c r="M36" s="9"/>
      <c r="N36" s="9"/>
      <c r="O36" s="9"/>
      <c r="P36" s="9"/>
      <c r="Q36" s="9"/>
      <c r="R36" s="9"/>
      <c r="S36" s="9"/>
      <c r="T36" s="9"/>
      <c r="U36" s="9"/>
      <c r="V36" s="9"/>
      <c r="W36" s="9"/>
      <c r="X36" s="9"/>
      <c r="Y36" s="9"/>
      <c r="Z36" s="9"/>
    </row>
    <row r="37" ht="15.75" customHeight="1">
      <c r="A37" s="9"/>
      <c r="B37" s="9"/>
      <c r="C37" s="9"/>
      <c r="D37" s="9"/>
      <c r="E37" s="9"/>
      <c r="F37" s="9"/>
      <c r="G37" s="9"/>
      <c r="H37" s="9"/>
      <c r="I37" s="9"/>
      <c r="J37" s="9"/>
      <c r="K37" s="9"/>
      <c r="L37" s="9"/>
      <c r="M37" s="9"/>
      <c r="N37" s="9"/>
      <c r="O37" s="9"/>
      <c r="P37" s="9"/>
      <c r="Q37" s="9"/>
      <c r="R37" s="9"/>
      <c r="S37" s="9"/>
      <c r="T37" s="9"/>
      <c r="U37" s="9"/>
      <c r="V37" s="9"/>
      <c r="W37" s="9"/>
      <c r="X37" s="9"/>
      <c r="Y37" s="9"/>
      <c r="Z37" s="9"/>
    </row>
    <row r="38" ht="15.75" customHeight="1">
      <c r="A38" s="9"/>
      <c r="B38" s="9"/>
      <c r="C38" s="9"/>
      <c r="D38" s="9"/>
      <c r="E38" s="9"/>
      <c r="F38" s="9"/>
      <c r="G38" s="9"/>
      <c r="H38" s="9"/>
      <c r="I38" s="9"/>
      <c r="J38" s="9"/>
      <c r="K38" s="9"/>
      <c r="L38" s="9"/>
      <c r="M38" s="9"/>
      <c r="N38" s="9"/>
      <c r="O38" s="9"/>
      <c r="P38" s="9"/>
      <c r="Q38" s="9"/>
      <c r="R38" s="9"/>
      <c r="S38" s="9"/>
      <c r="T38" s="9"/>
      <c r="U38" s="9"/>
      <c r="V38" s="9"/>
      <c r="W38" s="9"/>
      <c r="X38" s="9"/>
      <c r="Y38" s="9"/>
      <c r="Z38" s="9"/>
    </row>
    <row r="39" ht="15.75" customHeight="1">
      <c r="A39" s="9"/>
      <c r="B39" s="9"/>
      <c r="C39" s="9"/>
      <c r="D39" s="9"/>
      <c r="E39" s="9"/>
      <c r="F39" s="9"/>
      <c r="G39" s="9"/>
      <c r="H39" s="9"/>
      <c r="I39" s="9"/>
      <c r="J39" s="9"/>
      <c r="K39" s="9"/>
      <c r="L39" s="9"/>
      <c r="M39" s="9"/>
      <c r="N39" s="9"/>
      <c r="O39" s="9"/>
      <c r="P39" s="9"/>
      <c r="Q39" s="9"/>
      <c r="R39" s="9"/>
      <c r="S39" s="9"/>
      <c r="T39" s="9"/>
      <c r="U39" s="9"/>
      <c r="V39" s="9"/>
      <c r="W39" s="9"/>
      <c r="X39" s="9"/>
      <c r="Y39" s="9"/>
      <c r="Z39" s="9"/>
    </row>
    <row r="40" ht="15.75" customHeight="1">
      <c r="A40" s="9"/>
      <c r="B40" s="9"/>
      <c r="C40" s="9"/>
      <c r="D40" s="9"/>
      <c r="E40" s="9"/>
      <c r="F40" s="9"/>
      <c r="G40" s="9"/>
      <c r="H40" s="9"/>
      <c r="I40" s="9"/>
      <c r="J40" s="9"/>
      <c r="K40" s="9"/>
      <c r="L40" s="9"/>
      <c r="M40" s="9"/>
      <c r="N40" s="9"/>
      <c r="O40" s="9"/>
      <c r="P40" s="9"/>
      <c r="Q40" s="9"/>
      <c r="R40" s="9"/>
      <c r="S40" s="9"/>
      <c r="T40" s="9"/>
      <c r="U40" s="9"/>
      <c r="V40" s="9"/>
      <c r="W40" s="9"/>
      <c r="X40" s="9"/>
      <c r="Y40" s="9"/>
      <c r="Z40" s="9"/>
    </row>
    <row r="41" ht="15.75" customHeight="1">
      <c r="A41" s="9"/>
      <c r="B41" s="9"/>
      <c r="C41" s="9"/>
      <c r="D41" s="9"/>
      <c r="E41" s="9"/>
      <c r="F41" s="9"/>
      <c r="G41" s="9"/>
      <c r="H41" s="9"/>
      <c r="I41" s="9"/>
      <c r="J41" s="9"/>
      <c r="K41" s="9"/>
      <c r="L41" s="9"/>
      <c r="M41" s="9"/>
      <c r="N41" s="9"/>
      <c r="O41" s="9"/>
      <c r="P41" s="9"/>
      <c r="Q41" s="9"/>
      <c r="R41" s="9"/>
      <c r="S41" s="9"/>
      <c r="T41" s="9"/>
      <c r="U41" s="9"/>
      <c r="V41" s="9"/>
      <c r="W41" s="9"/>
      <c r="X41" s="9"/>
      <c r="Y41" s="9"/>
      <c r="Z41" s="9"/>
    </row>
    <row r="42" ht="15.75" customHeight="1">
      <c r="A42" s="9"/>
      <c r="B42" s="9"/>
      <c r="C42" s="9"/>
      <c r="D42" s="9"/>
      <c r="E42" s="9"/>
      <c r="F42" s="9"/>
      <c r="G42" s="9"/>
      <c r="H42" s="9"/>
      <c r="I42" s="9"/>
      <c r="J42" s="9"/>
      <c r="K42" s="9"/>
      <c r="L42" s="9"/>
      <c r="M42" s="9"/>
      <c r="N42" s="9"/>
      <c r="O42" s="9"/>
      <c r="P42" s="9"/>
      <c r="Q42" s="9"/>
      <c r="R42" s="9"/>
      <c r="S42" s="9"/>
      <c r="T42" s="9"/>
      <c r="U42" s="9"/>
      <c r="V42" s="9"/>
      <c r="W42" s="9"/>
      <c r="X42" s="9"/>
      <c r="Y42" s="9"/>
      <c r="Z42" s="9"/>
    </row>
    <row r="43" ht="15.75" customHeight="1">
      <c r="A43" s="9"/>
      <c r="B43" s="9"/>
      <c r="C43" s="9"/>
      <c r="D43" s="9"/>
      <c r="E43" s="9"/>
      <c r="F43" s="9"/>
      <c r="G43" s="9"/>
      <c r="H43" s="9"/>
      <c r="I43" s="9"/>
      <c r="J43" s="9"/>
      <c r="K43" s="9"/>
      <c r="L43" s="9"/>
      <c r="M43" s="9"/>
      <c r="N43" s="9"/>
      <c r="O43" s="9"/>
      <c r="P43" s="9"/>
      <c r="Q43" s="9"/>
      <c r="R43" s="9"/>
      <c r="S43" s="9"/>
      <c r="T43" s="9"/>
      <c r="U43" s="9"/>
      <c r="V43" s="9"/>
      <c r="W43" s="9"/>
      <c r="X43" s="9"/>
      <c r="Y43" s="9"/>
      <c r="Z43" s="9"/>
    </row>
    <row r="44" ht="15.75" customHeight="1">
      <c r="A44" s="9"/>
      <c r="B44" s="9"/>
      <c r="C44" s="9"/>
      <c r="D44" s="9"/>
      <c r="E44" s="9"/>
      <c r="F44" s="9"/>
      <c r="G44" s="9"/>
      <c r="H44" s="9"/>
      <c r="I44" s="9"/>
      <c r="J44" s="9"/>
      <c r="K44" s="9"/>
      <c r="L44" s="9"/>
      <c r="M44" s="9"/>
      <c r="N44" s="9"/>
      <c r="O44" s="9"/>
      <c r="P44" s="9"/>
      <c r="Q44" s="9"/>
      <c r="R44" s="9"/>
      <c r="S44" s="9"/>
      <c r="T44" s="9"/>
      <c r="U44" s="9"/>
      <c r="V44" s="9"/>
      <c r="W44" s="9"/>
      <c r="X44" s="9"/>
      <c r="Y44" s="9"/>
      <c r="Z44" s="9"/>
    </row>
    <row r="45" ht="15.75" customHeight="1">
      <c r="A45" s="9"/>
      <c r="B45" s="9"/>
      <c r="C45" s="9"/>
      <c r="D45" s="9"/>
      <c r="E45" s="9"/>
      <c r="F45" s="9"/>
      <c r="G45" s="9"/>
      <c r="H45" s="9"/>
      <c r="I45" s="9"/>
      <c r="J45" s="9"/>
      <c r="K45" s="9"/>
      <c r="L45" s="9"/>
      <c r="M45" s="9"/>
      <c r="N45" s="9"/>
      <c r="O45" s="9"/>
      <c r="P45" s="9"/>
      <c r="Q45" s="9"/>
      <c r="R45" s="9"/>
      <c r="S45" s="9"/>
      <c r="T45" s="9"/>
      <c r="U45" s="9"/>
      <c r="V45" s="9"/>
      <c r="W45" s="9"/>
      <c r="X45" s="9"/>
      <c r="Y45" s="9"/>
      <c r="Z45" s="9"/>
    </row>
    <row r="46" ht="15.75" customHeight="1">
      <c r="A46" s="9"/>
      <c r="B46" s="9"/>
      <c r="C46" s="9"/>
      <c r="D46" s="9"/>
      <c r="E46" s="9"/>
      <c r="F46" s="9"/>
      <c r="G46" s="9"/>
      <c r="H46" s="9"/>
      <c r="I46" s="9"/>
      <c r="J46" s="9"/>
      <c r="K46" s="9"/>
      <c r="L46" s="9"/>
      <c r="M46" s="9"/>
      <c r="N46" s="9"/>
      <c r="O46" s="9"/>
      <c r="P46" s="9"/>
      <c r="Q46" s="9"/>
      <c r="R46" s="9"/>
      <c r="S46" s="9"/>
      <c r="T46" s="9"/>
      <c r="U46" s="9"/>
      <c r="V46" s="9"/>
      <c r="W46" s="9"/>
      <c r="X46" s="9"/>
      <c r="Y46" s="9"/>
      <c r="Z46" s="9"/>
    </row>
    <row r="47" ht="15.75" customHeight="1">
      <c r="A47" s="9"/>
      <c r="B47" s="9"/>
      <c r="C47" s="9"/>
      <c r="D47" s="9"/>
      <c r="E47" s="9"/>
      <c r="F47" s="9"/>
      <c r="G47" s="9"/>
      <c r="H47" s="9"/>
      <c r="I47" s="9"/>
      <c r="J47" s="9"/>
      <c r="K47" s="9"/>
      <c r="L47" s="9"/>
      <c r="M47" s="9"/>
      <c r="N47" s="9"/>
      <c r="O47" s="9"/>
      <c r="P47" s="9"/>
      <c r="Q47" s="9"/>
      <c r="R47" s="9"/>
      <c r="S47" s="9"/>
      <c r="T47" s="9"/>
      <c r="U47" s="9"/>
      <c r="V47" s="9"/>
      <c r="W47" s="9"/>
      <c r="X47" s="9"/>
      <c r="Y47" s="9"/>
      <c r="Z47" s="9"/>
    </row>
    <row r="48" ht="15.75" customHeight="1">
      <c r="A48" s="9"/>
      <c r="B48" s="9"/>
      <c r="C48" s="9"/>
      <c r="D48" s="9"/>
      <c r="E48" s="9"/>
      <c r="F48" s="9"/>
      <c r="G48" s="9"/>
      <c r="H48" s="9"/>
      <c r="I48" s="9"/>
      <c r="J48" s="9"/>
      <c r="K48" s="9"/>
      <c r="L48" s="9"/>
      <c r="M48" s="9"/>
      <c r="N48" s="9"/>
      <c r="O48" s="9"/>
      <c r="P48" s="9"/>
      <c r="Q48" s="9"/>
      <c r="R48" s="9"/>
      <c r="S48" s="9"/>
      <c r="T48" s="9"/>
      <c r="U48" s="9"/>
      <c r="V48" s="9"/>
      <c r="W48" s="9"/>
      <c r="X48" s="9"/>
      <c r="Y48" s="9"/>
      <c r="Z48" s="9"/>
    </row>
    <row r="49" ht="15.75" customHeight="1">
      <c r="A49" s="9"/>
      <c r="B49" s="9"/>
      <c r="C49" s="9"/>
      <c r="D49" s="9"/>
      <c r="E49" s="9"/>
      <c r="F49" s="9"/>
      <c r="G49" s="9"/>
      <c r="H49" s="9"/>
      <c r="I49" s="9"/>
      <c r="J49" s="9"/>
      <c r="K49" s="9"/>
      <c r="L49" s="9"/>
      <c r="M49" s="9"/>
      <c r="N49" s="9"/>
      <c r="O49" s="9"/>
      <c r="P49" s="9"/>
      <c r="Q49" s="9"/>
      <c r="R49" s="9"/>
      <c r="S49" s="9"/>
      <c r="T49" s="9"/>
      <c r="U49" s="9"/>
      <c r="V49" s="9"/>
      <c r="W49" s="9"/>
      <c r="X49" s="9"/>
      <c r="Y49" s="9"/>
      <c r="Z49" s="9"/>
    </row>
    <row r="50" ht="15.75" customHeight="1">
      <c r="A50" s="9"/>
      <c r="B50" s="9"/>
      <c r="C50" s="9"/>
      <c r="D50" s="9"/>
      <c r="E50" s="9"/>
      <c r="F50" s="9"/>
      <c r="G50" s="9"/>
      <c r="H50" s="9"/>
      <c r="I50" s="9"/>
      <c r="J50" s="9"/>
      <c r="K50" s="9"/>
      <c r="L50" s="9"/>
      <c r="M50" s="9"/>
      <c r="N50" s="9"/>
      <c r="O50" s="9"/>
      <c r="P50" s="9"/>
      <c r="Q50" s="9"/>
      <c r="R50" s="9"/>
      <c r="S50" s="9"/>
      <c r="T50" s="9"/>
      <c r="U50" s="9"/>
      <c r="V50" s="9"/>
      <c r="W50" s="9"/>
      <c r="X50" s="9"/>
      <c r="Y50" s="9"/>
      <c r="Z50" s="9"/>
    </row>
    <row r="51" ht="15.75" customHeight="1">
      <c r="A51" s="9"/>
      <c r="B51" s="9"/>
      <c r="C51" s="9"/>
      <c r="D51" s="9"/>
      <c r="E51" s="9"/>
      <c r="F51" s="9"/>
      <c r="G51" s="9"/>
      <c r="H51" s="9"/>
      <c r="I51" s="9"/>
      <c r="J51" s="9"/>
      <c r="K51" s="9"/>
      <c r="L51" s="9"/>
      <c r="M51" s="9"/>
      <c r="N51" s="9"/>
      <c r="O51" s="9"/>
      <c r="P51" s="9"/>
      <c r="Q51" s="9"/>
      <c r="R51" s="9"/>
      <c r="S51" s="9"/>
      <c r="T51" s="9"/>
      <c r="U51" s="9"/>
      <c r="V51" s="9"/>
      <c r="W51" s="9"/>
      <c r="X51" s="9"/>
      <c r="Y51" s="9"/>
      <c r="Z51" s="9"/>
    </row>
    <row r="52" ht="15.75" customHeight="1">
      <c r="A52" s="9"/>
      <c r="B52" s="9"/>
      <c r="C52" s="9"/>
      <c r="D52" s="9"/>
      <c r="E52" s="9"/>
      <c r="F52" s="9"/>
      <c r="G52" s="9"/>
      <c r="H52" s="9"/>
      <c r="I52" s="9"/>
      <c r="J52" s="9"/>
      <c r="K52" s="9"/>
      <c r="L52" s="9"/>
      <c r="M52" s="9"/>
      <c r="N52" s="9"/>
      <c r="O52" s="9"/>
      <c r="P52" s="9"/>
      <c r="Q52" s="9"/>
      <c r="R52" s="9"/>
      <c r="S52" s="9"/>
      <c r="T52" s="9"/>
      <c r="U52" s="9"/>
      <c r="V52" s="9"/>
      <c r="W52" s="9"/>
      <c r="X52" s="9"/>
      <c r="Y52" s="9"/>
      <c r="Z52" s="9"/>
    </row>
    <row r="53" ht="15.75" customHeight="1">
      <c r="A53" s="9"/>
      <c r="B53" s="9"/>
      <c r="C53" s="9"/>
      <c r="D53" s="9"/>
      <c r="E53" s="9"/>
      <c r="F53" s="9"/>
      <c r="G53" s="9"/>
      <c r="H53" s="9"/>
      <c r="I53" s="9"/>
      <c r="J53" s="9"/>
      <c r="K53" s="9"/>
      <c r="L53" s="9"/>
      <c r="M53" s="9"/>
      <c r="N53" s="9"/>
      <c r="O53" s="9"/>
      <c r="P53" s="9"/>
      <c r="Q53" s="9"/>
      <c r="R53" s="9"/>
      <c r="S53" s="9"/>
      <c r="T53" s="9"/>
      <c r="U53" s="9"/>
      <c r="V53" s="9"/>
      <c r="W53" s="9"/>
      <c r="X53" s="9"/>
      <c r="Y53" s="9"/>
      <c r="Z53" s="9"/>
    </row>
    <row r="54" ht="15.75" customHeight="1">
      <c r="A54" s="9"/>
      <c r="B54" s="9"/>
      <c r="C54" s="9"/>
      <c r="D54" s="9"/>
      <c r="E54" s="9"/>
      <c r="F54" s="9"/>
      <c r="G54" s="9"/>
      <c r="H54" s="9"/>
      <c r="I54" s="9"/>
      <c r="J54" s="9"/>
      <c r="K54" s="9"/>
      <c r="L54" s="9"/>
      <c r="M54" s="9"/>
      <c r="N54" s="9"/>
      <c r="O54" s="9"/>
      <c r="P54" s="9"/>
      <c r="Q54" s="9"/>
      <c r="R54" s="9"/>
      <c r="S54" s="9"/>
      <c r="T54" s="9"/>
      <c r="U54" s="9"/>
      <c r="V54" s="9"/>
      <c r="W54" s="9"/>
      <c r="X54" s="9"/>
      <c r="Y54" s="9"/>
      <c r="Z54" s="9"/>
    </row>
    <row r="55" ht="15.75" customHeight="1">
      <c r="A55" s="9"/>
      <c r="B55" s="9"/>
      <c r="C55" s="9"/>
      <c r="D55" s="9"/>
      <c r="E55" s="9"/>
      <c r="F55" s="9"/>
      <c r="G55" s="9"/>
      <c r="H55" s="9"/>
      <c r="I55" s="9"/>
      <c r="J55" s="9"/>
      <c r="K55" s="9"/>
      <c r="L55" s="9"/>
      <c r="M55" s="9"/>
      <c r="N55" s="9"/>
      <c r="O55" s="9"/>
      <c r="P55" s="9"/>
      <c r="Q55" s="9"/>
      <c r="R55" s="9"/>
      <c r="S55" s="9"/>
      <c r="T55" s="9"/>
      <c r="U55" s="9"/>
      <c r="V55" s="9"/>
      <c r="W55" s="9"/>
      <c r="X55" s="9"/>
      <c r="Y55" s="9"/>
      <c r="Z55" s="9"/>
    </row>
    <row r="56" ht="15.75" customHeight="1">
      <c r="A56" s="9"/>
      <c r="B56" s="9"/>
      <c r="C56" s="9"/>
      <c r="D56" s="9"/>
      <c r="E56" s="9"/>
      <c r="F56" s="9"/>
      <c r="G56" s="9"/>
      <c r="H56" s="9"/>
      <c r="I56" s="9"/>
      <c r="J56" s="9"/>
      <c r="K56" s="9"/>
      <c r="L56" s="9"/>
      <c r="M56" s="9"/>
      <c r="N56" s="9"/>
      <c r="O56" s="9"/>
      <c r="P56" s="9"/>
      <c r="Q56" s="9"/>
      <c r="R56" s="9"/>
      <c r="S56" s="9"/>
      <c r="T56" s="9"/>
      <c r="U56" s="9"/>
      <c r="V56" s="9"/>
      <c r="W56" s="9"/>
      <c r="X56" s="9"/>
      <c r="Y56" s="9"/>
      <c r="Z56" s="9"/>
    </row>
    <row r="57" ht="15.75" customHeight="1">
      <c r="A57" s="9"/>
      <c r="B57" s="9"/>
      <c r="C57" s="9"/>
      <c r="D57" s="9"/>
      <c r="E57" s="9"/>
      <c r="F57" s="9"/>
      <c r="G57" s="9"/>
      <c r="H57" s="9"/>
      <c r="I57" s="9"/>
      <c r="J57" s="9"/>
      <c r="K57" s="9"/>
      <c r="L57" s="9"/>
      <c r="M57" s="9"/>
      <c r="N57" s="9"/>
      <c r="O57" s="9"/>
      <c r="P57" s="9"/>
      <c r="Q57" s="9"/>
      <c r="R57" s="9"/>
      <c r="S57" s="9"/>
      <c r="T57" s="9"/>
      <c r="U57" s="9"/>
      <c r="V57" s="9"/>
      <c r="W57" s="9"/>
      <c r="X57" s="9"/>
      <c r="Y57" s="9"/>
      <c r="Z57" s="9"/>
    </row>
    <row r="58" ht="15.75" customHeight="1">
      <c r="A58" s="9"/>
      <c r="B58" s="9"/>
      <c r="C58" s="9"/>
      <c r="D58" s="9"/>
      <c r="E58" s="9"/>
      <c r="F58" s="9"/>
      <c r="G58" s="9"/>
      <c r="H58" s="9"/>
      <c r="I58" s="9"/>
      <c r="J58" s="9"/>
      <c r="K58" s="9"/>
      <c r="L58" s="9"/>
      <c r="M58" s="9"/>
      <c r="N58" s="9"/>
      <c r="O58" s="9"/>
      <c r="P58" s="9"/>
      <c r="Q58" s="9"/>
      <c r="R58" s="9"/>
      <c r="S58" s="9"/>
      <c r="T58" s="9"/>
      <c r="U58" s="9"/>
      <c r="V58" s="9"/>
      <c r="W58" s="9"/>
      <c r="X58" s="9"/>
      <c r="Y58" s="9"/>
      <c r="Z58" s="9"/>
    </row>
    <row r="59" ht="15.75" customHeight="1">
      <c r="A59" s="9"/>
      <c r="B59" s="9"/>
      <c r="C59" s="9"/>
      <c r="D59" s="9"/>
      <c r="E59" s="9"/>
      <c r="F59" s="9"/>
      <c r="G59" s="9"/>
      <c r="H59" s="9"/>
      <c r="I59" s="9"/>
      <c r="J59" s="9"/>
      <c r="K59" s="9"/>
      <c r="L59" s="9"/>
      <c r="M59" s="9"/>
      <c r="N59" s="9"/>
      <c r="O59" s="9"/>
      <c r="P59" s="9"/>
      <c r="Q59" s="9"/>
      <c r="R59" s="9"/>
      <c r="S59" s="9"/>
      <c r="T59" s="9"/>
      <c r="U59" s="9"/>
      <c r="V59" s="9"/>
      <c r="W59" s="9"/>
      <c r="X59" s="9"/>
      <c r="Y59" s="9"/>
      <c r="Z59" s="9"/>
    </row>
    <row r="60" ht="15.75" customHeight="1">
      <c r="A60" s="9"/>
      <c r="B60" s="9"/>
      <c r="C60" s="9"/>
      <c r="D60" s="9"/>
      <c r="E60" s="9"/>
      <c r="F60" s="9"/>
      <c r="G60" s="9"/>
      <c r="H60" s="9"/>
      <c r="I60" s="9"/>
      <c r="J60" s="9"/>
      <c r="K60" s="9"/>
      <c r="L60" s="9"/>
      <c r="M60" s="9"/>
      <c r="N60" s="9"/>
      <c r="O60" s="9"/>
      <c r="P60" s="9"/>
      <c r="Q60" s="9"/>
      <c r="R60" s="9"/>
      <c r="S60" s="9"/>
      <c r="T60" s="9"/>
      <c r="U60" s="9"/>
      <c r="V60" s="9"/>
      <c r="W60" s="9"/>
      <c r="X60" s="9"/>
      <c r="Y60" s="9"/>
      <c r="Z60" s="9"/>
    </row>
    <row r="61" ht="15.75" customHeight="1">
      <c r="A61" s="9"/>
      <c r="B61" s="9"/>
      <c r="C61" s="9"/>
      <c r="D61" s="9"/>
      <c r="E61" s="9"/>
      <c r="F61" s="9"/>
      <c r="G61" s="9"/>
      <c r="H61" s="9"/>
      <c r="I61" s="9"/>
      <c r="J61" s="9"/>
      <c r="K61" s="9"/>
      <c r="L61" s="9"/>
      <c r="M61" s="9"/>
      <c r="N61" s="9"/>
      <c r="O61" s="9"/>
      <c r="P61" s="9"/>
      <c r="Q61" s="9"/>
      <c r="R61" s="9"/>
      <c r="S61" s="9"/>
      <c r="T61" s="9"/>
      <c r="U61" s="9"/>
      <c r="V61" s="9"/>
      <c r="W61" s="9"/>
      <c r="X61" s="9"/>
      <c r="Y61" s="9"/>
      <c r="Z61" s="9"/>
    </row>
    <row r="62" ht="15.75" customHeight="1">
      <c r="A62" s="9"/>
      <c r="B62" s="9"/>
      <c r="C62" s="9"/>
      <c r="D62" s="9"/>
      <c r="E62" s="9"/>
      <c r="F62" s="9"/>
      <c r="G62" s="9"/>
      <c r="H62" s="9"/>
      <c r="I62" s="9"/>
      <c r="J62" s="9"/>
      <c r="K62" s="9"/>
      <c r="L62" s="9"/>
      <c r="M62" s="9"/>
      <c r="N62" s="9"/>
      <c r="O62" s="9"/>
      <c r="P62" s="9"/>
      <c r="Q62" s="9"/>
      <c r="R62" s="9"/>
      <c r="S62" s="9"/>
      <c r="T62" s="9"/>
      <c r="U62" s="9"/>
      <c r="V62" s="9"/>
      <c r="W62" s="9"/>
      <c r="X62" s="9"/>
      <c r="Y62" s="9"/>
      <c r="Z62" s="9"/>
    </row>
    <row r="63" ht="15.75" customHeight="1">
      <c r="A63" s="9"/>
      <c r="B63" s="9"/>
      <c r="C63" s="9"/>
      <c r="D63" s="9"/>
      <c r="E63" s="9"/>
      <c r="F63" s="9"/>
      <c r="G63" s="9"/>
      <c r="H63" s="9"/>
      <c r="I63" s="9"/>
      <c r="J63" s="9"/>
      <c r="K63" s="9"/>
      <c r="L63" s="9"/>
      <c r="M63" s="9"/>
      <c r="N63" s="9"/>
      <c r="O63" s="9"/>
      <c r="P63" s="9"/>
      <c r="Q63" s="9"/>
      <c r="R63" s="9"/>
      <c r="S63" s="9"/>
      <c r="T63" s="9"/>
      <c r="U63" s="9"/>
      <c r="V63" s="9"/>
      <c r="W63" s="9"/>
      <c r="X63" s="9"/>
      <c r="Y63" s="9"/>
      <c r="Z63" s="9"/>
    </row>
    <row r="64" ht="15.75" customHeight="1">
      <c r="A64" s="9"/>
      <c r="B64" s="9"/>
      <c r="C64" s="9"/>
      <c r="D64" s="9"/>
      <c r="E64" s="9"/>
      <c r="F64" s="9"/>
      <c r="G64" s="9"/>
      <c r="H64" s="9"/>
      <c r="I64" s="9"/>
      <c r="J64" s="9"/>
      <c r="K64" s="9"/>
      <c r="L64" s="9"/>
      <c r="M64" s="9"/>
      <c r="N64" s="9"/>
      <c r="O64" s="9"/>
      <c r="P64" s="9"/>
      <c r="Q64" s="9"/>
      <c r="R64" s="9"/>
      <c r="S64" s="9"/>
      <c r="T64" s="9"/>
      <c r="U64" s="9"/>
      <c r="V64" s="9"/>
      <c r="W64" s="9"/>
      <c r="X64" s="9"/>
      <c r="Y64" s="9"/>
      <c r="Z64" s="9"/>
    </row>
    <row r="65" ht="15.75" customHeight="1">
      <c r="A65" s="9"/>
      <c r="B65" s="9"/>
      <c r="C65" s="9"/>
      <c r="D65" s="9"/>
      <c r="E65" s="9"/>
      <c r="F65" s="9"/>
      <c r="G65" s="9"/>
      <c r="H65" s="9"/>
      <c r="I65" s="9"/>
      <c r="J65" s="9"/>
      <c r="K65" s="9"/>
      <c r="L65" s="9"/>
      <c r="M65" s="9"/>
      <c r="N65" s="9"/>
      <c r="O65" s="9"/>
      <c r="P65" s="9"/>
      <c r="Q65" s="9"/>
      <c r="R65" s="9"/>
      <c r="S65" s="9"/>
      <c r="T65" s="9"/>
      <c r="U65" s="9"/>
      <c r="V65" s="9"/>
      <c r="W65" s="9"/>
      <c r="X65" s="9"/>
      <c r="Y65" s="9"/>
      <c r="Z65" s="9"/>
    </row>
    <row r="66" ht="15.75" customHeight="1">
      <c r="A66" s="9"/>
      <c r="B66" s="9"/>
      <c r="C66" s="9"/>
      <c r="D66" s="9"/>
      <c r="E66" s="9"/>
      <c r="F66" s="9"/>
      <c r="G66" s="9"/>
      <c r="H66" s="9"/>
      <c r="I66" s="9"/>
      <c r="J66" s="9"/>
      <c r="K66" s="9"/>
      <c r="L66" s="9"/>
      <c r="M66" s="9"/>
      <c r="N66" s="9"/>
      <c r="O66" s="9"/>
      <c r="P66" s="9"/>
      <c r="Q66" s="9"/>
      <c r="R66" s="9"/>
      <c r="S66" s="9"/>
      <c r="T66" s="9"/>
      <c r="U66" s="9"/>
      <c r="V66" s="9"/>
      <c r="W66" s="9"/>
      <c r="X66" s="9"/>
      <c r="Y66" s="9"/>
      <c r="Z66" s="9"/>
    </row>
    <row r="67" ht="15.75" customHeight="1">
      <c r="A67" s="9"/>
      <c r="B67" s="9"/>
      <c r="C67" s="9"/>
      <c r="D67" s="9"/>
      <c r="E67" s="9"/>
      <c r="F67" s="9"/>
      <c r="G67" s="9"/>
      <c r="H67" s="9"/>
      <c r="I67" s="9"/>
      <c r="J67" s="9"/>
      <c r="K67" s="9"/>
      <c r="L67" s="9"/>
      <c r="M67" s="9"/>
      <c r="N67" s="9"/>
      <c r="O67" s="9"/>
      <c r="P67" s="9"/>
      <c r="Q67" s="9"/>
      <c r="R67" s="9"/>
      <c r="S67" s="9"/>
      <c r="T67" s="9"/>
      <c r="U67" s="9"/>
      <c r="V67" s="9"/>
      <c r="W67" s="9"/>
      <c r="X67" s="9"/>
      <c r="Y67" s="9"/>
      <c r="Z67" s="9"/>
    </row>
    <row r="68" ht="15.75" customHeight="1">
      <c r="A68" s="9"/>
      <c r="B68" s="9"/>
      <c r="C68" s="9"/>
      <c r="D68" s="9"/>
      <c r="E68" s="9"/>
      <c r="F68" s="9"/>
      <c r="G68" s="9"/>
      <c r="H68" s="9"/>
      <c r="I68" s="9"/>
      <c r="J68" s="9"/>
      <c r="K68" s="9"/>
      <c r="L68" s="9"/>
      <c r="M68" s="9"/>
      <c r="N68" s="9"/>
      <c r="O68" s="9"/>
      <c r="P68" s="9"/>
      <c r="Q68" s="9"/>
      <c r="R68" s="9"/>
      <c r="S68" s="9"/>
      <c r="T68" s="9"/>
      <c r="U68" s="9"/>
      <c r="V68" s="9"/>
      <c r="W68" s="9"/>
      <c r="X68" s="9"/>
      <c r="Y68" s="9"/>
      <c r="Z68" s="9"/>
    </row>
    <row r="69" ht="15.75" customHeight="1">
      <c r="A69" s="9"/>
      <c r="B69" s="9"/>
      <c r="C69" s="9"/>
      <c r="D69" s="9"/>
      <c r="E69" s="9"/>
      <c r="F69" s="9"/>
      <c r="G69" s="9"/>
      <c r="H69" s="9"/>
      <c r="I69" s="9"/>
      <c r="J69" s="9"/>
      <c r="K69" s="9"/>
      <c r="L69" s="9"/>
      <c r="M69" s="9"/>
      <c r="N69" s="9"/>
      <c r="O69" s="9"/>
      <c r="P69" s="9"/>
      <c r="Q69" s="9"/>
      <c r="R69" s="9"/>
      <c r="S69" s="9"/>
      <c r="T69" s="9"/>
      <c r="U69" s="9"/>
      <c r="V69" s="9"/>
      <c r="W69" s="9"/>
      <c r="X69" s="9"/>
      <c r="Y69" s="9"/>
      <c r="Z69" s="9"/>
    </row>
    <row r="70" ht="15.75" customHeight="1">
      <c r="A70" s="9"/>
      <c r="B70" s="9"/>
      <c r="C70" s="9"/>
      <c r="D70" s="9"/>
      <c r="E70" s="9"/>
      <c r="F70" s="9"/>
      <c r="G70" s="9"/>
      <c r="H70" s="9"/>
      <c r="I70" s="9"/>
      <c r="J70" s="9"/>
      <c r="K70" s="9"/>
      <c r="L70" s="9"/>
      <c r="M70" s="9"/>
      <c r="N70" s="9"/>
      <c r="O70" s="9"/>
      <c r="P70" s="9"/>
      <c r="Q70" s="9"/>
      <c r="R70" s="9"/>
      <c r="S70" s="9"/>
      <c r="T70" s="9"/>
      <c r="U70" s="9"/>
      <c r="V70" s="9"/>
      <c r="W70" s="9"/>
      <c r="X70" s="9"/>
      <c r="Y70" s="9"/>
      <c r="Z70" s="9"/>
    </row>
    <row r="71" ht="15.75" customHeight="1">
      <c r="A71" s="9"/>
      <c r="B71" s="9"/>
      <c r="C71" s="9"/>
      <c r="D71" s="9"/>
      <c r="E71" s="9"/>
      <c r="F71" s="9"/>
      <c r="G71" s="9"/>
      <c r="H71" s="9"/>
      <c r="I71" s="9"/>
      <c r="J71" s="9"/>
      <c r="K71" s="9"/>
      <c r="L71" s="9"/>
      <c r="M71" s="9"/>
      <c r="N71" s="9"/>
      <c r="O71" s="9"/>
      <c r="P71" s="9"/>
      <c r="Q71" s="9"/>
      <c r="R71" s="9"/>
      <c r="S71" s="9"/>
      <c r="T71" s="9"/>
      <c r="U71" s="9"/>
      <c r="V71" s="9"/>
      <c r="W71" s="9"/>
      <c r="X71" s="9"/>
      <c r="Y71" s="9"/>
      <c r="Z71" s="9"/>
    </row>
    <row r="72" ht="15.75" customHeight="1">
      <c r="A72" s="9"/>
      <c r="B72" s="9"/>
      <c r="C72" s="9"/>
      <c r="D72" s="9"/>
      <c r="E72" s="9"/>
      <c r="F72" s="9"/>
      <c r="G72" s="9"/>
      <c r="H72" s="9"/>
      <c r="I72" s="9"/>
      <c r="J72" s="9"/>
      <c r="K72" s="9"/>
      <c r="L72" s="9"/>
      <c r="M72" s="9"/>
      <c r="N72" s="9"/>
      <c r="O72" s="9"/>
      <c r="P72" s="9"/>
      <c r="Q72" s="9"/>
      <c r="R72" s="9"/>
      <c r="S72" s="9"/>
      <c r="T72" s="9"/>
      <c r="U72" s="9"/>
      <c r="V72" s="9"/>
      <c r="W72" s="9"/>
      <c r="X72" s="9"/>
      <c r="Y72" s="9"/>
      <c r="Z72" s="9"/>
    </row>
    <row r="73" ht="15.75" customHeight="1">
      <c r="A73" s="9"/>
      <c r="B73" s="9"/>
      <c r="C73" s="9"/>
      <c r="D73" s="9"/>
      <c r="E73" s="9"/>
      <c r="F73" s="9"/>
      <c r="G73" s="9"/>
      <c r="H73" s="9"/>
      <c r="I73" s="9"/>
      <c r="J73" s="9"/>
      <c r="K73" s="9"/>
      <c r="L73" s="9"/>
      <c r="M73" s="9"/>
      <c r="N73" s="9"/>
      <c r="O73" s="9"/>
      <c r="P73" s="9"/>
      <c r="Q73" s="9"/>
      <c r="R73" s="9"/>
      <c r="S73" s="9"/>
      <c r="T73" s="9"/>
      <c r="U73" s="9"/>
      <c r="V73" s="9"/>
      <c r="W73" s="9"/>
      <c r="X73" s="9"/>
      <c r="Y73" s="9"/>
      <c r="Z73" s="9"/>
    </row>
    <row r="74" ht="15.75" customHeight="1">
      <c r="A74" s="9"/>
      <c r="B74" s="9"/>
      <c r="C74" s="9"/>
      <c r="D74" s="9"/>
      <c r="E74" s="9"/>
      <c r="F74" s="9"/>
      <c r="G74" s="9"/>
      <c r="H74" s="9"/>
      <c r="I74" s="9"/>
      <c r="J74" s="9"/>
      <c r="K74" s="9"/>
      <c r="L74" s="9"/>
      <c r="M74" s="9"/>
      <c r="N74" s="9"/>
      <c r="O74" s="9"/>
      <c r="P74" s="9"/>
      <c r="Q74" s="9"/>
      <c r="R74" s="9"/>
      <c r="S74" s="9"/>
      <c r="T74" s="9"/>
      <c r="U74" s="9"/>
      <c r="V74" s="9"/>
      <c r="W74" s="9"/>
      <c r="X74" s="9"/>
      <c r="Y74" s="9"/>
      <c r="Z74" s="9"/>
    </row>
    <row r="75" ht="15.75" customHeight="1">
      <c r="A75" s="9"/>
      <c r="B75" s="9"/>
      <c r="C75" s="9"/>
      <c r="D75" s="9"/>
      <c r="E75" s="9"/>
      <c r="F75" s="9"/>
      <c r="G75" s="9"/>
      <c r="H75" s="9"/>
      <c r="I75" s="9"/>
      <c r="J75" s="9"/>
      <c r="K75" s="9"/>
      <c r="L75" s="9"/>
      <c r="M75" s="9"/>
      <c r="N75" s="9"/>
      <c r="O75" s="9"/>
      <c r="P75" s="9"/>
      <c r="Q75" s="9"/>
      <c r="R75" s="9"/>
      <c r="S75" s="9"/>
      <c r="T75" s="9"/>
      <c r="U75" s="9"/>
      <c r="V75" s="9"/>
      <c r="W75" s="9"/>
      <c r="X75" s="9"/>
      <c r="Y75" s="9"/>
      <c r="Z75" s="9"/>
    </row>
    <row r="76" ht="15.75" customHeight="1">
      <c r="A76" s="9"/>
      <c r="B76" s="9"/>
      <c r="C76" s="9"/>
      <c r="D76" s="9"/>
      <c r="E76" s="9"/>
      <c r="F76" s="9"/>
      <c r="G76" s="9"/>
      <c r="H76" s="9"/>
      <c r="I76" s="9"/>
      <c r="J76" s="9"/>
      <c r="K76" s="9"/>
      <c r="L76" s="9"/>
      <c r="M76" s="9"/>
      <c r="N76" s="9"/>
      <c r="O76" s="9"/>
      <c r="P76" s="9"/>
      <c r="Q76" s="9"/>
      <c r="R76" s="9"/>
      <c r="S76" s="9"/>
      <c r="T76" s="9"/>
      <c r="U76" s="9"/>
      <c r="V76" s="9"/>
      <c r="W76" s="9"/>
      <c r="X76" s="9"/>
      <c r="Y76" s="9"/>
      <c r="Z76" s="9"/>
    </row>
    <row r="77" ht="15.75" customHeight="1">
      <c r="A77" s="9"/>
      <c r="B77" s="9"/>
      <c r="C77" s="9"/>
      <c r="D77" s="9"/>
      <c r="E77" s="9"/>
      <c r="F77" s="9"/>
      <c r="G77" s="9"/>
      <c r="H77" s="9"/>
      <c r="I77" s="9"/>
      <c r="J77" s="9"/>
      <c r="K77" s="9"/>
      <c r="L77" s="9"/>
      <c r="M77" s="9"/>
      <c r="N77" s="9"/>
      <c r="O77" s="9"/>
      <c r="P77" s="9"/>
      <c r="Q77" s="9"/>
      <c r="R77" s="9"/>
      <c r="S77" s="9"/>
      <c r="T77" s="9"/>
      <c r="U77" s="9"/>
      <c r="V77" s="9"/>
      <c r="W77" s="9"/>
      <c r="X77" s="9"/>
      <c r="Y77" s="9"/>
      <c r="Z77" s="9"/>
    </row>
    <row r="78" ht="15.75" customHeight="1">
      <c r="A78" s="9"/>
      <c r="B78" s="9"/>
      <c r="C78" s="9"/>
      <c r="D78" s="9"/>
      <c r="E78" s="9"/>
      <c r="F78" s="9"/>
      <c r="G78" s="9"/>
      <c r="H78" s="9"/>
      <c r="I78" s="9"/>
      <c r="J78" s="9"/>
      <c r="K78" s="9"/>
      <c r="L78" s="9"/>
      <c r="M78" s="9"/>
      <c r="N78" s="9"/>
      <c r="O78" s="9"/>
      <c r="P78" s="9"/>
      <c r="Q78" s="9"/>
      <c r="R78" s="9"/>
      <c r="S78" s="9"/>
      <c r="T78" s="9"/>
      <c r="U78" s="9"/>
      <c r="V78" s="9"/>
      <c r="W78" s="9"/>
      <c r="X78" s="9"/>
      <c r="Y78" s="9"/>
      <c r="Z78" s="9"/>
    </row>
    <row r="79" ht="15.75" customHeight="1">
      <c r="A79" s="9"/>
      <c r="B79" s="9"/>
      <c r="C79" s="9"/>
      <c r="D79" s="9"/>
      <c r="E79" s="9"/>
      <c r="F79" s="9"/>
      <c r="G79" s="9"/>
      <c r="H79" s="9"/>
      <c r="I79" s="9"/>
      <c r="J79" s="9"/>
      <c r="K79" s="9"/>
      <c r="L79" s="9"/>
      <c r="M79" s="9"/>
      <c r="N79" s="9"/>
      <c r="O79" s="9"/>
      <c r="P79" s="9"/>
      <c r="Q79" s="9"/>
      <c r="R79" s="9"/>
      <c r="S79" s="9"/>
      <c r="T79" s="9"/>
      <c r="U79" s="9"/>
      <c r="V79" s="9"/>
      <c r="W79" s="9"/>
      <c r="X79" s="9"/>
      <c r="Y79" s="9"/>
      <c r="Z79" s="9"/>
    </row>
    <row r="80" ht="15.75" customHeight="1">
      <c r="A80" s="9"/>
      <c r="B80" s="9"/>
      <c r="C80" s="9"/>
      <c r="D80" s="9"/>
      <c r="E80" s="9"/>
      <c r="F80" s="9"/>
      <c r="G80" s="9"/>
      <c r="H80" s="9"/>
      <c r="I80" s="9"/>
      <c r="J80" s="9"/>
      <c r="K80" s="9"/>
      <c r="L80" s="9"/>
      <c r="M80" s="9"/>
      <c r="N80" s="9"/>
      <c r="O80" s="9"/>
      <c r="P80" s="9"/>
      <c r="Q80" s="9"/>
      <c r="R80" s="9"/>
      <c r="S80" s="9"/>
      <c r="T80" s="9"/>
      <c r="U80" s="9"/>
      <c r="V80" s="9"/>
      <c r="W80" s="9"/>
      <c r="X80" s="9"/>
      <c r="Y80" s="9"/>
      <c r="Z80" s="9"/>
    </row>
    <row r="81" ht="15.75" customHeight="1">
      <c r="A81" s="9"/>
      <c r="B81" s="9"/>
      <c r="C81" s="9"/>
      <c r="D81" s="9"/>
      <c r="E81" s="9"/>
      <c r="F81" s="9"/>
      <c r="G81" s="9"/>
      <c r="H81" s="9"/>
      <c r="I81" s="9"/>
      <c r="J81" s="9"/>
      <c r="K81" s="9"/>
      <c r="L81" s="9"/>
      <c r="M81" s="9"/>
      <c r="N81" s="9"/>
      <c r="O81" s="9"/>
      <c r="P81" s="9"/>
      <c r="Q81" s="9"/>
      <c r="R81" s="9"/>
      <c r="S81" s="9"/>
      <c r="T81" s="9"/>
      <c r="U81" s="9"/>
      <c r="V81" s="9"/>
      <c r="W81" s="9"/>
      <c r="X81" s="9"/>
      <c r="Y81" s="9"/>
      <c r="Z81" s="9"/>
    </row>
    <row r="82" ht="15.75" customHeight="1">
      <c r="A82" s="9"/>
      <c r="B82" s="9"/>
      <c r="C82" s="9"/>
      <c r="D82" s="9"/>
      <c r="E82" s="9"/>
      <c r="F82" s="9"/>
      <c r="G82" s="9"/>
      <c r="H82" s="9"/>
      <c r="I82" s="9"/>
      <c r="J82" s="9"/>
      <c r="K82" s="9"/>
      <c r="L82" s="9"/>
      <c r="M82" s="9"/>
      <c r="N82" s="9"/>
      <c r="O82" s="9"/>
      <c r="P82" s="9"/>
      <c r="Q82" s="9"/>
      <c r="R82" s="9"/>
      <c r="S82" s="9"/>
      <c r="T82" s="9"/>
      <c r="U82" s="9"/>
      <c r="V82" s="9"/>
      <c r="W82" s="9"/>
      <c r="X82" s="9"/>
      <c r="Y82" s="9"/>
      <c r="Z82" s="9"/>
    </row>
    <row r="83" ht="15.75" customHeight="1">
      <c r="A83" s="9"/>
      <c r="B83" s="9"/>
      <c r="C83" s="9"/>
      <c r="D83" s="9"/>
      <c r="E83" s="9"/>
      <c r="F83" s="9"/>
      <c r="G83" s="9"/>
      <c r="H83" s="9"/>
      <c r="I83" s="9"/>
      <c r="J83" s="9"/>
      <c r="K83" s="9"/>
      <c r="L83" s="9"/>
      <c r="M83" s="9"/>
      <c r="N83" s="9"/>
      <c r="O83" s="9"/>
      <c r="P83" s="9"/>
      <c r="Q83" s="9"/>
      <c r="R83" s="9"/>
      <c r="S83" s="9"/>
      <c r="T83" s="9"/>
      <c r="U83" s="9"/>
      <c r="V83" s="9"/>
      <c r="W83" s="9"/>
      <c r="X83" s="9"/>
      <c r="Y83" s="9"/>
      <c r="Z83" s="9"/>
    </row>
    <row r="84" ht="15.75" customHeight="1">
      <c r="A84" s="9"/>
      <c r="B84" s="9"/>
      <c r="C84" s="9"/>
      <c r="D84" s="9"/>
      <c r="E84" s="9"/>
      <c r="F84" s="9"/>
      <c r="G84" s="9"/>
      <c r="H84" s="9"/>
      <c r="I84" s="9"/>
      <c r="J84" s="9"/>
      <c r="K84" s="9"/>
      <c r="L84" s="9"/>
      <c r="M84" s="9"/>
      <c r="N84" s="9"/>
      <c r="O84" s="9"/>
      <c r="P84" s="9"/>
      <c r="Q84" s="9"/>
      <c r="R84" s="9"/>
      <c r="S84" s="9"/>
      <c r="T84" s="9"/>
      <c r="U84" s="9"/>
      <c r="V84" s="9"/>
      <c r="W84" s="9"/>
      <c r="X84" s="9"/>
      <c r="Y84" s="9"/>
      <c r="Z84" s="9"/>
    </row>
    <row r="85" ht="15.75" customHeight="1">
      <c r="A85" s="9"/>
      <c r="B85" s="9"/>
      <c r="C85" s="9"/>
      <c r="D85" s="9"/>
      <c r="E85" s="9"/>
      <c r="F85" s="9"/>
      <c r="G85" s="9"/>
      <c r="H85" s="9"/>
      <c r="I85" s="9"/>
      <c r="J85" s="9"/>
      <c r="K85" s="9"/>
      <c r="L85" s="9"/>
      <c r="M85" s="9"/>
      <c r="N85" s="9"/>
      <c r="O85" s="9"/>
      <c r="P85" s="9"/>
      <c r="Q85" s="9"/>
      <c r="R85" s="9"/>
      <c r="S85" s="9"/>
      <c r="T85" s="9"/>
      <c r="U85" s="9"/>
      <c r="V85" s="9"/>
      <c r="W85" s="9"/>
      <c r="X85" s="9"/>
      <c r="Y85" s="9"/>
      <c r="Z85" s="9"/>
    </row>
    <row r="86" ht="15.75" customHeight="1">
      <c r="A86" s="9"/>
      <c r="B86" s="9"/>
      <c r="C86" s="9"/>
      <c r="D86" s="9"/>
      <c r="E86" s="9"/>
      <c r="F86" s="9"/>
      <c r="G86" s="9"/>
      <c r="H86" s="9"/>
      <c r="I86" s="9"/>
      <c r="J86" s="9"/>
      <c r="K86" s="9"/>
      <c r="L86" s="9"/>
      <c r="M86" s="9"/>
      <c r="N86" s="9"/>
      <c r="O86" s="9"/>
      <c r="P86" s="9"/>
      <c r="Q86" s="9"/>
      <c r="R86" s="9"/>
      <c r="S86" s="9"/>
      <c r="T86" s="9"/>
      <c r="U86" s="9"/>
      <c r="V86" s="9"/>
      <c r="W86" s="9"/>
      <c r="X86" s="9"/>
      <c r="Y86" s="9"/>
      <c r="Z86" s="9"/>
    </row>
    <row r="87" ht="15.75" customHeight="1">
      <c r="A87" s="9"/>
      <c r="B87" s="9"/>
      <c r="C87" s="9"/>
      <c r="D87" s="9"/>
      <c r="E87" s="9"/>
      <c r="F87" s="9"/>
      <c r="G87" s="9"/>
      <c r="H87" s="9"/>
      <c r="I87" s="9"/>
      <c r="J87" s="9"/>
      <c r="K87" s="9"/>
      <c r="L87" s="9"/>
      <c r="M87" s="9"/>
      <c r="N87" s="9"/>
      <c r="O87" s="9"/>
      <c r="P87" s="9"/>
      <c r="Q87" s="9"/>
      <c r="R87" s="9"/>
      <c r="S87" s="9"/>
      <c r="T87" s="9"/>
      <c r="U87" s="9"/>
      <c r="V87" s="9"/>
      <c r="W87" s="9"/>
      <c r="X87" s="9"/>
      <c r="Y87" s="9"/>
      <c r="Z87" s="9"/>
    </row>
    <row r="88" ht="15.75" customHeight="1">
      <c r="A88" s="9"/>
      <c r="B88" s="9"/>
      <c r="C88" s="9"/>
      <c r="D88" s="9"/>
      <c r="E88" s="9"/>
      <c r="F88" s="9"/>
      <c r="G88" s="9"/>
      <c r="H88" s="9"/>
      <c r="I88" s="9"/>
      <c r="J88" s="9"/>
      <c r="K88" s="9"/>
      <c r="L88" s="9"/>
      <c r="M88" s="9"/>
      <c r="N88" s="9"/>
      <c r="O88" s="9"/>
      <c r="P88" s="9"/>
      <c r="Q88" s="9"/>
      <c r="R88" s="9"/>
      <c r="S88" s="9"/>
      <c r="T88" s="9"/>
      <c r="U88" s="9"/>
      <c r="V88" s="9"/>
      <c r="W88" s="9"/>
      <c r="X88" s="9"/>
      <c r="Y88" s="9"/>
      <c r="Z88" s="9"/>
    </row>
    <row r="89" ht="15.75" customHeight="1">
      <c r="A89" s="9"/>
      <c r="B89" s="9"/>
      <c r="C89" s="9"/>
      <c r="D89" s="9"/>
      <c r="E89" s="9"/>
      <c r="F89" s="9"/>
      <c r="G89" s="9"/>
      <c r="H89" s="9"/>
      <c r="I89" s="9"/>
      <c r="J89" s="9"/>
      <c r="K89" s="9"/>
      <c r="L89" s="9"/>
      <c r="M89" s="9"/>
      <c r="N89" s="9"/>
      <c r="O89" s="9"/>
      <c r="P89" s="9"/>
      <c r="Q89" s="9"/>
      <c r="R89" s="9"/>
      <c r="S89" s="9"/>
      <c r="T89" s="9"/>
      <c r="U89" s="9"/>
      <c r="V89" s="9"/>
      <c r="W89" s="9"/>
      <c r="X89" s="9"/>
      <c r="Y89" s="9"/>
      <c r="Z89" s="9"/>
    </row>
    <row r="90" ht="15.75" customHeight="1">
      <c r="A90" s="9"/>
      <c r="B90" s="9"/>
      <c r="C90" s="9"/>
      <c r="D90" s="9"/>
      <c r="E90" s="9"/>
      <c r="F90" s="9"/>
      <c r="G90" s="9"/>
      <c r="H90" s="9"/>
      <c r="I90" s="9"/>
      <c r="J90" s="9"/>
      <c r="K90" s="9"/>
      <c r="L90" s="9"/>
      <c r="M90" s="9"/>
      <c r="N90" s="9"/>
      <c r="O90" s="9"/>
      <c r="P90" s="9"/>
      <c r="Q90" s="9"/>
      <c r="R90" s="9"/>
      <c r="S90" s="9"/>
      <c r="T90" s="9"/>
      <c r="U90" s="9"/>
      <c r="V90" s="9"/>
      <c r="W90" s="9"/>
      <c r="X90" s="9"/>
      <c r="Y90" s="9"/>
      <c r="Z90" s="9"/>
    </row>
    <row r="91" ht="15.75" customHeight="1">
      <c r="A91" s="9"/>
      <c r="B91" s="9"/>
      <c r="C91" s="9"/>
      <c r="D91" s="9"/>
      <c r="E91" s="9"/>
      <c r="F91" s="9"/>
      <c r="G91" s="9"/>
      <c r="H91" s="9"/>
      <c r="I91" s="9"/>
      <c r="J91" s="9"/>
      <c r="K91" s="9"/>
      <c r="L91" s="9"/>
      <c r="M91" s="9"/>
      <c r="N91" s="9"/>
      <c r="O91" s="9"/>
      <c r="P91" s="9"/>
      <c r="Q91" s="9"/>
      <c r="R91" s="9"/>
      <c r="S91" s="9"/>
      <c r="T91" s="9"/>
      <c r="U91" s="9"/>
      <c r="V91" s="9"/>
      <c r="W91" s="9"/>
      <c r="X91" s="9"/>
      <c r="Y91" s="9"/>
      <c r="Z91" s="9"/>
    </row>
    <row r="92" ht="15.75" customHeight="1">
      <c r="A92" s="9"/>
      <c r="B92" s="9"/>
      <c r="C92" s="9"/>
      <c r="D92" s="9"/>
      <c r="E92" s="9"/>
      <c r="F92" s="9"/>
      <c r="G92" s="9"/>
      <c r="H92" s="9"/>
      <c r="I92" s="9"/>
      <c r="J92" s="9"/>
      <c r="K92" s="9"/>
      <c r="L92" s="9"/>
      <c r="M92" s="9"/>
      <c r="N92" s="9"/>
      <c r="O92" s="9"/>
      <c r="P92" s="9"/>
      <c r="Q92" s="9"/>
      <c r="R92" s="9"/>
      <c r="S92" s="9"/>
      <c r="T92" s="9"/>
      <c r="U92" s="9"/>
      <c r="V92" s="9"/>
      <c r="W92" s="9"/>
      <c r="X92" s="9"/>
      <c r="Y92" s="9"/>
      <c r="Z92" s="9"/>
    </row>
    <row r="93" ht="15.75" customHeight="1">
      <c r="A93" s="9"/>
      <c r="B93" s="9"/>
      <c r="C93" s="9"/>
      <c r="D93" s="9"/>
      <c r="E93" s="9"/>
      <c r="F93" s="9"/>
      <c r="G93" s="9"/>
      <c r="H93" s="9"/>
      <c r="I93" s="9"/>
      <c r="J93" s="9"/>
      <c r="K93" s="9"/>
      <c r="L93" s="9"/>
      <c r="M93" s="9"/>
      <c r="N93" s="9"/>
      <c r="O93" s="9"/>
      <c r="P93" s="9"/>
      <c r="Q93" s="9"/>
      <c r="R93" s="9"/>
      <c r="S93" s="9"/>
      <c r="T93" s="9"/>
      <c r="U93" s="9"/>
      <c r="V93" s="9"/>
      <c r="W93" s="9"/>
      <c r="X93" s="9"/>
      <c r="Y93" s="9"/>
      <c r="Z93" s="9"/>
    </row>
    <row r="94" ht="15.75" customHeight="1">
      <c r="A94" s="9"/>
      <c r="B94" s="9"/>
      <c r="C94" s="9"/>
      <c r="D94" s="9"/>
      <c r="E94" s="9"/>
      <c r="F94" s="9"/>
      <c r="G94" s="9"/>
      <c r="H94" s="9"/>
      <c r="I94" s="9"/>
      <c r="J94" s="9"/>
      <c r="K94" s="9"/>
      <c r="L94" s="9"/>
      <c r="M94" s="9"/>
      <c r="N94" s="9"/>
      <c r="O94" s="9"/>
      <c r="P94" s="9"/>
      <c r="Q94" s="9"/>
      <c r="R94" s="9"/>
      <c r="S94" s="9"/>
      <c r="T94" s="9"/>
      <c r="U94" s="9"/>
      <c r="V94" s="9"/>
      <c r="W94" s="9"/>
      <c r="X94" s="9"/>
      <c r="Y94" s="9"/>
      <c r="Z94" s="9"/>
    </row>
    <row r="95" ht="15.75" customHeight="1">
      <c r="A95" s="9"/>
      <c r="B95" s="9"/>
      <c r="C95" s="9"/>
      <c r="D95" s="9"/>
      <c r="E95" s="9"/>
      <c r="F95" s="9"/>
      <c r="G95" s="9"/>
      <c r="H95" s="9"/>
      <c r="I95" s="9"/>
      <c r="J95" s="9"/>
      <c r="K95" s="9"/>
      <c r="L95" s="9"/>
      <c r="M95" s="9"/>
      <c r="N95" s="9"/>
      <c r="O95" s="9"/>
      <c r="P95" s="9"/>
      <c r="Q95" s="9"/>
      <c r="R95" s="9"/>
      <c r="S95" s="9"/>
      <c r="T95" s="9"/>
      <c r="U95" s="9"/>
      <c r="V95" s="9"/>
      <c r="W95" s="9"/>
      <c r="X95" s="9"/>
      <c r="Y95" s="9"/>
      <c r="Z95" s="9"/>
    </row>
    <row r="96" ht="15.75" customHeight="1">
      <c r="A96" s="9"/>
      <c r="B96" s="9"/>
      <c r="C96" s="9"/>
      <c r="D96" s="9"/>
      <c r="E96" s="9"/>
      <c r="F96" s="9"/>
      <c r="G96" s="9"/>
      <c r="H96" s="9"/>
      <c r="I96" s="9"/>
      <c r="J96" s="9"/>
      <c r="K96" s="9"/>
      <c r="L96" s="9"/>
      <c r="M96" s="9"/>
      <c r="N96" s="9"/>
      <c r="O96" s="9"/>
      <c r="P96" s="9"/>
      <c r="Q96" s="9"/>
      <c r="R96" s="9"/>
      <c r="S96" s="9"/>
      <c r="T96" s="9"/>
      <c r="U96" s="9"/>
      <c r="V96" s="9"/>
      <c r="W96" s="9"/>
      <c r="X96" s="9"/>
      <c r="Y96" s="9"/>
      <c r="Z96" s="9"/>
    </row>
    <row r="97" ht="15.75" customHeight="1">
      <c r="A97" s="9"/>
      <c r="B97" s="9"/>
      <c r="C97" s="9"/>
      <c r="D97" s="9"/>
      <c r="E97" s="9"/>
      <c r="F97" s="9"/>
      <c r="G97" s="9"/>
      <c r="H97" s="9"/>
      <c r="I97" s="9"/>
      <c r="J97" s="9"/>
      <c r="K97" s="9"/>
      <c r="L97" s="9"/>
      <c r="M97" s="9"/>
      <c r="N97" s="9"/>
      <c r="O97" s="9"/>
      <c r="P97" s="9"/>
      <c r="Q97" s="9"/>
      <c r="R97" s="9"/>
      <c r="S97" s="9"/>
      <c r="T97" s="9"/>
      <c r="U97" s="9"/>
      <c r="V97" s="9"/>
      <c r="W97" s="9"/>
      <c r="X97" s="9"/>
      <c r="Y97" s="9"/>
      <c r="Z97" s="9"/>
    </row>
    <row r="98" ht="15.75" customHeight="1">
      <c r="A98" s="9"/>
      <c r="B98" s="9"/>
      <c r="C98" s="9"/>
      <c r="D98" s="9"/>
      <c r="E98" s="9"/>
      <c r="F98" s="9"/>
      <c r="G98" s="9"/>
      <c r="H98" s="9"/>
      <c r="I98" s="9"/>
      <c r="J98" s="9"/>
      <c r="K98" s="9"/>
      <c r="L98" s="9"/>
      <c r="M98" s="9"/>
      <c r="N98" s="9"/>
      <c r="O98" s="9"/>
      <c r="P98" s="9"/>
      <c r="Q98" s="9"/>
      <c r="R98" s="9"/>
      <c r="S98" s="9"/>
      <c r="T98" s="9"/>
      <c r="U98" s="9"/>
      <c r="V98" s="9"/>
      <c r="W98" s="9"/>
      <c r="X98" s="9"/>
      <c r="Y98" s="9"/>
      <c r="Z98" s="9"/>
    </row>
    <row r="99" ht="15.75" customHeight="1">
      <c r="A99" s="9"/>
      <c r="B99" s="9"/>
      <c r="C99" s="9"/>
      <c r="D99" s="9"/>
      <c r="E99" s="9"/>
      <c r="F99" s="9"/>
      <c r="G99" s="9"/>
      <c r="H99" s="9"/>
      <c r="I99" s="9"/>
      <c r="J99" s="9"/>
      <c r="K99" s="9"/>
      <c r="L99" s="9"/>
      <c r="M99" s="9"/>
      <c r="N99" s="9"/>
      <c r="O99" s="9"/>
      <c r="P99" s="9"/>
      <c r="Q99" s="9"/>
      <c r="R99" s="9"/>
      <c r="S99" s="9"/>
      <c r="T99" s="9"/>
      <c r="U99" s="9"/>
      <c r="V99" s="9"/>
      <c r="W99" s="9"/>
      <c r="X99" s="9"/>
      <c r="Y99" s="9"/>
      <c r="Z99" s="9"/>
    </row>
    <row r="100" ht="15.7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ht="15.7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ht="15.7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ht="15.7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ht="15.7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ht="15.7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ht="15.7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ht="15.7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ht="15.7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ht="15.7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ht="15.7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ht="15.7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ht="15.7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ht="15.7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ht="15.7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ht="15.7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ht="15.7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ht="15.7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ht="15.7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ht="15.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ht="15.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ht="15.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ht="15.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ht="15.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ht="15.7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ht="15.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ht="15.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ht="15.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ht="15.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ht="15.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ht="15.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ht="15.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ht="15.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ht="15.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ht="15.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ht="15.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ht="15.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ht="15.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ht="15.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ht="15.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ht="15.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ht="15.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ht="15.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ht="15.7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ht="15.7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ht="15.7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ht="15.7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ht="15.7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ht="15.7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ht="15.7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ht="15.7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ht="15.7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ht="15.7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ht="15.7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ht="15.7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ht="15.7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ht="15.7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ht="15.7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ht="15.7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ht="15.7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ht="15.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ht="15.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ht="15.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ht="15.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ht="15.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ht="15.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ht="15.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ht="15.7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ht="15.7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ht="15.7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ht="15.7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ht="15.7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ht="15.7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ht="15.7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ht="15.7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ht="15.7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ht="15.7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ht="15.7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ht="15.7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ht="15.7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ht="15.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ht="15.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ht="15.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ht="15.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ht="15.7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ht="15.7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ht="15.7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ht="15.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ht="15.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ht="15.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ht="15.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ht="15.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ht="15.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ht="15.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ht="15.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ht="15.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15.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15.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15.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15.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15.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15.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15.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15.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15.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15.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15.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15.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15.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15.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15.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15.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15.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15.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15.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15.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15.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15.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15.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15.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15.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15.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15.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15.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F1"/>
    <mergeCell ref="I1:R1"/>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